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1.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10063554\Desktop\Nch2 UG\Weekly reports\Dec 2025\"/>
    </mc:Choice>
  </mc:AlternateContent>
  <bookViews>
    <workbookView xWindow="0" yWindow="0" windowWidth="23040" windowHeight="8640"/>
  </bookViews>
  <sheets>
    <sheet name="Eng Weekly report" sheetId="1" r:id="rId1"/>
    <sheet name="Compliance report" sheetId="155" r:id="rId2"/>
    <sheet name="Quality report" sheetId="156" r:id="rId3"/>
    <sheet name="Service schedule" sheetId="137" r:id="rId4"/>
    <sheet name="Oil report" sheetId="136" r:id="rId5"/>
    <sheet name="Fermel Weekly" sheetId="154" r:id="rId6"/>
    <sheet name="Blocked chutes" sheetId="159" r:id="rId7"/>
  </sheets>
  <externalReferences>
    <externalReference r:id="rId8"/>
    <externalReference r:id="rId9"/>
  </externalReferenc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14" i="154" l="1"/>
  <c r="J14" i="154"/>
  <c r="L14" i="154" s="1"/>
  <c r="L13" i="154"/>
  <c r="L12" i="154"/>
  <c r="L11" i="154"/>
  <c r="L10" i="154"/>
  <c r="L9" i="154"/>
  <c r="L8" i="154"/>
  <c r="L7" i="154"/>
  <c r="L6" i="154"/>
  <c r="L5" i="154"/>
  <c r="L4" i="154"/>
  <c r="L3" i="154"/>
  <c r="W42" i="156" l="1"/>
  <c r="M42" i="156"/>
  <c r="W41" i="156"/>
  <c r="M41" i="156"/>
  <c r="W40" i="156"/>
  <c r="M40" i="156"/>
  <c r="W39" i="156"/>
  <c r="M39" i="156"/>
  <c r="W38" i="156"/>
  <c r="M38" i="156"/>
  <c r="W37" i="156"/>
  <c r="M37" i="156"/>
  <c r="W36" i="156"/>
  <c r="M36" i="156"/>
  <c r="W35" i="156"/>
  <c r="M35" i="156"/>
  <c r="W34" i="156"/>
  <c r="M34" i="156"/>
  <c r="W33" i="156"/>
  <c r="M33" i="156"/>
  <c r="W32" i="156"/>
  <c r="M32" i="156"/>
  <c r="W31" i="156"/>
  <c r="M31" i="156"/>
  <c r="W30" i="156"/>
  <c r="M30" i="156"/>
  <c r="W29" i="156"/>
  <c r="M29" i="156"/>
  <c r="W28" i="156"/>
  <c r="M28" i="156"/>
  <c r="W27" i="156"/>
  <c r="M27" i="156"/>
  <c r="W26" i="156"/>
  <c r="W25" i="156"/>
  <c r="M25" i="156"/>
  <c r="W24" i="156"/>
  <c r="M24" i="156"/>
  <c r="W23" i="156"/>
  <c r="M23" i="156"/>
  <c r="W22" i="156"/>
  <c r="M22" i="156"/>
  <c r="W21" i="156"/>
  <c r="M21" i="156"/>
  <c r="W20" i="156"/>
  <c r="M20" i="156"/>
  <c r="W19" i="156"/>
  <c r="M19" i="156"/>
  <c r="W18" i="156"/>
  <c r="M18" i="156"/>
  <c r="W17" i="156"/>
  <c r="M17" i="156"/>
  <c r="W16" i="156"/>
  <c r="M16" i="156"/>
  <c r="W15" i="156"/>
  <c r="M15" i="156"/>
  <c r="W14" i="156"/>
  <c r="M14" i="156"/>
  <c r="W13" i="156"/>
  <c r="M13" i="156"/>
  <c r="W12" i="156"/>
  <c r="M12" i="156"/>
  <c r="W11" i="156"/>
  <c r="W7" i="156" s="1"/>
  <c r="M11" i="156"/>
  <c r="M7" i="156" s="1"/>
  <c r="W10" i="156"/>
  <c r="M10" i="156"/>
  <c r="W9" i="156"/>
  <c r="M9" i="156"/>
  <c r="G115" i="155"/>
  <c r="G114" i="155"/>
  <c r="G113" i="155"/>
  <c r="G112" i="155"/>
  <c r="G111" i="155"/>
  <c r="G110" i="155"/>
  <c r="G109" i="155"/>
  <c r="G108" i="155"/>
  <c r="I67" i="155"/>
  <c r="C67" i="155"/>
  <c r="C66" i="155"/>
  <c r="I66" i="155" s="1"/>
  <c r="I65" i="155"/>
  <c r="I64" i="155"/>
  <c r="C63" i="155"/>
  <c r="I63" i="155" s="1"/>
  <c r="C62" i="155"/>
  <c r="I62" i="155" s="1"/>
  <c r="E40" i="155"/>
  <c r="E39" i="155"/>
  <c r="E38" i="155"/>
  <c r="E37" i="155"/>
  <c r="E36" i="155"/>
  <c r="E35" i="155"/>
  <c r="E34" i="155"/>
  <c r="E13" i="155"/>
  <c r="E12" i="155"/>
  <c r="E11" i="155"/>
  <c r="E10" i="155"/>
  <c r="E9" i="155"/>
  <c r="E8" i="155"/>
  <c r="E7" i="155"/>
  <c r="E14" i="1" l="1"/>
  <c r="E16" i="1" l="1"/>
  <c r="M4" i="1" l="1"/>
  <c r="M3" i="1"/>
  <c r="E17" i="1" l="1"/>
  <c r="E18" i="1"/>
  <c r="E15" i="1"/>
  <c r="F15" i="1" l="1"/>
  <c r="F16" i="1"/>
  <c r="F17" i="1"/>
  <c r="F18" i="1"/>
  <c r="F14" i="1"/>
  <c r="G44" i="1" l="1"/>
  <c r="G45" i="1"/>
  <c r="G46" i="1"/>
  <c r="G47" i="1"/>
  <c r="G43" i="1"/>
  <c r="N49" i="1"/>
  <c r="F19" i="1"/>
  <c r="F20" i="1"/>
  <c r="E19" i="1"/>
  <c r="E20" i="1"/>
  <c r="A1" i="159"/>
</calcChain>
</file>

<file path=xl/sharedStrings.xml><?xml version="1.0" encoding="utf-8"?>
<sst xmlns="http://schemas.openxmlformats.org/spreadsheetml/2006/main" count="1089" uniqueCount="515">
  <si>
    <t>Weekly Summary Report</t>
  </si>
  <si>
    <t>Safety</t>
  </si>
  <si>
    <t>LTI</t>
  </si>
  <si>
    <t>MTC</t>
  </si>
  <si>
    <t>Remarks</t>
  </si>
  <si>
    <t>PD</t>
  </si>
  <si>
    <t>YTD</t>
  </si>
  <si>
    <t>Shaft</t>
  </si>
  <si>
    <t>Labour</t>
  </si>
  <si>
    <t>Plan</t>
  </si>
  <si>
    <t>Actual</t>
  </si>
  <si>
    <t>Cost</t>
  </si>
  <si>
    <t>Plan YTD</t>
  </si>
  <si>
    <t>Actual YTD</t>
  </si>
  <si>
    <t>No wk</t>
  </si>
  <si>
    <t>Plan MTD</t>
  </si>
  <si>
    <t>Actual MTD</t>
  </si>
  <si>
    <t>Description</t>
  </si>
  <si>
    <t>Done</t>
  </si>
  <si>
    <t>Not Done</t>
  </si>
  <si>
    <t>Mon</t>
  </si>
  <si>
    <t>Wed</t>
  </si>
  <si>
    <t>Fri</t>
  </si>
  <si>
    <t>HD</t>
  </si>
  <si>
    <t>RT</t>
  </si>
  <si>
    <t>DT</t>
  </si>
  <si>
    <t>FL</t>
  </si>
  <si>
    <t>SR</t>
  </si>
  <si>
    <t xml:space="preserve">ROM </t>
  </si>
  <si>
    <t>Product</t>
  </si>
  <si>
    <t>Sun</t>
  </si>
  <si>
    <t>Sat</t>
  </si>
  <si>
    <t xml:space="preserve">Week -       Date                                     to                      </t>
  </si>
  <si>
    <t>Leave</t>
  </si>
  <si>
    <t>Not Specified</t>
  </si>
  <si>
    <t>% AT Work</t>
  </si>
  <si>
    <t>Charge up UV`s</t>
  </si>
  <si>
    <t>RORO/Flat deck UV`s</t>
  </si>
  <si>
    <t>Weekly Primary TMM Maintenance Overview</t>
  </si>
  <si>
    <t>Planned Weekend/Public Holiday Work</t>
  </si>
  <si>
    <t>Variance</t>
  </si>
  <si>
    <t>Asset Care Service Compliance</t>
  </si>
  <si>
    <t>Week:</t>
  </si>
  <si>
    <t>Equip type</t>
  </si>
  <si>
    <t>Monday</t>
  </si>
  <si>
    <t>Tuesday</t>
  </si>
  <si>
    <t>Wednesday</t>
  </si>
  <si>
    <t>Thursday</t>
  </si>
  <si>
    <t>Friday</t>
  </si>
  <si>
    <t>Saturday</t>
  </si>
  <si>
    <t>Sunday</t>
  </si>
  <si>
    <t>Support</t>
  </si>
  <si>
    <t>Outstanding</t>
  </si>
  <si>
    <t>Over Inspections</t>
  </si>
  <si>
    <t xml:space="preserve"> </t>
  </si>
  <si>
    <t>FM Drill:</t>
  </si>
  <si>
    <t>FM Mech:</t>
  </si>
  <si>
    <t>FM Elect:</t>
  </si>
  <si>
    <t>GES:</t>
  </si>
  <si>
    <t>ENG:</t>
  </si>
  <si>
    <t>MO:</t>
  </si>
  <si>
    <t>Compressor's</t>
  </si>
  <si>
    <t>Incidents Reported</t>
  </si>
  <si>
    <t>Nchwaning 2</t>
  </si>
  <si>
    <t>Tue</t>
  </si>
  <si>
    <t>Thur</t>
  </si>
  <si>
    <t>Average</t>
  </si>
  <si>
    <t>Challenges</t>
  </si>
  <si>
    <t>TMM Status SOS (Friday Morning) :</t>
  </si>
  <si>
    <t>Employee slipped and fell while descending steps from Mechanics tea room</t>
  </si>
  <si>
    <t>DT128 transmission; DT121 gears; DT159 ECM</t>
  </si>
  <si>
    <t>Plant - production</t>
  </si>
  <si>
    <t>FL114 bumped against DT157</t>
  </si>
  <si>
    <t>Paperwork Incorrect</t>
  </si>
  <si>
    <t>Urgent Oil Samples</t>
  </si>
  <si>
    <t>Workorder Generated</t>
  </si>
  <si>
    <t>Weekly Asset Care Compliance Report</t>
  </si>
  <si>
    <t>Don’t change Formula's</t>
  </si>
  <si>
    <t>Week Ending</t>
  </si>
  <si>
    <t>Shaft / Area</t>
  </si>
  <si>
    <t>NCHW II UG</t>
  </si>
  <si>
    <t>Fleet / Equipment</t>
  </si>
  <si>
    <t>Planned</t>
  </si>
  <si>
    <t>Schedule Compliance</t>
  </si>
  <si>
    <t>Target</t>
  </si>
  <si>
    <t>Unit late for service (y/n)</t>
  </si>
  <si>
    <t>Unit book back on time after service(y/n)</t>
  </si>
  <si>
    <t>Week-end Service</t>
  </si>
  <si>
    <t>Reasons for Non-Compliance</t>
  </si>
  <si>
    <t>y</t>
  </si>
  <si>
    <t>n</t>
  </si>
  <si>
    <t xml:space="preserve">FL0087 After service strata replaced flasher from, mudule error </t>
  </si>
  <si>
    <t>HD0063 service weekend</t>
  </si>
  <si>
    <t>SR - Service Compliance</t>
  </si>
  <si>
    <t>Support Equipment</t>
  </si>
  <si>
    <t xml:space="preserve">SR - Weekly Inspection </t>
  </si>
  <si>
    <t>Service Pre-Inspection</t>
  </si>
  <si>
    <t>Work order number</t>
  </si>
  <si>
    <t>Condition monitoring / Oil samples</t>
  </si>
  <si>
    <t>Engine - Plan</t>
  </si>
  <si>
    <t>Engine- Received</t>
  </si>
  <si>
    <t>Transmission - Plan</t>
  </si>
  <si>
    <t>Transmission - Receive</t>
  </si>
  <si>
    <t>Axle - plan</t>
  </si>
  <si>
    <t>Axle - Receive</t>
  </si>
  <si>
    <t>% Compliance</t>
  </si>
  <si>
    <t>Paperwork Correct</t>
  </si>
  <si>
    <t>Remember Readings</t>
  </si>
  <si>
    <t>Oil Filtration</t>
  </si>
  <si>
    <t>Equipment nr</t>
  </si>
  <si>
    <t>Oil Type</t>
  </si>
  <si>
    <t>Start Reading</t>
  </si>
  <si>
    <t>End Reading</t>
  </si>
  <si>
    <t>Comments</t>
  </si>
  <si>
    <t>ISO Standard</t>
  </si>
  <si>
    <t>FA0007</t>
  </si>
  <si>
    <t>FA0001</t>
  </si>
  <si>
    <t>Inspection done by:</t>
  </si>
  <si>
    <t>Planned Over-Inspections</t>
  </si>
  <si>
    <t>Total Number of Inspections Completed</t>
  </si>
  <si>
    <t>Corrective Work</t>
  </si>
  <si>
    <t>Wo Number</t>
  </si>
  <si>
    <t>% Completed</t>
  </si>
  <si>
    <t>Remarks for not comply</t>
  </si>
  <si>
    <t>UTILITY FOREMAN</t>
  </si>
  <si>
    <t>MECHANIC FOREMAN</t>
  </si>
  <si>
    <t>DRILLS FOREMAN</t>
  </si>
  <si>
    <t>Engineer</t>
  </si>
  <si>
    <t>Electrical Foreman</t>
  </si>
  <si>
    <t>Plant Foreman</t>
  </si>
  <si>
    <t>GES Plant</t>
  </si>
  <si>
    <t>GES TMM</t>
  </si>
  <si>
    <t>Equipment ID</t>
  </si>
  <si>
    <t>Date of Inspection</t>
  </si>
  <si>
    <t xml:space="preserve">Inspection Performed by </t>
  </si>
  <si>
    <t>Findings and Defects Completed</t>
  </si>
  <si>
    <t>Additional Follow-up Work</t>
  </si>
  <si>
    <t>WO No.</t>
  </si>
  <si>
    <t>Status</t>
  </si>
  <si>
    <t>Conveyor belt guard inspection</t>
  </si>
  <si>
    <t>01/12/2025</t>
  </si>
  <si>
    <t>Lebogang</t>
  </si>
  <si>
    <t>None</t>
  </si>
  <si>
    <t>Beltspray &amp; firehose inspection</t>
  </si>
  <si>
    <t>02/12/2025</t>
  </si>
  <si>
    <t xml:space="preserve">Workshop Housekeeping </t>
  </si>
  <si>
    <t>03/12/2025</t>
  </si>
  <si>
    <t>U/G pump over inspection</t>
  </si>
  <si>
    <t>04/12/2025</t>
  </si>
  <si>
    <t>FL0100</t>
  </si>
  <si>
    <t>17/11/2025</t>
  </si>
  <si>
    <t>GAE</t>
  </si>
  <si>
    <t>Repair oil leak</t>
  </si>
  <si>
    <t>FL0120</t>
  </si>
  <si>
    <t>28/11/2025</t>
  </si>
  <si>
    <t>DT0120</t>
  </si>
  <si>
    <t>grease system</t>
  </si>
  <si>
    <t>DT0158</t>
  </si>
  <si>
    <t>FL0102</t>
  </si>
  <si>
    <t>REPLACE FRONT AXLE</t>
  </si>
  <si>
    <t>FL0087</t>
  </si>
  <si>
    <t>CAN COMMUNICATION ERROR</t>
  </si>
  <si>
    <t>LDO633</t>
  </si>
  <si>
    <t>26/11/2025</t>
  </si>
  <si>
    <t>DUBA</t>
  </si>
  <si>
    <t>LD0580</t>
  </si>
  <si>
    <t>SR0045</t>
  </si>
  <si>
    <t>LD0605</t>
  </si>
  <si>
    <t>UV0119</t>
  </si>
  <si>
    <t>UV0123</t>
  </si>
  <si>
    <t>05/12/2025</t>
  </si>
  <si>
    <t>LD0579</t>
  </si>
  <si>
    <t>LD0590</t>
  </si>
  <si>
    <t>RT0038</t>
  </si>
  <si>
    <t>ROY</t>
  </si>
  <si>
    <t>RT0040</t>
  </si>
  <si>
    <t>Leaking eingine oil cooler</t>
  </si>
  <si>
    <t>Repariared the leak</t>
  </si>
  <si>
    <t>HD0064</t>
  </si>
  <si>
    <t>HD0065</t>
  </si>
  <si>
    <t>HD0068</t>
  </si>
  <si>
    <t>Driving lights switch</t>
  </si>
  <si>
    <t>Replaced the switch</t>
  </si>
  <si>
    <t>Conv 5</t>
  </si>
  <si>
    <t>Shaied</t>
  </si>
  <si>
    <t>3 x Lights</t>
  </si>
  <si>
    <t>To be replaced</t>
  </si>
  <si>
    <t>Conv  6</t>
  </si>
  <si>
    <t>2 x lights</t>
  </si>
  <si>
    <t>Conv 7</t>
  </si>
  <si>
    <t>Conv 8</t>
  </si>
  <si>
    <t>Weekly Asset Care Compliance Report Nchwaning II UG</t>
  </si>
  <si>
    <t>NB: PLEASE DO NOT EDIT ON YELLOW COLUMN</t>
  </si>
  <si>
    <t>Nch II U/G</t>
  </si>
  <si>
    <t>Weekly Quality Service Report</t>
  </si>
  <si>
    <t>Mining</t>
  </si>
  <si>
    <t>Engineering</t>
  </si>
  <si>
    <t>Schedule Date</t>
  </si>
  <si>
    <t>TMM Unit Number</t>
  </si>
  <si>
    <t>Actual Time Available In Workshop - &lt; 7:00 AM</t>
  </si>
  <si>
    <t>07:00 AM - 50% 08:00 AM - 25% 09:00 AM - 0%</t>
  </si>
  <si>
    <t>Machine Clean for Maintenance</t>
  </si>
  <si>
    <t>No - 0% Yes - 50%</t>
  </si>
  <si>
    <t>Pre inspection &amp; Operator Engagement - 3 Days Before Service Done</t>
  </si>
  <si>
    <t>No - 0% Yes - 25%</t>
  </si>
  <si>
    <t>Actual Service Duration - Plan 6 Hours</t>
  </si>
  <si>
    <t>6Hrs - 50% 5Hrs - 40% 4Hrs - 30% 3Hrs - 20% 2Hrs - 10% 1Hrs - 0%</t>
  </si>
  <si>
    <t>Machine Tested and Over Inspected by Supervisor</t>
  </si>
  <si>
    <t>Completed Service Workorder number</t>
  </si>
  <si>
    <t>Actual Hrs on service date</t>
  </si>
  <si>
    <t>Yes</t>
  </si>
  <si>
    <t>3hrs</t>
  </si>
  <si>
    <t>6Hrs</t>
  </si>
  <si>
    <t>5hrs</t>
  </si>
  <si>
    <t>HD0063</t>
  </si>
  <si>
    <t>08h00</t>
  </si>
  <si>
    <t>6hrs</t>
  </si>
  <si>
    <t>UV0137</t>
  </si>
  <si>
    <t>8h00</t>
  </si>
  <si>
    <t>09h00</t>
  </si>
  <si>
    <t>LD0633</t>
  </si>
  <si>
    <t>05 - 10 Dec 2025</t>
  </si>
  <si>
    <t>No report from Petroman</t>
  </si>
  <si>
    <t>N 2</t>
  </si>
  <si>
    <t>No</t>
  </si>
  <si>
    <t>Area / Owner</t>
  </si>
  <si>
    <t>TMM Type</t>
  </si>
  <si>
    <t>TMM No.</t>
  </si>
  <si>
    <t>Breakdown</t>
  </si>
  <si>
    <t>Comment</t>
  </si>
  <si>
    <t>OEM Assistance Required</t>
  </si>
  <si>
    <t>Utility Machine</t>
  </si>
  <si>
    <t>Total</t>
  </si>
  <si>
    <t>Availabile</t>
  </si>
  <si>
    <t xml:space="preserve">         RORO UV'S FERMEL</t>
  </si>
  <si>
    <t>Maverick Dble Cab STD Load Bin</t>
  </si>
  <si>
    <t>BRP/Logistics</t>
  </si>
  <si>
    <t>Liberator Roll On Roll Off</t>
  </si>
  <si>
    <t>UV0054</t>
  </si>
  <si>
    <t xml:space="preserve">Available </t>
  </si>
  <si>
    <t>Maverick Man Lift</t>
  </si>
  <si>
    <t>UV0059</t>
  </si>
  <si>
    <t xml:space="preserve">Roadways </t>
  </si>
  <si>
    <t>UV0061</t>
  </si>
  <si>
    <t>Placer dumper</t>
  </si>
  <si>
    <t>UV0118</t>
  </si>
  <si>
    <t xml:space="preserve">the water tank hydraulic pump is currently leaking oil from the seal face during operation.
and note that this pump on the water site was previously attended to by the OEM. However, the machine has not operated effectively and has not run more than 40–100 hours since the OEM worked on the pump.
We have arranged for UV118 to be driven to surface today for the OEM to attend to the issue, as the technician was experiencing difficulties with Passport 360.
</t>
  </si>
  <si>
    <t xml:space="preserve">Not Available </t>
  </si>
  <si>
    <t>Maverick king Cab c/w Crane</t>
  </si>
  <si>
    <t>Fermel Placer Dumper</t>
  </si>
  <si>
    <t>Maverick Single cab Jam Pot</t>
  </si>
  <si>
    <t>UV0120</t>
  </si>
  <si>
    <t>Maverick 12 Man Trooper</t>
  </si>
  <si>
    <t>UV0133</t>
  </si>
  <si>
    <t>the machine is currently standing due to a faulty end play. We are still waiting parts, and in the meantime, the machine has been towed out of the way to avoid obstruction on sot production machines,</t>
  </si>
  <si>
    <t>Scaler</t>
  </si>
  <si>
    <t xml:space="preserve">MAVERICK UV'S </t>
  </si>
  <si>
    <t>Toyota  landcuiser ambulance</t>
  </si>
  <si>
    <t>Williams /drill mec</t>
  </si>
  <si>
    <t xml:space="preserve">Maverick King Cab NO Crane      </t>
  </si>
  <si>
    <t>UV0069</t>
  </si>
  <si>
    <t>Available</t>
  </si>
  <si>
    <t>Maverick king Cab with no Crane</t>
  </si>
  <si>
    <t>Kal Tire</t>
  </si>
  <si>
    <t>UV0072</t>
  </si>
  <si>
    <t xml:space="preserve">engine cu off due to a trm sensor fauly ,still busy with troubleshooting </t>
  </si>
  <si>
    <t>Toyota landcruiser</t>
  </si>
  <si>
    <t xml:space="preserve">Williams </t>
  </si>
  <si>
    <t>UV0087</t>
  </si>
  <si>
    <t>Fitters</t>
  </si>
  <si>
    <t>UV0090</t>
  </si>
  <si>
    <t>we drilled the broken pin out; still busy with assembling the front engine components.</t>
  </si>
  <si>
    <t>Gae</t>
  </si>
  <si>
    <t>UV0092</t>
  </si>
  <si>
    <t>Sanitation</t>
  </si>
  <si>
    <t>UV0102</t>
  </si>
  <si>
    <t xml:space="preserve">MAVERICK LDO'S </t>
  </si>
  <si>
    <t>LD0378</t>
  </si>
  <si>
    <t>Roadways</t>
  </si>
  <si>
    <t>LD0407</t>
  </si>
  <si>
    <t>LD0408</t>
  </si>
  <si>
    <t xml:space="preserve">The machine still on breakdown display not coming on and no ground earth busy with troubleshooting </t>
  </si>
  <si>
    <t>Mining/28 section</t>
  </si>
  <si>
    <t>LD0411</t>
  </si>
  <si>
    <t xml:space="preserve">Technicians </t>
  </si>
  <si>
    <t>LD0414</t>
  </si>
  <si>
    <t xml:space="preserve">Labour for the week including Nightshift </t>
  </si>
  <si>
    <t>Themba fire fighters</t>
  </si>
  <si>
    <t>LD0415</t>
  </si>
  <si>
    <t>Foreman</t>
  </si>
  <si>
    <t>1 of 1</t>
  </si>
  <si>
    <t>Boilermakers</t>
  </si>
  <si>
    <t>LD0419</t>
  </si>
  <si>
    <t>Chargehand</t>
  </si>
  <si>
    <t>LD0426</t>
  </si>
  <si>
    <t>During the troubleshooting following a reported engine cut-off, we discovered that the engine is mixing oil and coolant. This condition of an engine could be a cracked cylinder head or a worn head gasket.New engine will be needed</t>
  </si>
  <si>
    <t>Mechanics</t>
  </si>
  <si>
    <t>9 of 7</t>
  </si>
  <si>
    <t>AL,NOT AVAIL</t>
  </si>
  <si>
    <t>Explosive</t>
  </si>
  <si>
    <t>LD0450</t>
  </si>
  <si>
    <t xml:space="preserve">Auto Electrician </t>
  </si>
  <si>
    <t>3 of 2</t>
  </si>
  <si>
    <t>TT</t>
  </si>
  <si>
    <t>Capital graben</t>
  </si>
  <si>
    <t>LD0508</t>
  </si>
  <si>
    <t>Semi skilled</t>
  </si>
  <si>
    <t>2 of 2</t>
  </si>
  <si>
    <t>LD0509</t>
  </si>
  <si>
    <t>Leaners</t>
  </si>
  <si>
    <t>LD0519</t>
  </si>
  <si>
    <t>the machine is currently not starting. There is no power on the start button circuit not getting power.
We are busy with troubleshooting</t>
  </si>
  <si>
    <t>MAVERICK LDO'S TROPPER</t>
  </si>
  <si>
    <t>DELAY:</t>
  </si>
  <si>
    <t>LD0477</t>
  </si>
  <si>
    <t>LD0523</t>
  </si>
  <si>
    <t xml:space="preserve">machine was reported with starting troubleshoot on battery circuit done and found that injector one has faulty and machine misfiring </t>
  </si>
  <si>
    <t xml:space="preserve">Construction </t>
  </si>
  <si>
    <t>LD0532</t>
  </si>
  <si>
    <t>MAVERICK UV'S MANLIFTS</t>
  </si>
  <si>
    <t xml:space="preserve">       PRIORITY FOR THE NEXT SHIFT </t>
  </si>
  <si>
    <t xml:space="preserve">Geologist </t>
  </si>
  <si>
    <t>UV0077</t>
  </si>
  <si>
    <t>The machine must be moved to Fermel Head Office for refurbishment of the bucket harness and front outriggers</t>
  </si>
  <si>
    <t>Survey</t>
  </si>
  <si>
    <t>UV0098</t>
  </si>
  <si>
    <t xml:space="preserve"> Available</t>
  </si>
  <si>
    <t>UV0099</t>
  </si>
  <si>
    <t xml:space="preserve">SERVICE UPDATES </t>
  </si>
  <si>
    <t>TOYOTA CRUISER LDO'S</t>
  </si>
  <si>
    <t xml:space="preserve">Ambulance </t>
  </si>
  <si>
    <t xml:space="preserve">Toyota Cruiser 4x4 emergency vehicle </t>
  </si>
  <si>
    <t>LD0 341</t>
  </si>
  <si>
    <t>Toyota Cruiser 4x4/Trimming-Connie</t>
  </si>
  <si>
    <t>LD0 553</t>
  </si>
  <si>
    <t>busy with level 9 upgrades</t>
  </si>
  <si>
    <t>Lebolo/2west2body</t>
  </si>
  <si>
    <t>Toyota Cruiser 4x4/mining -Lebelo</t>
  </si>
  <si>
    <t>LD0 554</t>
  </si>
  <si>
    <t>Connie Trimming</t>
  </si>
  <si>
    <t>LD0 557</t>
  </si>
  <si>
    <t>Fitters w/shop</t>
  </si>
  <si>
    <t>Toyota Cruiser  4x4/fitter plant-Lebogang</t>
  </si>
  <si>
    <t>LD0 575</t>
  </si>
  <si>
    <t>Electrical w/shop</t>
  </si>
  <si>
    <t>Toyota Cruiser  4x4 /electrician-Hansie</t>
  </si>
  <si>
    <t>LD0 576</t>
  </si>
  <si>
    <t>Connie Mining</t>
  </si>
  <si>
    <t>Toyota Cruiser 4x4/mining-Connie</t>
  </si>
  <si>
    <t>LD0 577</t>
  </si>
  <si>
    <t>Peace</t>
  </si>
  <si>
    <t>Toyota Cruiser 4x4/mining -portgter</t>
  </si>
  <si>
    <t>LD0 578</t>
  </si>
  <si>
    <t xml:space="preserve">machine its out of nch 2 production and team are busy with panelbeat at blackrock </t>
  </si>
  <si>
    <t>Christo</t>
  </si>
  <si>
    <t>Toyota Cruiser 4x4/mining-christo</t>
  </si>
  <si>
    <t>LD0 579</t>
  </si>
  <si>
    <t xml:space="preserve">nerospec and strata level 9 commissioning </t>
  </si>
  <si>
    <t>Training Center</t>
  </si>
  <si>
    <t>Toyota Cruiser 4x4/training center</t>
  </si>
  <si>
    <t>LD0 580</t>
  </si>
  <si>
    <t>Potgieter</t>
  </si>
  <si>
    <t>Toyota Cruiser 4x4/Mining 28 section</t>
  </si>
  <si>
    <t>LD0 581</t>
  </si>
  <si>
    <t>AARD UV'S</t>
  </si>
  <si>
    <t>Duba Utility</t>
  </si>
  <si>
    <t>aard-uv60-diesel tank</t>
  </si>
  <si>
    <t>UV0053</t>
  </si>
  <si>
    <t>Hansie Louw</t>
  </si>
  <si>
    <t>aard-uv60</t>
  </si>
  <si>
    <t>UV0084</t>
  </si>
  <si>
    <t>aard-uv80-water tank truck</t>
  </si>
  <si>
    <t>UV0121</t>
  </si>
  <si>
    <t>Capital-Graben</t>
  </si>
  <si>
    <t>aard-uv80</t>
  </si>
  <si>
    <t>UV0130</t>
  </si>
  <si>
    <t>UV0139</t>
  </si>
  <si>
    <t>UV0140</t>
  </si>
  <si>
    <t>SCALER'S</t>
  </si>
  <si>
    <t>SR0025</t>
  </si>
  <si>
    <t>scaler</t>
  </si>
  <si>
    <t>SR0027</t>
  </si>
  <si>
    <t>SR0029</t>
  </si>
  <si>
    <t>SR0033</t>
  </si>
  <si>
    <t>scaler graben Capital Tel 5013</t>
  </si>
  <si>
    <t>SR0036</t>
  </si>
  <si>
    <t>scaler 17upper 74 Portigter</t>
  </si>
  <si>
    <t>SR0042</t>
  </si>
  <si>
    <t>SR0046</t>
  </si>
  <si>
    <t>Scaler Mining</t>
  </si>
  <si>
    <t>SR0053</t>
  </si>
  <si>
    <t>SR0054</t>
  </si>
  <si>
    <t>TOYOTA CRUISER WITH HIAB'S</t>
  </si>
  <si>
    <t>Life Tmm</t>
  </si>
  <si>
    <t>Toyota Cruiser 4x4</t>
  </si>
  <si>
    <t>LD0 589*</t>
  </si>
  <si>
    <t>LD0 590*</t>
  </si>
  <si>
    <t>Didi-Boilermaker</t>
  </si>
  <si>
    <t>Toyota Cruiser 4x</t>
  </si>
  <si>
    <t>LD0 592*</t>
  </si>
  <si>
    <t>Izak Bothman KalTire</t>
  </si>
  <si>
    <t>Toyota Cruiser 4x4/Kal Tire</t>
  </si>
  <si>
    <t>LD0 593*</t>
  </si>
  <si>
    <t>Fitters Lebogang</t>
  </si>
  <si>
    <t>Toyota Cruiser 4x4/</t>
  </si>
  <si>
    <t>LD0 594</t>
  </si>
  <si>
    <t>LD0 621</t>
  </si>
  <si>
    <t>LD0 633</t>
  </si>
  <si>
    <t>nerospec have to attand it doing upgade</t>
  </si>
  <si>
    <t>TOYOTA CRUISER TROPPER'S</t>
  </si>
  <si>
    <t>Karl Roadways</t>
  </si>
  <si>
    <t>LD0 596</t>
  </si>
  <si>
    <t>Geologist&amp;Survey</t>
  </si>
  <si>
    <t>LD0 605</t>
  </si>
  <si>
    <t>Mining-Peace</t>
  </si>
  <si>
    <t>LD0 629</t>
  </si>
  <si>
    <t>LD0 649</t>
  </si>
  <si>
    <t>LD0 650</t>
  </si>
  <si>
    <t xml:space="preserve">TOYOTA CRUISER WITHOUT HIAB'S </t>
  </si>
  <si>
    <t>William Tel:5429</t>
  </si>
  <si>
    <t>Toyota Cruiser 4x4/ lube</t>
  </si>
  <si>
    <t>LD0 591</t>
  </si>
  <si>
    <t>Toyota Cruiser 4x4- single cap</t>
  </si>
  <si>
    <t>LD0 621*</t>
  </si>
  <si>
    <t>Electrician tel:5416</t>
  </si>
  <si>
    <t>LD0 623</t>
  </si>
  <si>
    <t xml:space="preserve">Toyota Cruiser 4x4/ </t>
  </si>
  <si>
    <t>LD0630*</t>
  </si>
  <si>
    <t>LD0631</t>
  </si>
  <si>
    <t>Boilers</t>
  </si>
  <si>
    <t>LD0634*</t>
  </si>
  <si>
    <t>Izak Botham</t>
  </si>
  <si>
    <t>Toyota Cruiser 4x4/ drill rod carrier</t>
  </si>
  <si>
    <t>LD0636*</t>
  </si>
  <si>
    <t>Manyafunyafu</t>
  </si>
  <si>
    <t>CRUISER SINGLE CAP Hiab</t>
  </si>
  <si>
    <t>LD0642</t>
  </si>
  <si>
    <t>LD0647</t>
  </si>
  <si>
    <t>LD0648</t>
  </si>
  <si>
    <t>Strata team</t>
  </si>
  <si>
    <t>LD0658</t>
  </si>
  <si>
    <t>Project</t>
  </si>
  <si>
    <t>CRUISER 8 Seater</t>
  </si>
  <si>
    <t>LD0675</t>
  </si>
  <si>
    <t>Details</t>
  </si>
  <si>
    <t>FEEDER BELT CHUTE</t>
  </si>
  <si>
    <t>TIPS 1&amp;2</t>
  </si>
  <si>
    <t>Area xyz</t>
  </si>
  <si>
    <t>Supervisor/artisan who assisted with unblocking</t>
  </si>
  <si>
    <t>J Benson</t>
  </si>
  <si>
    <t>TK Mosiane</t>
  </si>
  <si>
    <t>Xaba</t>
  </si>
  <si>
    <t xml:space="preserve"> Reason for blockage</t>
  </si>
  <si>
    <t xml:space="preserve">Big rock wedge </t>
  </si>
  <si>
    <t>No blockages</t>
  </si>
  <si>
    <t>No Blockage</t>
  </si>
  <si>
    <t>No blockage</t>
  </si>
  <si>
    <t>Time of blockage</t>
  </si>
  <si>
    <t>12h37-13h02</t>
  </si>
  <si>
    <t>N/A</t>
  </si>
  <si>
    <t>Reason for blockage</t>
  </si>
  <si>
    <t>Big rock wedge inside chute</t>
  </si>
  <si>
    <t>11h16-11h37</t>
  </si>
  <si>
    <t>06/12/2026</t>
  </si>
  <si>
    <t>07/12/2025</t>
  </si>
  <si>
    <t>08/12/2025</t>
  </si>
  <si>
    <t>09/12/2025</t>
  </si>
  <si>
    <t>10/12/2025</t>
  </si>
  <si>
    <t>11/12/2025</t>
  </si>
  <si>
    <t>12/12/2025</t>
  </si>
  <si>
    <t>13/12/2025</t>
  </si>
  <si>
    <t>14/12/2025</t>
  </si>
  <si>
    <t>15/12/2025</t>
  </si>
  <si>
    <t>16/12/2025</t>
  </si>
  <si>
    <t>17/12/2025</t>
  </si>
  <si>
    <t>18/12/2025</t>
  </si>
  <si>
    <t>19/12/2025</t>
  </si>
  <si>
    <t>20/12/2025</t>
  </si>
  <si>
    <t>21/12/2025</t>
  </si>
  <si>
    <t>22/12/2025</t>
  </si>
  <si>
    <t>23/12/2025</t>
  </si>
  <si>
    <t>24/12/2025</t>
  </si>
  <si>
    <t>25/12/2025</t>
  </si>
  <si>
    <t>26/12/2025</t>
  </si>
  <si>
    <t>27/12/2025</t>
  </si>
  <si>
    <t>28/12/2025</t>
  </si>
  <si>
    <t>29/12/2025</t>
  </si>
  <si>
    <t>30/12/2025</t>
  </si>
  <si>
    <t>31/12/2025</t>
  </si>
  <si>
    <t>COST By ELEMENT</t>
  </si>
  <si>
    <t>MONTH ACTUAL</t>
  </si>
  <si>
    <t>MONTH BUDGET</t>
  </si>
  <si>
    <t>MONTH VAR</t>
  </si>
  <si>
    <t>YTD ACTUAL</t>
  </si>
  <si>
    <t>YTD BUDGET</t>
  </si>
  <si>
    <t xml:space="preserve">YTD VAR </t>
  </si>
  <si>
    <t>Labour Cost</t>
  </si>
  <si>
    <t>Overtime</t>
  </si>
  <si>
    <t>Incentive Provision</t>
  </si>
  <si>
    <t>Stores</t>
  </si>
  <si>
    <t>Major Repairs</t>
  </si>
  <si>
    <t>Contractors</t>
  </si>
  <si>
    <t>Other Cost</t>
  </si>
  <si>
    <t>TOTAL</t>
  </si>
  <si>
    <t>FL86 brakes; FL102 axle; FL106 fire suppression</t>
  </si>
  <si>
    <t>Utility - Production and UV123 maintenance</t>
  </si>
  <si>
    <t>Boilermaker - maintenance at 2West feeder discharge chute and crusher scalping screen</t>
  </si>
  <si>
    <t>Electricians - Support production and remove MS007 at Main Drive and connect new minisub at 74W</t>
  </si>
  <si>
    <t>Nerospec - Support production and CAS L9</t>
  </si>
  <si>
    <t>Strata - Support production and CAS L9</t>
  </si>
  <si>
    <t>Mechanics - Support production; DT128 transmission</t>
  </si>
  <si>
    <t>Drills - Support production; Service HD63 and HD64</t>
  </si>
  <si>
    <t>DT128 transmission</t>
  </si>
  <si>
    <t>SR45 tyre</t>
  </si>
  <si>
    <t>FL86 brakes; FL102 axle; FL87 modules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</si>
</sst>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44" formatCode="_-&quot;R&quot;* #,##0.00_-;\-&quot;R&quot;* #,##0.00_-;_-&quot;R&quot;* &quot;-&quot;??_-;_-@_-"/>
    <numFmt numFmtId="43" formatCode="_-* #,##0.00_-;\-* #,##0.00_-;_-* &quot;-&quot;??_-;_-@_-"/>
    <numFmt numFmtId="164" formatCode="0.0%"/>
    <numFmt numFmtId="165" formatCode="[$-F800]dddd\,\ mmmm\ dd\,\ yyyy"/>
    <numFmt numFmtId="166" formatCode="[$-1C09]dd\ mmmm\ yyyy;@"/>
  </numFmts>
  <fonts count="100">
    <font>
      <sz val="11"/>
      <color theme="1"/>
      <name val="Calibri"/>
      <family val="2"/>
      <scheme val="minor"/>
    </font>
    <font>
      <b/>
      <u/>
      <sz val="16"/>
      <color theme="1"/>
      <name val="Calibri"/>
      <family val="2"/>
      <scheme val="minor"/>
    </font>
    <font>
      <b/>
      <sz val="12"/>
      <color theme="1"/>
      <name val="Calibri"/>
      <family val="2"/>
      <scheme val="minor"/>
    </font>
    <font>
      <sz val="12"/>
      <color theme="1"/>
      <name val="Calibri"/>
      <family val="2"/>
      <scheme val="minor"/>
    </font>
    <font>
      <sz val="11"/>
      <color theme="1"/>
      <name val="Calibri"/>
      <family val="2"/>
      <scheme val="minor"/>
    </font>
    <font>
      <b/>
      <sz val="11"/>
      <color theme="1"/>
      <name val="Calibri"/>
      <family val="2"/>
      <scheme val="minor"/>
    </font>
    <font>
      <sz val="11"/>
      <color rgb="FF000000"/>
      <name val="Calibri"/>
      <family val="2"/>
      <scheme val="minor"/>
    </font>
    <font>
      <sz val="11"/>
      <name val="Calibri"/>
      <family val="2"/>
      <scheme val="minor"/>
    </font>
    <font>
      <sz val="10"/>
      <name val="Arial"/>
      <family val="2"/>
    </font>
    <font>
      <sz val="11"/>
      <color rgb="FF1F497D"/>
      <name val="Calibri"/>
      <family val="2"/>
      <scheme val="minor"/>
    </font>
    <font>
      <sz val="10"/>
      <name val="Arial"/>
      <family val="2"/>
    </font>
    <font>
      <sz val="16"/>
      <color theme="1"/>
      <name val="Calibri"/>
      <family val="2"/>
      <scheme val="minor"/>
    </font>
    <font>
      <b/>
      <sz val="16"/>
      <color theme="1"/>
      <name val="Calibri"/>
      <family val="2"/>
      <scheme val="minor"/>
    </font>
    <font>
      <b/>
      <sz val="16"/>
      <color rgb="FFFF0000"/>
      <name val="Calibri"/>
      <family val="2"/>
      <scheme val="minor"/>
    </font>
    <font>
      <b/>
      <sz val="16"/>
      <name val="Calibri"/>
      <family val="2"/>
      <scheme val="minor"/>
    </font>
    <font>
      <b/>
      <sz val="16"/>
      <color rgb="FF0070C0"/>
      <name val="Calibri"/>
      <family val="2"/>
      <scheme val="minor"/>
    </font>
    <font>
      <sz val="10"/>
      <color theme="1"/>
      <name val="Calibri"/>
      <family val="2"/>
      <scheme val="minor"/>
    </font>
    <font>
      <sz val="11"/>
      <color theme="1"/>
      <name val="Calibri"/>
      <family val="2"/>
      <scheme val="minor"/>
    </font>
    <font>
      <sz val="14"/>
      <color theme="1"/>
      <name val="Calibri"/>
      <family val="2"/>
      <scheme val="minor"/>
    </font>
    <font>
      <sz val="11"/>
      <color rgb="FFFF0000"/>
      <name val="Calibri"/>
      <family val="2"/>
      <scheme val="minor"/>
    </font>
    <font>
      <sz val="11"/>
      <color theme="1"/>
      <name val="Calibri"/>
      <family val="2"/>
      <scheme val="minor"/>
    </font>
    <font>
      <sz val="11"/>
      <color theme="1"/>
      <name val="Calibri"/>
      <charset val="134"/>
      <scheme val="minor"/>
    </font>
    <font>
      <sz val="11"/>
      <color rgb="FF006100"/>
      <name val="Calibri"/>
      <family val="2"/>
      <scheme val="minor"/>
    </font>
    <font>
      <sz val="11"/>
      <color rgb="FF9C0006"/>
      <name val="Calibri"/>
      <family val="2"/>
      <scheme val="minor"/>
    </font>
    <font>
      <b/>
      <u/>
      <sz val="26"/>
      <color theme="1"/>
      <name val="Calibri"/>
      <family val="2"/>
      <scheme val="minor"/>
    </font>
    <font>
      <b/>
      <u/>
      <sz val="24"/>
      <color theme="1"/>
      <name val="Calibri"/>
      <family val="2"/>
      <scheme val="minor"/>
    </font>
    <font>
      <b/>
      <u/>
      <sz val="22"/>
      <color theme="1"/>
      <name val="Calibri"/>
      <family val="2"/>
      <scheme val="minor"/>
    </font>
    <font>
      <b/>
      <u/>
      <sz val="18"/>
      <color theme="1"/>
      <name val="Calibri"/>
      <family val="2"/>
      <scheme val="minor"/>
    </font>
    <font>
      <b/>
      <u/>
      <sz val="11"/>
      <color theme="1"/>
      <name val="Calibri"/>
      <family val="2"/>
      <scheme val="minor"/>
    </font>
    <font>
      <b/>
      <u/>
      <sz val="18"/>
      <color rgb="FFFF0000"/>
      <name val="Calibri"/>
      <family val="2"/>
      <scheme val="minor"/>
    </font>
    <font>
      <sz val="10"/>
      <color rgb="FF000000"/>
      <name val="Calibri"/>
      <family val="2"/>
    </font>
    <font>
      <sz val="11"/>
      <color rgb="FF000000"/>
      <name val="Calibri"/>
      <family val="2"/>
    </font>
    <font>
      <u/>
      <sz val="11"/>
      <color theme="10"/>
      <name val="Calibri"/>
      <family val="2"/>
      <scheme val="minor"/>
    </font>
    <font>
      <sz val="10"/>
      <color theme="1"/>
      <name val="Century Gothic"/>
      <family val="2"/>
    </font>
    <font>
      <b/>
      <sz val="10"/>
      <name val="Calibri"/>
      <family val="2"/>
    </font>
    <font>
      <b/>
      <sz val="11"/>
      <color rgb="FF000000"/>
      <name val="Calibri"/>
      <family val="2"/>
    </font>
    <font>
      <sz val="10"/>
      <name val="Calibri"/>
      <family val="2"/>
    </font>
    <font>
      <sz val="10"/>
      <color rgb="FF000000"/>
      <name val="Calibri"/>
      <family val="2"/>
      <scheme val="minor"/>
    </font>
    <font>
      <sz val="10"/>
      <color theme="1"/>
      <name val="Calibri"/>
      <family val="2"/>
    </font>
    <font>
      <sz val="9"/>
      <color rgb="FF000000"/>
      <name val="Century Gothic"/>
      <family val="2"/>
    </font>
    <font>
      <sz val="9"/>
      <color theme="1"/>
      <name val="Century Gothic"/>
      <family val="2"/>
    </font>
    <font>
      <sz val="10"/>
      <color rgb="FF000000"/>
      <name val="Arial"/>
      <family val="2"/>
    </font>
    <font>
      <sz val="9"/>
      <color theme="1"/>
      <name val="Calibri"/>
      <family val="2"/>
      <scheme val="minor"/>
    </font>
    <font>
      <sz val="9"/>
      <color rgb="FF000000"/>
      <name val="Calibri"/>
      <family val="2"/>
      <scheme val="minor"/>
    </font>
    <font>
      <sz val="11"/>
      <color rgb="FF000000"/>
      <name val="Arial"/>
      <family val="2"/>
    </font>
    <font>
      <sz val="14"/>
      <color rgb="FF000000"/>
      <name val="Calibri"/>
      <family val="2"/>
    </font>
    <font>
      <sz val="12"/>
      <name val="Calibri"/>
      <family val="2"/>
    </font>
    <font>
      <sz val="12"/>
      <color theme="1"/>
      <name val="Calibri"/>
      <family val="2"/>
    </font>
    <font>
      <sz val="14"/>
      <color rgb="FF000000"/>
      <name val="Calibri"/>
      <family val="2"/>
      <scheme val="minor"/>
    </font>
    <font>
      <sz val="14"/>
      <name val="Calibri"/>
      <family val="2"/>
    </font>
    <font>
      <b/>
      <u/>
      <sz val="36"/>
      <color theme="1"/>
      <name val="Calibri"/>
      <family val="2"/>
      <scheme val="minor"/>
    </font>
    <font>
      <b/>
      <sz val="18"/>
      <color theme="1"/>
      <name val="Calibri"/>
      <family val="2"/>
      <scheme val="minor"/>
    </font>
    <font>
      <b/>
      <sz val="36"/>
      <color theme="1"/>
      <name val="Calibri"/>
      <family val="2"/>
      <scheme val="minor"/>
    </font>
    <font>
      <b/>
      <sz val="12"/>
      <color theme="1"/>
      <name val="Calibri"/>
      <family val="2"/>
    </font>
    <font>
      <b/>
      <sz val="12"/>
      <color rgb="FFFF0000"/>
      <name val="Calibri"/>
      <family val="2"/>
      <scheme val="minor"/>
    </font>
    <font>
      <sz val="12"/>
      <name val="Calibri"/>
      <family val="2"/>
      <scheme val="minor"/>
    </font>
    <font>
      <b/>
      <sz val="12"/>
      <color rgb="FFFF0000"/>
      <name val="Calibri"/>
      <family val="2"/>
    </font>
    <font>
      <sz val="12"/>
      <color rgb="FF000000"/>
      <name val="Calibri"/>
      <family val="2"/>
      <scheme val="minor"/>
    </font>
    <font>
      <b/>
      <sz val="12"/>
      <name val="Calibri"/>
      <family val="2"/>
      <scheme val="minor"/>
    </font>
    <font>
      <b/>
      <sz val="28"/>
      <color theme="1"/>
      <name val="Calibri"/>
      <family val="2"/>
      <scheme val="minor"/>
    </font>
    <font>
      <b/>
      <sz val="14"/>
      <name val="Calibri"/>
      <family val="2"/>
      <scheme val="minor"/>
    </font>
    <font>
      <sz val="8"/>
      <color theme="1"/>
      <name val="Arial"/>
      <family val="2"/>
    </font>
    <font>
      <sz val="9"/>
      <color rgb="FFFF0000"/>
      <name val="Arial"/>
      <family val="2"/>
    </font>
    <font>
      <b/>
      <sz val="11"/>
      <name val="Calibri"/>
      <family val="2"/>
      <scheme val="minor"/>
    </font>
    <font>
      <sz val="8"/>
      <name val="Calibri"/>
      <family val="2"/>
      <scheme val="minor"/>
    </font>
    <font>
      <sz val="8"/>
      <color rgb="FFFF0000"/>
      <name val="Calibri"/>
      <family val="2"/>
      <scheme val="minor"/>
    </font>
    <font>
      <sz val="8"/>
      <color theme="1"/>
      <name val="Calibri"/>
      <family val="2"/>
      <scheme val="minor"/>
    </font>
    <font>
      <i/>
      <sz val="9"/>
      <color rgb="FFFF0000"/>
      <name val="Arial"/>
      <family val="2"/>
    </font>
    <font>
      <b/>
      <sz val="8"/>
      <name val="Calibri"/>
      <family val="2"/>
      <scheme val="minor"/>
    </font>
    <font>
      <sz val="8"/>
      <color rgb="FFFF0000"/>
      <name val="Arial"/>
      <family val="2"/>
    </font>
    <font>
      <i/>
      <sz val="11"/>
      <color rgb="FFFF0000"/>
      <name val="Calibri"/>
      <family val="2"/>
      <scheme val="minor"/>
    </font>
    <font>
      <sz val="9"/>
      <color indexed="8"/>
      <name val="Arial"/>
      <family val="2"/>
    </font>
    <font>
      <sz val="8"/>
      <name val="Arial"/>
      <family val="2"/>
    </font>
    <font>
      <sz val="9"/>
      <name val="Arial"/>
      <family val="2"/>
    </font>
    <font>
      <i/>
      <sz val="9"/>
      <name val="Arial"/>
      <family val="2"/>
    </font>
    <font>
      <b/>
      <sz val="12"/>
      <name val="Arial"/>
      <family val="2"/>
    </font>
    <font>
      <b/>
      <sz val="10"/>
      <name val="Arial"/>
      <family val="2"/>
    </font>
    <font>
      <sz val="8"/>
      <color indexed="8"/>
      <name val="Arial"/>
      <family val="2"/>
    </font>
    <font>
      <b/>
      <sz val="10"/>
      <color theme="1"/>
      <name val="Arial"/>
      <family val="2"/>
    </font>
    <font>
      <sz val="10"/>
      <color theme="1"/>
      <name val="Arial"/>
      <family val="2"/>
    </font>
    <font>
      <b/>
      <sz val="12"/>
      <color theme="1"/>
      <name val="Arial"/>
      <family val="2"/>
    </font>
    <font>
      <i/>
      <sz val="9"/>
      <color indexed="8"/>
      <name val="Arial"/>
      <family val="2"/>
    </font>
    <font>
      <sz val="10"/>
      <color rgb="FFFF0000"/>
      <name val="Arial"/>
      <family val="2"/>
    </font>
    <font>
      <b/>
      <sz val="10"/>
      <color rgb="FFFF0000"/>
      <name val="Arial"/>
      <family val="2"/>
    </font>
    <font>
      <b/>
      <u/>
      <sz val="10"/>
      <color rgb="FFFF0000"/>
      <name val="Arial"/>
      <family val="2"/>
    </font>
    <font>
      <sz val="11"/>
      <color theme="1"/>
      <name val="Times New Roman"/>
      <family val="1"/>
    </font>
    <font>
      <b/>
      <sz val="16"/>
      <color rgb="FFFF0000"/>
      <name val="Arial"/>
      <family val="2"/>
    </font>
    <font>
      <b/>
      <u/>
      <sz val="16"/>
      <color rgb="FFFF0000"/>
      <name val="Arial"/>
      <family val="2"/>
    </font>
    <font>
      <b/>
      <sz val="8"/>
      <color theme="1"/>
      <name val="Calibri"/>
      <family val="2"/>
      <scheme val="minor"/>
    </font>
    <font>
      <i/>
      <sz val="9"/>
      <color rgb="FFFF0000"/>
      <name val="Aptos"/>
    </font>
    <font>
      <sz val="9"/>
      <color theme="1"/>
      <name val="Arial"/>
      <family val="2"/>
    </font>
    <font>
      <b/>
      <sz val="8"/>
      <name val="Arial"/>
      <family val="2"/>
    </font>
    <font>
      <sz val="12"/>
      <color theme="1"/>
      <name val="Times New Roman"/>
      <family val="1"/>
    </font>
    <font>
      <b/>
      <sz val="10"/>
      <color theme="1"/>
      <name val="Calibri"/>
      <family val="2"/>
      <scheme val="minor"/>
    </font>
    <font>
      <b/>
      <sz val="11"/>
      <color indexed="63"/>
      <name val="Arial"/>
      <family val="2"/>
    </font>
    <font>
      <sz val="11"/>
      <color indexed="63"/>
      <name val="Arial"/>
      <family val="2"/>
    </font>
    <font>
      <sz val="11"/>
      <color indexed="53"/>
      <name val="Arial"/>
      <family val="2"/>
    </font>
    <font>
      <sz val="11"/>
      <color indexed="57"/>
      <name val="Arial"/>
      <family val="2"/>
    </font>
    <font>
      <b/>
      <sz val="11"/>
      <color indexed="8"/>
      <name val="Arial"/>
      <family val="2"/>
    </font>
    <font>
      <b/>
      <sz val="11"/>
      <color indexed="17"/>
      <name val="Arial"/>
      <family val="2"/>
    </font>
  </fonts>
  <fills count="42">
    <fill>
      <patternFill patternType="none"/>
    </fill>
    <fill>
      <patternFill patternType="gray125"/>
    </fill>
    <fill>
      <patternFill patternType="solid">
        <fgColor theme="0" tint="-0.14999847407452621"/>
        <bgColor indexed="64"/>
      </patternFill>
    </fill>
    <fill>
      <patternFill patternType="solid">
        <fgColor theme="7" tint="0.79998168889431442"/>
        <bgColor indexed="64"/>
      </patternFill>
    </fill>
    <fill>
      <patternFill patternType="solid">
        <fgColor indexed="9"/>
        <bgColor indexed="64"/>
      </patternFill>
    </fill>
    <fill>
      <patternFill patternType="solid">
        <fgColor theme="0"/>
        <bgColor indexed="64"/>
      </patternFill>
    </fill>
    <fill>
      <patternFill patternType="solid">
        <fgColor indexed="41"/>
        <bgColor indexed="64"/>
      </patternFill>
    </fill>
    <fill>
      <patternFill patternType="solid">
        <fgColor indexed="26"/>
        <bgColor indexed="64"/>
      </patternFill>
    </fill>
    <fill>
      <patternFill patternType="solid">
        <fgColor indexed="43"/>
        <bgColor indexed="64"/>
      </patternFill>
    </fill>
    <fill>
      <patternFill patternType="solid">
        <fgColor indexed="45"/>
        <bgColor indexed="64"/>
      </patternFill>
    </fill>
    <fill>
      <patternFill patternType="solid">
        <fgColor theme="4" tint="0.59999389629810485"/>
        <bgColor indexed="64"/>
      </patternFill>
    </fill>
    <fill>
      <patternFill patternType="solid">
        <fgColor rgb="FFFFFF00"/>
        <bgColor indexed="64"/>
      </patternFill>
    </fill>
    <fill>
      <patternFill patternType="solid">
        <fgColor rgb="FFFF0000"/>
        <bgColor indexed="64"/>
      </patternFill>
    </fill>
    <fill>
      <patternFill patternType="solid">
        <fgColor rgb="FFFFC000"/>
        <bgColor indexed="64"/>
      </patternFill>
    </fill>
    <fill>
      <patternFill patternType="solid">
        <fgColor rgb="FFC6EFCE"/>
      </patternFill>
    </fill>
    <fill>
      <patternFill patternType="solid">
        <fgColor rgb="FFFFC7CE"/>
      </patternFill>
    </fill>
    <fill>
      <patternFill patternType="solid">
        <fgColor theme="0" tint="-0.14996795556505021"/>
        <bgColor indexed="64"/>
      </patternFill>
    </fill>
    <fill>
      <patternFill patternType="solid">
        <fgColor rgb="FF00B050"/>
        <bgColor indexed="64"/>
      </patternFill>
    </fill>
    <fill>
      <patternFill patternType="solid">
        <fgColor rgb="FF00B0F0"/>
        <bgColor indexed="64"/>
      </patternFill>
    </fill>
    <fill>
      <patternFill patternType="solid">
        <fgColor theme="0" tint="-0.249977111117893"/>
        <bgColor indexed="64"/>
      </patternFill>
    </fill>
    <fill>
      <patternFill patternType="solid">
        <fgColor rgb="FFFF99FF"/>
        <bgColor indexed="64"/>
      </patternFill>
    </fill>
    <fill>
      <patternFill patternType="solid">
        <fgColor rgb="FFFFFFFF"/>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D9E1F2"/>
        <bgColor indexed="64"/>
      </patternFill>
    </fill>
    <fill>
      <patternFill patternType="solid">
        <fgColor theme="5" tint="0.39997558519241921"/>
        <bgColor indexed="64"/>
      </patternFill>
    </fill>
    <fill>
      <patternFill patternType="solid">
        <fgColor rgb="FFC00000"/>
        <bgColor indexed="64"/>
      </patternFill>
    </fill>
    <fill>
      <patternFill patternType="solid">
        <fgColor theme="9"/>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5" tint="0.79998168889431442"/>
        <bgColor indexed="64"/>
      </patternFill>
    </fill>
    <fill>
      <patternFill patternType="solid">
        <fgColor theme="9" tint="0.59999389629810485"/>
        <bgColor indexed="64"/>
      </patternFill>
    </fill>
    <fill>
      <patternFill patternType="solid">
        <fgColor theme="0" tint="-0.34998626667073579"/>
        <bgColor indexed="64"/>
      </patternFill>
    </fill>
    <fill>
      <patternFill patternType="solid">
        <fgColor theme="1" tint="0.499984740745262"/>
        <bgColor indexed="64"/>
      </patternFill>
    </fill>
    <fill>
      <patternFill patternType="solid">
        <fgColor theme="8" tint="0.39997558519241921"/>
        <bgColor indexed="64"/>
      </patternFill>
    </fill>
    <fill>
      <patternFill patternType="solid">
        <fgColor theme="3" tint="0.59999389629810485"/>
        <bgColor indexed="64"/>
      </patternFill>
    </fill>
    <fill>
      <patternFill patternType="solid">
        <fgColor theme="6"/>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theme="2"/>
        <bgColor indexed="64"/>
      </patternFill>
    </fill>
    <fill>
      <patternFill patternType="solid">
        <fgColor theme="7" tint="-0.249977111117893"/>
        <bgColor indexed="64"/>
      </patternFill>
    </fill>
    <fill>
      <patternFill patternType="solid">
        <fgColor theme="1"/>
        <bgColor indexed="64"/>
      </patternFill>
    </fill>
  </fills>
  <borders count="17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bottom style="medium">
        <color indexed="64"/>
      </bottom>
      <diagonal/>
    </border>
    <border>
      <left style="medium">
        <color auto="1"/>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thin">
        <color indexed="64"/>
      </left>
      <right style="thin">
        <color indexed="64"/>
      </right>
      <top style="thin">
        <color indexed="64"/>
      </top>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style="thin">
        <color indexed="64"/>
      </left>
      <right style="thin">
        <color indexed="64"/>
      </right>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medium">
        <color rgb="FF505050"/>
      </top>
      <bottom style="medium">
        <color rgb="FF505050"/>
      </bottom>
      <diagonal/>
    </border>
    <border>
      <left/>
      <right style="thin">
        <color indexed="64"/>
      </right>
      <top style="thin">
        <color indexed="64"/>
      </top>
      <bottom style="thin">
        <color indexed="64"/>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indexed="64"/>
      </right>
      <top style="thin">
        <color indexed="64"/>
      </top>
      <bottom style="thin">
        <color indexed="64"/>
      </bottom>
      <diagonal/>
    </border>
    <border>
      <left style="thin">
        <color indexed="42"/>
      </left>
      <right style="thin">
        <color indexed="42"/>
      </right>
      <top style="thin">
        <color indexed="42"/>
      </top>
      <bottom style="thin">
        <color indexed="42"/>
      </bottom>
      <diagonal/>
    </border>
    <border>
      <left/>
      <right/>
      <top style="thin">
        <color indexed="42"/>
      </top>
      <bottom style="thin">
        <color indexed="42"/>
      </bottom>
      <diagonal/>
    </border>
    <border>
      <left style="thin">
        <color auto="1"/>
      </left>
      <right style="thin">
        <color auto="1"/>
      </right>
      <top style="thin">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medium">
        <color auto="1"/>
      </top>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thin">
        <color auto="1"/>
      </bottom>
      <diagonal/>
    </border>
    <border>
      <left/>
      <right style="medium">
        <color auto="1"/>
      </right>
      <top style="thin">
        <color auto="1"/>
      </top>
      <bottom style="thin">
        <color auto="1"/>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medium">
        <color auto="1"/>
      </right>
      <top style="thin">
        <color auto="1"/>
      </top>
      <bottom/>
      <diagonal/>
    </border>
    <border>
      <left style="medium">
        <color auto="1"/>
      </left>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medium">
        <color auto="1"/>
      </left>
      <right style="medium">
        <color auto="1"/>
      </right>
      <top/>
      <bottom/>
      <diagonal/>
    </border>
    <border>
      <left style="thin">
        <color auto="1"/>
      </left>
      <right/>
      <top style="medium">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bottom style="thin">
        <color auto="1"/>
      </bottom>
      <diagonal/>
    </border>
    <border>
      <left style="thin">
        <color auto="1"/>
      </left>
      <right style="thin">
        <color auto="1"/>
      </right>
      <top style="medium">
        <color auto="1"/>
      </top>
      <bottom/>
      <diagonal/>
    </border>
    <border>
      <left style="thin">
        <color auto="1"/>
      </left>
      <right/>
      <top style="medium">
        <color auto="1"/>
      </top>
      <bottom/>
      <diagonal/>
    </border>
    <border>
      <left/>
      <right/>
      <top style="medium">
        <color auto="1"/>
      </top>
      <bottom/>
      <diagonal/>
    </border>
    <border>
      <left/>
      <right style="thin">
        <color auto="1"/>
      </right>
      <top style="medium">
        <color auto="1"/>
      </top>
      <bottom/>
      <diagonal/>
    </border>
    <border>
      <left style="thin">
        <color auto="1"/>
      </left>
      <right style="medium">
        <color auto="1"/>
      </right>
      <top style="medium">
        <color auto="1"/>
      </top>
      <bottom/>
      <diagonal/>
    </border>
    <border>
      <left style="thin">
        <color auto="1"/>
      </left>
      <right style="thin">
        <color auto="1"/>
      </right>
      <top/>
      <bottom/>
      <diagonal/>
    </border>
    <border>
      <left/>
      <right style="medium">
        <color indexed="64"/>
      </right>
      <top/>
      <bottom style="medium">
        <color indexed="64"/>
      </bottom>
      <diagonal/>
    </border>
    <border>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double">
        <color auto="1"/>
      </left>
      <right/>
      <top style="double">
        <color auto="1"/>
      </top>
      <bottom style="double">
        <color auto="1"/>
      </bottom>
      <diagonal/>
    </border>
    <border>
      <left/>
      <right/>
      <top style="double">
        <color auto="1"/>
      </top>
      <bottom style="double">
        <color auto="1"/>
      </bottom>
      <diagonal/>
    </border>
    <border>
      <left style="medium">
        <color indexed="64"/>
      </left>
      <right/>
      <top style="medium">
        <color indexed="64"/>
      </top>
      <bottom style="thick">
        <color indexed="64"/>
      </bottom>
      <diagonal/>
    </border>
    <border>
      <left/>
      <right/>
      <top style="medium">
        <color indexed="64"/>
      </top>
      <bottom style="thick">
        <color indexed="64"/>
      </bottom>
      <diagonal/>
    </border>
    <border>
      <left/>
      <right style="medium">
        <color auto="1"/>
      </right>
      <top style="medium">
        <color auto="1"/>
      </top>
      <bottom/>
      <diagonal/>
    </border>
    <border>
      <left style="medium">
        <color indexed="64"/>
      </left>
      <right/>
      <top style="thick">
        <color indexed="64"/>
      </top>
      <bottom style="thick">
        <color indexed="64"/>
      </bottom>
      <diagonal/>
    </border>
    <border>
      <left/>
      <right/>
      <top style="thick">
        <color indexed="64"/>
      </top>
      <bottom style="thick">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ck">
        <color indexed="64"/>
      </left>
      <right style="medium">
        <color indexed="64"/>
      </right>
      <top style="thick">
        <color indexed="64"/>
      </top>
      <bottom/>
      <diagonal/>
    </border>
    <border>
      <left/>
      <right style="thick">
        <color indexed="64"/>
      </right>
      <top style="thick">
        <color indexed="64"/>
      </top>
      <bottom style="thick">
        <color indexed="64"/>
      </bottom>
      <diagonal/>
    </border>
    <border>
      <left style="thick">
        <color indexed="64"/>
      </left>
      <right/>
      <top style="thick">
        <color indexed="64"/>
      </top>
      <bottom style="thick">
        <color indexed="64"/>
      </bottom>
      <diagonal/>
    </border>
    <border>
      <left style="thick">
        <color indexed="64"/>
      </left>
      <right/>
      <top/>
      <bottom style="thick">
        <color indexed="64"/>
      </bottom>
      <diagonal/>
    </border>
    <border>
      <left/>
      <right style="thick">
        <color indexed="64"/>
      </right>
      <top/>
      <bottom style="thick">
        <color indexed="64"/>
      </bottom>
      <diagonal/>
    </border>
    <border>
      <left/>
      <right/>
      <top/>
      <bottom style="thick">
        <color indexed="64"/>
      </bottom>
      <diagonal/>
    </border>
    <border>
      <left style="medium">
        <color indexed="64"/>
      </left>
      <right style="medium">
        <color indexed="64"/>
      </right>
      <top style="medium">
        <color indexed="64"/>
      </top>
      <bottom style="medium">
        <color indexed="64"/>
      </bottom>
      <diagonal/>
    </border>
    <border>
      <left style="thick">
        <color indexed="64"/>
      </left>
      <right style="medium">
        <color indexed="64"/>
      </right>
      <top/>
      <bottom style="thick">
        <color indexed="64"/>
      </bottom>
      <diagonal/>
    </border>
    <border>
      <left style="medium">
        <color indexed="64"/>
      </left>
      <right/>
      <top style="dashDotDot">
        <color auto="1"/>
      </top>
      <bottom style="dashDotDot">
        <color auto="1"/>
      </bottom>
      <diagonal/>
    </border>
    <border>
      <left/>
      <right/>
      <top style="dashDotDot">
        <color auto="1"/>
      </top>
      <bottom style="dashDotDot">
        <color auto="1"/>
      </bottom>
      <diagonal/>
    </border>
    <border>
      <left/>
      <right style="thick">
        <color auto="1"/>
      </right>
      <top style="dashDotDot">
        <color auto="1"/>
      </top>
      <bottom style="dashDotDot">
        <color auto="1"/>
      </bottom>
      <diagonal/>
    </border>
    <border>
      <left style="thick">
        <color auto="1"/>
      </left>
      <right/>
      <top style="dashDotDot">
        <color auto="1"/>
      </top>
      <bottom style="dashDotDot">
        <color auto="1"/>
      </bottom>
      <diagonal/>
    </border>
    <border>
      <left style="thick">
        <color auto="1"/>
      </left>
      <right style="thick">
        <color auto="1"/>
      </right>
      <top style="dashDotDot">
        <color auto="1"/>
      </top>
      <bottom style="dashDotDot">
        <color auto="1"/>
      </bottom>
      <diagonal/>
    </border>
    <border>
      <left style="thick">
        <color auto="1"/>
      </left>
      <right style="thick">
        <color auto="1"/>
      </right>
      <top/>
      <bottom style="dashDotDot">
        <color auto="1"/>
      </bottom>
      <diagonal/>
    </border>
    <border>
      <left style="thick">
        <color indexed="64"/>
      </left>
      <right style="medium">
        <color indexed="64"/>
      </right>
      <top style="dashDotDot">
        <color auto="1"/>
      </top>
      <bottom style="dashDotDot">
        <color auto="1"/>
      </bottom>
      <diagonal/>
    </border>
    <border>
      <left style="medium">
        <color indexed="64"/>
      </left>
      <right/>
      <top style="medium">
        <color indexed="64"/>
      </top>
      <bottom style="dashDot">
        <color indexed="64"/>
      </bottom>
      <diagonal/>
    </border>
    <border>
      <left style="medium">
        <color indexed="64"/>
      </left>
      <right/>
      <top style="dashDot">
        <color indexed="64"/>
      </top>
      <bottom style="dashDot">
        <color indexed="64"/>
      </bottom>
      <diagonal/>
    </border>
    <border>
      <left style="medium">
        <color auto="1"/>
      </left>
      <right/>
      <top style="thin">
        <color auto="1"/>
      </top>
      <bottom style="thin">
        <color auto="1"/>
      </bottom>
      <diagonal/>
    </border>
    <border>
      <left style="medium">
        <color indexed="64"/>
      </left>
      <right/>
      <top style="thin">
        <color rgb="FF000000"/>
      </top>
      <bottom style="thin">
        <color rgb="FF000000"/>
      </bottom>
      <diagonal/>
    </border>
    <border>
      <left style="medium">
        <color indexed="64"/>
      </left>
      <right style="thick">
        <color auto="1"/>
      </right>
      <top style="dashDotDot">
        <color auto="1"/>
      </top>
      <bottom style="dashDotDot">
        <color auto="1"/>
      </bottom>
      <diagonal/>
    </border>
    <border>
      <left style="thick">
        <color auto="1"/>
      </left>
      <right/>
      <top style="dashDotDot">
        <color auto="1"/>
      </top>
      <bottom/>
      <diagonal/>
    </border>
    <border>
      <left/>
      <right style="thick">
        <color auto="1"/>
      </right>
      <top style="dashDotDot">
        <color auto="1"/>
      </top>
      <bottom/>
      <diagonal/>
    </border>
    <border>
      <left/>
      <right style="thin">
        <color indexed="8"/>
      </right>
      <top style="thin">
        <color indexed="8"/>
      </top>
      <bottom style="thin">
        <color indexed="8"/>
      </bottom>
      <diagonal/>
    </border>
    <border>
      <left style="thin">
        <color indexed="8"/>
      </left>
      <right style="thin">
        <color indexed="8"/>
      </right>
      <top/>
      <bottom style="thin">
        <color indexed="8"/>
      </bottom>
      <diagonal/>
    </border>
    <border>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bottom style="thin">
        <color indexed="64"/>
      </bottom>
      <diagonal/>
    </border>
    <border>
      <left style="thin">
        <color indexed="8"/>
      </left>
      <right style="thin">
        <color indexed="8"/>
      </right>
      <top/>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bottom style="thin">
        <color indexed="64"/>
      </bottom>
      <diagonal/>
    </border>
    <border>
      <left/>
      <right style="thin">
        <color indexed="64"/>
      </right>
      <top style="thin">
        <color indexed="64"/>
      </top>
      <bottom style="medium">
        <color indexed="64"/>
      </bottom>
      <diagonal/>
    </border>
    <border>
      <left style="thin">
        <color indexed="8"/>
      </left>
      <right/>
      <top/>
      <bottom style="thin">
        <color indexed="8"/>
      </bottom>
      <diagonal/>
    </border>
    <border>
      <left style="thin">
        <color indexed="8"/>
      </left>
      <right/>
      <top style="thin">
        <color indexed="8"/>
      </top>
      <bottom style="thin">
        <color indexed="8"/>
      </bottom>
      <diagonal/>
    </border>
    <border>
      <left style="thin">
        <color rgb="FF505050"/>
      </left>
      <right/>
      <top style="medium">
        <color indexed="64"/>
      </top>
      <bottom style="thin">
        <color rgb="FF505050"/>
      </bottom>
      <diagonal/>
    </border>
    <border>
      <left/>
      <right/>
      <top style="thin">
        <color rgb="FF505050"/>
      </top>
      <bottom style="thin">
        <color rgb="FF505050"/>
      </bottom>
      <diagonal/>
    </border>
    <border>
      <left style="thin">
        <color indexed="8"/>
      </left>
      <right/>
      <top style="thin">
        <color indexed="8"/>
      </top>
      <bottom style="thin">
        <color indexed="8"/>
      </bottom>
      <diagonal/>
    </border>
    <border>
      <left style="thin">
        <color indexed="64"/>
      </left>
      <right/>
      <top style="thin">
        <color indexed="64"/>
      </top>
      <bottom/>
      <diagonal/>
    </border>
    <border>
      <left/>
      <right/>
      <top style="thin">
        <color indexed="64"/>
      </top>
      <bottom style="medium">
        <color indexed="64"/>
      </bottom>
      <diagonal/>
    </border>
    <border>
      <left style="thin">
        <color auto="1"/>
      </left>
      <right/>
      <top style="thin">
        <color auto="1"/>
      </top>
      <bottom style="medium">
        <color indexed="64"/>
      </bottom>
      <diagonal/>
    </border>
    <border>
      <left style="thin">
        <color rgb="FF505050"/>
      </left>
      <right style="thin">
        <color rgb="FF505050"/>
      </right>
      <top/>
      <bottom style="thin">
        <color rgb="FF505050"/>
      </bottom>
      <diagonal/>
    </border>
    <border>
      <left style="thin">
        <color indexed="64"/>
      </left>
      <right/>
      <top/>
      <bottom style="thin">
        <color indexed="64"/>
      </bottom>
      <diagonal/>
    </border>
    <border>
      <left/>
      <right style="medium">
        <color rgb="FF505050"/>
      </right>
      <top/>
      <bottom style="thin">
        <color indexed="64"/>
      </bottom>
      <diagonal/>
    </border>
    <border>
      <left/>
      <right style="medium">
        <color rgb="FF505050"/>
      </right>
      <top style="thin">
        <color indexed="64"/>
      </top>
      <bottom style="thin">
        <color indexed="64"/>
      </bottom>
      <diagonal/>
    </border>
    <border>
      <left style="thin">
        <color auto="1"/>
      </left>
      <right/>
      <top style="thin">
        <color auto="1"/>
      </top>
      <bottom/>
      <diagonal/>
    </border>
    <border>
      <left style="thin">
        <color auto="1"/>
      </left>
      <right/>
      <top style="thin">
        <color auto="1"/>
      </top>
      <bottom style="thin">
        <color rgb="FF505050"/>
      </bottom>
      <diagonal/>
    </border>
    <border>
      <left/>
      <right style="medium">
        <color rgb="FF505050"/>
      </right>
      <top style="thin">
        <color auto="1"/>
      </top>
      <bottom style="thin">
        <color rgb="FF505050"/>
      </bottom>
      <diagonal/>
    </border>
    <border>
      <left style="thin">
        <color rgb="FF505050"/>
      </left>
      <right/>
      <top style="thin">
        <color rgb="FF505050"/>
      </top>
      <bottom/>
      <diagonal/>
    </border>
    <border>
      <left/>
      <right style="medium">
        <color rgb="FF505050"/>
      </right>
      <top style="thin">
        <color rgb="FF505050"/>
      </top>
      <bottom/>
      <diagonal/>
    </border>
    <border>
      <left/>
      <right/>
      <top style="thin">
        <color indexed="8"/>
      </top>
      <bottom style="thin">
        <color indexed="8"/>
      </bottom>
      <diagonal/>
    </border>
    <border>
      <left style="medium">
        <color indexed="64"/>
      </left>
      <right/>
      <top/>
      <bottom style="thin">
        <color indexed="64"/>
      </bottom>
      <diagonal/>
    </border>
    <border>
      <left/>
      <right style="medium">
        <color indexed="64"/>
      </right>
      <top/>
      <bottom style="thin">
        <color indexed="64"/>
      </bottom>
      <diagonal/>
    </border>
    <border>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top style="thin">
        <color indexed="8"/>
      </top>
      <bottom style="thin">
        <color indexed="8"/>
      </bottom>
      <diagonal/>
    </border>
    <border>
      <left/>
      <right style="medium">
        <color indexed="64"/>
      </right>
      <top style="thin">
        <color indexed="8"/>
      </top>
      <bottom style="thin">
        <color indexed="8"/>
      </bottom>
      <diagonal/>
    </border>
    <border>
      <left style="thin">
        <color indexed="8"/>
      </left>
      <right/>
      <top/>
      <bottom/>
      <diagonal/>
    </border>
    <border>
      <left style="thin">
        <color indexed="8"/>
      </left>
      <right/>
      <top style="thin">
        <color indexed="8"/>
      </top>
      <bottom/>
      <diagonal/>
    </border>
    <border>
      <left style="medium">
        <color indexed="64"/>
      </left>
      <right/>
      <top style="thin">
        <color indexed="8"/>
      </top>
      <bottom style="medium">
        <color indexed="64"/>
      </bottom>
      <diagonal/>
    </border>
    <border>
      <left/>
      <right/>
      <top style="thin">
        <color indexed="8"/>
      </top>
      <bottom style="medium">
        <color indexed="64"/>
      </bottom>
      <diagonal/>
    </border>
    <border>
      <left/>
      <right style="medium">
        <color indexed="64"/>
      </right>
      <top style="thin">
        <color indexed="8"/>
      </top>
      <bottom style="medium">
        <color indexed="64"/>
      </bottom>
      <diagonal/>
    </border>
    <border>
      <left style="thin">
        <color indexed="64"/>
      </left>
      <right style="thin">
        <color indexed="64"/>
      </right>
      <top style="thin">
        <color indexed="64"/>
      </top>
      <bottom style="thin">
        <color indexed="8"/>
      </bottom>
      <diagonal/>
    </border>
    <border>
      <left/>
      <right style="thin">
        <color indexed="64"/>
      </right>
      <top style="medium">
        <color indexed="64"/>
      </top>
      <bottom style="medium">
        <color indexed="64"/>
      </bottom>
      <diagonal/>
    </border>
    <border>
      <left style="thin">
        <color indexed="8"/>
      </left>
      <right style="thin">
        <color indexed="8"/>
      </right>
      <top style="thin">
        <color indexed="8"/>
      </top>
      <bottom/>
      <diagonal/>
    </border>
    <border>
      <left style="thin">
        <color rgb="FF505050"/>
      </left>
      <right style="thin">
        <color rgb="FF505050"/>
      </right>
      <top/>
      <bottom/>
      <diagonal/>
    </border>
    <border>
      <left/>
      <right style="thin">
        <color rgb="FF505050"/>
      </right>
      <top style="thin">
        <color rgb="FF505050"/>
      </top>
      <bottom style="thin">
        <color rgb="FF505050"/>
      </bottom>
      <diagonal/>
    </border>
    <border>
      <left/>
      <right style="thin">
        <color rgb="FF505050"/>
      </right>
      <top style="thin">
        <color rgb="FF505050"/>
      </top>
      <bottom/>
      <diagonal/>
    </border>
    <border>
      <left/>
      <right style="thin">
        <color rgb="FF505050"/>
      </right>
      <top/>
      <bottom style="thin">
        <color rgb="FF505050"/>
      </bottom>
      <diagonal/>
    </border>
    <border>
      <left style="medium">
        <color rgb="FF505050"/>
      </left>
      <right style="medium">
        <color rgb="FF505050"/>
      </right>
      <top style="medium">
        <color rgb="FF505050"/>
      </top>
      <bottom style="medium">
        <color rgb="FF505050"/>
      </bottom>
      <diagonal/>
    </border>
    <border>
      <left style="medium">
        <color rgb="FF505050"/>
      </left>
      <right/>
      <top/>
      <bottom style="medium">
        <color rgb="FF505050"/>
      </bottom>
      <diagonal/>
    </border>
    <border>
      <left/>
      <right style="thin">
        <color rgb="FF505050"/>
      </right>
      <top/>
      <bottom/>
      <diagonal/>
    </border>
    <border>
      <left/>
      <right style="thin">
        <color indexed="8"/>
      </right>
      <top style="thin">
        <color indexed="8"/>
      </top>
      <bottom style="thin">
        <color indexed="8"/>
      </bottom>
      <diagonal/>
    </border>
  </borders>
  <cellStyleXfs count="29">
    <xf numFmtId="0" fontId="0" fillId="0" borderId="0"/>
    <xf numFmtId="43" fontId="4" fillId="0" borderId="0" applyFont="0" applyFill="0" applyBorder="0" applyAlignment="0" applyProtection="0"/>
    <xf numFmtId="0" fontId="6" fillId="0" borderId="0"/>
    <xf numFmtId="9" fontId="4" fillId="0" borderId="0" applyFont="0" applyFill="0" applyBorder="0" applyAlignment="0" applyProtection="0"/>
    <xf numFmtId="0" fontId="8" fillId="0" borderId="0"/>
    <xf numFmtId="0" fontId="10" fillId="0" borderId="0"/>
    <xf numFmtId="0" fontId="17" fillId="0" borderId="0"/>
    <xf numFmtId="9" fontId="17"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0" fontId="20" fillId="0" borderId="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0" fontId="21" fillId="0" borderId="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0" fontId="22" fillId="14" borderId="0" applyNumberFormat="0" applyBorder="0" applyAlignment="0" applyProtection="0"/>
    <xf numFmtId="0" fontId="23" fillId="15" borderId="0" applyNumberFormat="0" applyBorder="0" applyAlignment="0" applyProtection="0"/>
    <xf numFmtId="0" fontId="32" fillId="0" borderId="0" applyNumberFormat="0" applyFill="0" applyBorder="0" applyAlignment="0" applyProtection="0"/>
  </cellStyleXfs>
  <cellXfs count="811">
    <xf numFmtId="0" fontId="0" fillId="0" borderId="0" xfId="0"/>
    <xf numFmtId="0" fontId="1" fillId="0" borderId="0" xfId="0" applyFont="1"/>
    <xf numFmtId="0" fontId="5" fillId="3" borderId="1" xfId="0" applyFont="1" applyFill="1" applyBorder="1"/>
    <xf numFmtId="0" fontId="2" fillId="0" borderId="1" xfId="0" applyFont="1" applyBorder="1"/>
    <xf numFmtId="0" fontId="5" fillId="3" borderId="3" xfId="0" applyFont="1" applyFill="1" applyBorder="1"/>
    <xf numFmtId="0" fontId="5" fillId="3" borderId="2" xfId="0" applyFont="1" applyFill="1" applyBorder="1" applyAlignment="1">
      <alignment horizontal="center"/>
    </xf>
    <xf numFmtId="0" fontId="5" fillId="3" borderId="1" xfId="0" applyFont="1" applyFill="1" applyBorder="1" applyAlignment="1">
      <alignment horizontal="center"/>
    </xf>
    <xf numFmtId="0" fontId="5" fillId="3" borderId="0" xfId="0" applyFont="1" applyFill="1" applyAlignment="1">
      <alignment horizontal="center"/>
    </xf>
    <xf numFmtId="0" fontId="5" fillId="0" borderId="0" xfId="0" applyFont="1"/>
    <xf numFmtId="0" fontId="2" fillId="3" borderId="3" xfId="0" applyFont="1" applyFill="1" applyBorder="1" applyAlignment="1">
      <alignment horizontal="center"/>
    </xf>
    <xf numFmtId="0" fontId="5" fillId="3" borderId="1" xfId="0" applyFont="1" applyFill="1" applyBorder="1" applyAlignment="1">
      <alignment horizontal="left"/>
    </xf>
    <xf numFmtId="164" fontId="0" fillId="0" borderId="1" xfId="0" applyNumberFormat="1" applyBorder="1"/>
    <xf numFmtId="0" fontId="5" fillId="3" borderId="3" xfId="0" applyFont="1" applyFill="1" applyBorder="1" applyAlignment="1">
      <alignment horizontal="left"/>
    </xf>
    <xf numFmtId="0" fontId="0" fillId="0" borderId="1" xfId="0" applyBorder="1" applyAlignment="1">
      <alignment wrapText="1"/>
    </xf>
    <xf numFmtId="0" fontId="0" fillId="0" borderId="1" xfId="0" applyBorder="1" applyAlignment="1">
      <alignment horizontal="center" vertical="center"/>
    </xf>
    <xf numFmtId="0" fontId="0" fillId="0" borderId="14" xfId="0" applyBorder="1" applyAlignment="1">
      <alignment horizontal="center" vertical="center"/>
    </xf>
    <xf numFmtId="15" fontId="5" fillId="0" borderId="0" xfId="0" applyNumberFormat="1" applyFont="1"/>
    <xf numFmtId="3" fontId="0" fillId="0" borderId="0" xfId="0" applyNumberFormat="1"/>
    <xf numFmtId="3" fontId="0" fillId="0" borderId="17" xfId="0" applyNumberFormat="1" applyBorder="1" applyAlignment="1">
      <alignment horizontal="right"/>
    </xf>
    <xf numFmtId="0" fontId="0" fillId="5" borderId="0" xfId="0" applyFill="1"/>
    <xf numFmtId="0" fontId="0" fillId="0" borderId="18" xfId="0" applyBorder="1" applyAlignment="1">
      <alignment horizontal="center"/>
    </xf>
    <xf numFmtId="0" fontId="0" fillId="0" borderId="19" xfId="0" applyBorder="1" applyAlignment="1">
      <alignment horizontal="center"/>
    </xf>
    <xf numFmtId="0" fontId="7" fillId="0" borderId="1" xfId="0" applyFont="1" applyBorder="1" applyAlignment="1">
      <alignment wrapText="1"/>
    </xf>
    <xf numFmtId="0" fontId="0" fillId="0" borderId="0" xfId="0" applyAlignment="1">
      <alignment wrapText="1"/>
    </xf>
    <xf numFmtId="0" fontId="9" fillId="0" borderId="0" xfId="0" applyFont="1" applyAlignment="1">
      <alignment vertical="center" wrapText="1"/>
    </xf>
    <xf numFmtId="0" fontId="0" fillId="0" borderId="15" xfId="0" applyBorder="1" applyAlignment="1">
      <alignment horizontal="center"/>
    </xf>
    <xf numFmtId="0" fontId="5" fillId="3" borderId="14" xfId="0" applyFont="1" applyFill="1" applyBorder="1"/>
    <xf numFmtId="164" fontId="0" fillId="0" borderId="14" xfId="0" applyNumberFormat="1" applyBorder="1"/>
    <xf numFmtId="0" fontId="5" fillId="2" borderId="1" xfId="0" applyFont="1" applyFill="1" applyBorder="1"/>
    <xf numFmtId="0" fontId="0" fillId="5" borderId="1" xfId="0" applyFill="1" applyBorder="1" applyAlignment="1">
      <alignment horizontal="center"/>
    </xf>
    <xf numFmtId="0" fontId="0" fillId="0" borderId="14" xfId="0" applyBorder="1"/>
    <xf numFmtId="0" fontId="3" fillId="0" borderId="0" xfId="0" applyFont="1"/>
    <xf numFmtId="0" fontId="11" fillId="0" borderId="0" xfId="0" applyFont="1"/>
    <xf numFmtId="0" fontId="12" fillId="0" borderId="0" xfId="0" applyFont="1" applyAlignment="1">
      <alignment horizontal="right"/>
    </xf>
    <xf numFmtId="16" fontId="11" fillId="0" borderId="0" xfId="0" applyNumberFormat="1" applyFont="1"/>
    <xf numFmtId="0" fontId="11" fillId="2" borderId="11" xfId="0" applyFont="1" applyFill="1" applyBorder="1" applyAlignment="1">
      <alignment horizontal="center" wrapText="1"/>
    </xf>
    <xf numFmtId="0" fontId="11" fillId="2" borderId="10" xfId="0" applyFont="1" applyFill="1" applyBorder="1" applyAlignment="1">
      <alignment horizontal="center"/>
    </xf>
    <xf numFmtId="0" fontId="12" fillId="0" borderId="22" xfId="0" applyFont="1" applyBorder="1"/>
    <xf numFmtId="0" fontId="12" fillId="5" borderId="14" xfId="0" applyFont="1" applyFill="1" applyBorder="1" applyAlignment="1">
      <alignment horizontal="left" vertical="center"/>
    </xf>
    <xf numFmtId="0" fontId="12" fillId="0" borderId="21" xfId="0" applyFont="1" applyBorder="1"/>
    <xf numFmtId="0" fontId="11" fillId="0" borderId="28" xfId="0" applyFont="1" applyBorder="1"/>
    <xf numFmtId="0" fontId="12" fillId="0" borderId="25" xfId="0" applyFont="1" applyBorder="1" applyAlignment="1">
      <alignment horizontal="left"/>
    </xf>
    <xf numFmtId="0" fontId="12" fillId="0" borderId="29" xfId="0" applyFont="1" applyBorder="1"/>
    <xf numFmtId="0" fontId="11" fillId="0" borderId="21" xfId="0" applyFont="1" applyBorder="1"/>
    <xf numFmtId="0" fontId="11" fillId="0" borderId="0" xfId="0" applyFont="1" applyAlignment="1">
      <alignment horizontal="center" vertical="center"/>
    </xf>
    <xf numFmtId="0" fontId="13" fillId="0" borderId="16" xfId="0" applyFont="1" applyBorder="1" applyAlignment="1">
      <alignment horizontal="left"/>
    </xf>
    <xf numFmtId="0" fontId="13" fillId="0" borderId="22" xfId="0" applyFont="1" applyBorder="1"/>
    <xf numFmtId="0" fontId="13" fillId="0" borderId="14" xfId="0" applyFont="1" applyBorder="1" applyAlignment="1">
      <alignment horizontal="left" vertical="center"/>
    </xf>
    <xf numFmtId="0" fontId="12" fillId="0" borderId="21" xfId="0" applyFont="1" applyBorder="1" applyAlignment="1">
      <alignment horizontal="left" vertical="center"/>
    </xf>
    <xf numFmtId="0" fontId="15" fillId="0" borderId="0" xfId="0" applyFont="1" applyAlignment="1">
      <alignment horizontal="left"/>
    </xf>
    <xf numFmtId="0" fontId="12" fillId="0" borderId="0" xfId="0" applyFont="1" applyAlignment="1">
      <alignment horizontal="left"/>
    </xf>
    <xf numFmtId="0" fontId="12" fillId="0" borderId="0" xfId="0" applyFont="1"/>
    <xf numFmtId="0" fontId="16" fillId="0" borderId="0" xfId="0" applyFont="1"/>
    <xf numFmtId="0" fontId="12" fillId="5" borderId="22" xfId="0" applyFont="1" applyFill="1" applyBorder="1"/>
    <xf numFmtId="0" fontId="12" fillId="0" borderId="21" xfId="0" applyFont="1" applyBorder="1" applyAlignment="1">
      <alignment horizontal="center" vertical="center"/>
    </xf>
    <xf numFmtId="0" fontId="12" fillId="0" borderId="14" xfId="0" applyFont="1" applyBorder="1" applyAlignment="1">
      <alignment horizontal="center" vertical="center"/>
    </xf>
    <xf numFmtId="0" fontId="12" fillId="0" borderId="16" xfId="0" applyFont="1" applyBorder="1" applyAlignment="1">
      <alignment horizontal="center"/>
    </xf>
    <xf numFmtId="0" fontId="12" fillId="0" borderId="22" xfId="0" applyFont="1" applyBorder="1" applyAlignment="1">
      <alignment horizontal="center"/>
    </xf>
    <xf numFmtId="0" fontId="13" fillId="0" borderId="22" xfId="0" applyFont="1" applyBorder="1" applyAlignment="1">
      <alignment horizontal="center"/>
    </xf>
    <xf numFmtId="0" fontId="13" fillId="0" borderId="14" xfId="0" applyFont="1" applyBorder="1" applyAlignment="1">
      <alignment horizontal="center" vertical="center"/>
    </xf>
    <xf numFmtId="0" fontId="13" fillId="0" borderId="16" xfId="0" applyFont="1" applyBorder="1" applyAlignment="1">
      <alignment horizontal="center"/>
    </xf>
    <xf numFmtId="0" fontId="0" fillId="0" borderId="1" xfId="0" applyBorder="1" applyAlignment="1">
      <alignment horizontal="center"/>
    </xf>
    <xf numFmtId="0" fontId="5" fillId="3" borderId="9" xfId="0" applyFont="1" applyFill="1" applyBorder="1" applyAlignment="1">
      <alignment horizontal="center"/>
    </xf>
    <xf numFmtId="0" fontId="5" fillId="3" borderId="14" xfId="0" applyFont="1" applyFill="1" applyBorder="1" applyAlignment="1">
      <alignment horizontal="center"/>
    </xf>
    <xf numFmtId="0" fontId="0" fillId="5" borderId="1" xfId="0" applyFill="1" applyBorder="1" applyAlignment="1">
      <alignment horizontal="center" vertical="center"/>
    </xf>
    <xf numFmtId="0" fontId="0" fillId="0" borderId="15" xfId="0" applyBorder="1" applyAlignment="1"/>
    <xf numFmtId="0" fontId="14" fillId="0" borderId="22" xfId="0" applyFont="1" applyBorder="1"/>
    <xf numFmtId="0" fontId="5" fillId="3" borderId="0" xfId="0" applyFont="1" applyFill="1" applyBorder="1"/>
    <xf numFmtId="0" fontId="0" fillId="0" borderId="32" xfId="0" applyBorder="1" applyAlignment="1">
      <alignment horizontal="center" vertical="center"/>
    </xf>
    <xf numFmtId="0" fontId="0" fillId="0" borderId="33" xfId="0" applyBorder="1" applyAlignment="1">
      <alignment horizontal="center" vertical="center"/>
    </xf>
    <xf numFmtId="0" fontId="0" fillId="0" borderId="30" xfId="0" applyBorder="1" applyAlignment="1">
      <alignment horizontal="center" vertical="center"/>
    </xf>
    <xf numFmtId="0" fontId="0" fillId="0" borderId="0" xfId="0"/>
    <xf numFmtId="0" fontId="12" fillId="11" borderId="21" xfId="0" applyFont="1" applyFill="1" applyBorder="1" applyAlignment="1">
      <alignment vertical="center"/>
    </xf>
    <xf numFmtId="0" fontId="12" fillId="11" borderId="14" xfId="0" applyFont="1" applyFill="1" applyBorder="1" applyAlignment="1">
      <alignment horizontal="left" vertical="center"/>
    </xf>
    <xf numFmtId="0" fontId="12" fillId="11" borderId="22" xfId="0" applyFont="1" applyFill="1" applyBorder="1"/>
    <xf numFmtId="0" fontId="12" fillId="11" borderId="25" xfId="0" applyFont="1" applyFill="1" applyBorder="1" applyAlignment="1">
      <alignment horizontal="left"/>
    </xf>
    <xf numFmtId="0" fontId="14" fillId="11" borderId="22" xfId="0" applyFont="1" applyFill="1" applyBorder="1"/>
    <xf numFmtId="0" fontId="12" fillId="11" borderId="16" xfId="0" applyFont="1" applyFill="1" applyBorder="1" applyAlignment="1">
      <alignment horizontal="left"/>
    </xf>
    <xf numFmtId="0" fontId="13" fillId="11" borderId="14" xfId="0" applyFont="1" applyFill="1" applyBorder="1" applyAlignment="1">
      <alignment horizontal="left" vertical="center"/>
    </xf>
    <xf numFmtId="0" fontId="13" fillId="11" borderId="16" xfId="0" applyFont="1" applyFill="1" applyBorder="1" applyAlignment="1">
      <alignment horizontal="left"/>
    </xf>
    <xf numFmtId="0" fontId="12" fillId="11" borderId="21" xfId="0" applyFont="1" applyFill="1" applyBorder="1" applyAlignment="1">
      <alignment horizontal="left"/>
    </xf>
    <xf numFmtId="0" fontId="0" fillId="0" borderId="34" xfId="0" applyBorder="1" applyAlignment="1">
      <alignment horizontal="center" vertical="center"/>
    </xf>
    <xf numFmtId="164" fontId="0" fillId="0" borderId="4" xfId="0" applyNumberFormat="1" applyBorder="1" applyAlignment="1">
      <alignment horizontal="center"/>
    </xf>
    <xf numFmtId="37" fontId="5" fillId="10" borderId="31" xfId="0" applyNumberFormat="1" applyFont="1" applyFill="1" applyBorder="1" applyAlignment="1">
      <alignment horizontal="center"/>
    </xf>
    <xf numFmtId="0" fontId="12" fillId="5" borderId="22" xfId="0" applyFont="1" applyFill="1" applyBorder="1" applyAlignment="1">
      <alignment horizontal="center"/>
    </xf>
    <xf numFmtId="0" fontId="12" fillId="5" borderId="14" xfId="0" applyFont="1" applyFill="1" applyBorder="1" applyAlignment="1">
      <alignment horizontal="center" vertical="center"/>
    </xf>
    <xf numFmtId="0" fontId="12" fillId="11" borderId="35" xfId="0" applyFont="1" applyFill="1" applyBorder="1"/>
    <xf numFmtId="0" fontId="12" fillId="11" borderId="36" xfId="0" applyFont="1" applyFill="1" applyBorder="1" applyAlignment="1">
      <alignment horizontal="left"/>
    </xf>
    <xf numFmtId="0" fontId="12" fillId="5" borderId="0" xfId="0" applyFont="1" applyFill="1" applyAlignment="1">
      <alignment horizontal="center"/>
    </xf>
    <xf numFmtId="0" fontId="0" fillId="5" borderId="37" xfId="0" applyFill="1" applyBorder="1" applyAlignment="1">
      <alignment horizontal="center"/>
    </xf>
    <xf numFmtId="0" fontId="0" fillId="0" borderId="0" xfId="0"/>
    <xf numFmtId="0" fontId="12" fillId="0" borderId="21" xfId="0" applyFont="1" applyFill="1" applyBorder="1" applyAlignment="1">
      <alignment vertical="center"/>
    </xf>
    <xf numFmtId="0" fontId="12" fillId="0" borderId="14" xfId="0" applyFont="1" applyFill="1" applyBorder="1" applyAlignment="1">
      <alignment horizontal="left" vertical="center"/>
    </xf>
    <xf numFmtId="0" fontId="12" fillId="0" borderId="22" xfId="0" applyFont="1" applyFill="1" applyBorder="1"/>
    <xf numFmtId="0" fontId="12" fillId="0" borderId="25" xfId="0" applyFont="1" applyFill="1" applyBorder="1" applyAlignment="1">
      <alignment horizontal="left"/>
    </xf>
    <xf numFmtId="0" fontId="12" fillId="0" borderId="16" xfId="0" applyFont="1" applyFill="1" applyBorder="1" applyAlignment="1">
      <alignment horizontal="left"/>
    </xf>
    <xf numFmtId="0" fontId="12" fillId="0" borderId="35" xfId="0" applyFont="1" applyFill="1" applyBorder="1"/>
    <xf numFmtId="0" fontId="12" fillId="0" borderId="36" xfId="0" applyFont="1" applyFill="1" applyBorder="1" applyAlignment="1">
      <alignment horizontal="left"/>
    </xf>
    <xf numFmtId="0" fontId="13" fillId="0" borderId="14" xfId="0" applyFont="1" applyFill="1" applyBorder="1" applyAlignment="1">
      <alignment horizontal="left" vertical="center"/>
    </xf>
    <xf numFmtId="0" fontId="13" fillId="0" borderId="16" xfId="0" applyFont="1" applyFill="1" applyBorder="1" applyAlignment="1">
      <alignment horizontal="left"/>
    </xf>
    <xf numFmtId="0" fontId="12" fillId="0" borderId="21" xfId="0" applyFont="1" applyFill="1" applyBorder="1" applyAlignment="1">
      <alignment horizontal="left"/>
    </xf>
    <xf numFmtId="0" fontId="0" fillId="12" borderId="0" xfId="0" applyFill="1"/>
    <xf numFmtId="0" fontId="0" fillId="0" borderId="42" xfId="0" applyBorder="1"/>
    <xf numFmtId="0" fontId="0" fillId="0" borderId="39" xfId="0" applyBorder="1" applyAlignment="1">
      <alignment horizontal="center" vertical="center"/>
    </xf>
    <xf numFmtId="0" fontId="0" fillId="0" borderId="40" xfId="0" applyBorder="1" applyAlignment="1">
      <alignment horizontal="left" vertical="center" wrapText="1"/>
    </xf>
    <xf numFmtId="0" fontId="0" fillId="0" borderId="38" xfId="0" applyBorder="1" applyAlignment="1">
      <alignment horizontal="left" vertical="center" wrapText="1"/>
    </xf>
    <xf numFmtId="0" fontId="0" fillId="0" borderId="41" xfId="0" applyBorder="1" applyAlignment="1">
      <alignment horizontal="left" vertical="center" wrapText="1"/>
    </xf>
    <xf numFmtId="0" fontId="0" fillId="0" borderId="0" xfId="0" applyBorder="1"/>
    <xf numFmtId="3" fontId="19" fillId="0" borderId="14" xfId="0" applyNumberFormat="1" applyFont="1" applyFill="1" applyBorder="1"/>
    <xf numFmtId="0" fontId="0" fillId="0" borderId="0" xfId="0"/>
    <xf numFmtId="0" fontId="5" fillId="0" borderId="0" xfId="0" applyFont="1"/>
    <xf numFmtId="0" fontId="0" fillId="0" borderId="1" xfId="0" applyBorder="1" applyAlignment="1">
      <alignment vertical="top" wrapText="1"/>
    </xf>
    <xf numFmtId="0" fontId="0" fillId="0" borderId="0" xfId="0" applyAlignment="1">
      <alignment horizontal="center" vertical="center" wrapText="1"/>
    </xf>
    <xf numFmtId="0" fontId="18" fillId="0" borderId="0" xfId="0" applyFont="1"/>
    <xf numFmtId="164" fontId="0" fillId="0" borderId="0" xfId="0" applyNumberFormat="1" applyFill="1" applyBorder="1" applyAlignment="1">
      <alignment horizontal="center"/>
    </xf>
    <xf numFmtId="0" fontId="0" fillId="0" borderId="40" xfId="0" applyBorder="1" applyAlignment="1">
      <alignment horizontal="center" vertical="center"/>
    </xf>
    <xf numFmtId="0" fontId="0" fillId="0" borderId="44" xfId="0" applyBorder="1" applyAlignment="1">
      <alignment horizontal="center" vertical="center"/>
    </xf>
    <xf numFmtId="0" fontId="0" fillId="0" borderId="45" xfId="0" applyBorder="1" applyAlignment="1">
      <alignment horizontal="center" vertical="center"/>
    </xf>
    <xf numFmtId="0" fontId="0" fillId="0" borderId="38" xfId="0" applyBorder="1" applyAlignment="1">
      <alignment horizontal="center" vertical="center"/>
    </xf>
    <xf numFmtId="0" fontId="0" fillId="0" borderId="43" xfId="0" applyBorder="1" applyAlignment="1">
      <alignment horizontal="center" vertical="center"/>
    </xf>
    <xf numFmtId="0" fontId="5" fillId="3" borderId="18" xfId="0" applyFont="1" applyFill="1" applyBorder="1" applyAlignment="1"/>
    <xf numFmtId="0" fontId="5" fillId="3" borderId="19" xfId="0" applyFont="1" applyFill="1" applyBorder="1" applyAlignment="1"/>
    <xf numFmtId="0" fontId="0" fillId="0" borderId="4" xfId="0" applyBorder="1" applyAlignment="1">
      <alignment vertical="center"/>
    </xf>
    <xf numFmtId="0" fontId="0" fillId="0" borderId="5" xfId="0" applyBorder="1" applyAlignment="1">
      <alignment vertical="center"/>
    </xf>
    <xf numFmtId="0" fontId="0" fillId="0" borderId="2" xfId="0" applyBorder="1" applyAlignment="1">
      <alignment vertical="center"/>
    </xf>
    <xf numFmtId="0" fontId="0" fillId="0" borderId="4" xfId="0" applyBorder="1" applyAlignment="1">
      <alignment vertical="center" wrapText="1"/>
    </xf>
    <xf numFmtId="0" fontId="0" fillId="0" borderId="5" xfId="0" applyBorder="1" applyAlignment="1">
      <alignment vertical="center" wrapText="1"/>
    </xf>
    <xf numFmtId="0" fontId="0" fillId="0" borderId="2" xfId="0" applyBorder="1" applyAlignment="1">
      <alignment vertical="center" wrapText="1"/>
    </xf>
    <xf numFmtId="0" fontId="0" fillId="0" borderId="46" xfId="0" applyBorder="1"/>
    <xf numFmtId="0" fontId="5" fillId="11" borderId="49" xfId="0" applyFont="1" applyFill="1" applyBorder="1" applyAlignment="1">
      <alignment horizontal="center" vertical="center" wrapText="1"/>
    </xf>
    <xf numFmtId="0" fontId="5" fillId="13" borderId="49" xfId="0" applyFont="1" applyFill="1" applyBorder="1" applyAlignment="1">
      <alignment wrapText="1"/>
    </xf>
    <xf numFmtId="0" fontId="0" fillId="11" borderId="49" xfId="0" applyFill="1" applyBorder="1" applyAlignment="1">
      <alignment horizontal="center"/>
    </xf>
    <xf numFmtId="0" fontId="0" fillId="13" borderId="49" xfId="0" applyFill="1" applyBorder="1" applyAlignment="1">
      <alignment horizontal="center"/>
    </xf>
    <xf numFmtId="0" fontId="0" fillId="13" borderId="49" xfId="0" applyFill="1" applyBorder="1" applyAlignment="1">
      <alignment horizontal="center" wrapText="1"/>
    </xf>
    <xf numFmtId="9" fontId="0" fillId="5" borderId="4" xfId="3" applyFont="1" applyFill="1" applyBorder="1" applyAlignment="1">
      <alignment horizontal="center"/>
    </xf>
    <xf numFmtId="9" fontId="0" fillId="5" borderId="2" xfId="3" applyFont="1" applyFill="1" applyBorder="1" applyAlignment="1">
      <alignment horizontal="center"/>
    </xf>
    <xf numFmtId="0" fontId="0" fillId="0" borderId="5" xfId="0" applyBorder="1" applyAlignment="1">
      <alignment horizontal="center"/>
    </xf>
    <xf numFmtId="0" fontId="0" fillId="0" borderId="2" xfId="0" applyBorder="1" applyAlignment="1">
      <alignment horizontal="center"/>
    </xf>
    <xf numFmtId="0" fontId="2" fillId="3" borderId="4" xfId="0" applyFont="1" applyFill="1" applyBorder="1" applyAlignment="1">
      <alignment horizontal="center"/>
    </xf>
    <xf numFmtId="0" fontId="2" fillId="3" borderId="5" xfId="0" applyFont="1" applyFill="1" applyBorder="1" applyAlignment="1">
      <alignment horizontal="center"/>
    </xf>
    <xf numFmtId="0" fontId="2" fillId="3" borderId="2" xfId="0" applyFont="1" applyFill="1" applyBorder="1" applyAlignment="1">
      <alignment horizontal="center"/>
    </xf>
    <xf numFmtId="0" fontId="2" fillId="2" borderId="1" xfId="0" applyFont="1" applyFill="1" applyBorder="1" applyAlignment="1">
      <alignment horizontal="center"/>
    </xf>
    <xf numFmtId="0" fontId="5" fillId="3" borderId="4" xfId="0" applyFont="1" applyFill="1" applyBorder="1" applyAlignment="1">
      <alignment horizontal="center"/>
    </xf>
    <xf numFmtId="0" fontId="5" fillId="3" borderId="5" xfId="0" applyFont="1" applyFill="1" applyBorder="1" applyAlignment="1">
      <alignment horizontal="center"/>
    </xf>
    <xf numFmtId="0" fontId="5" fillId="3" borderId="2" xfId="0" applyFont="1" applyFill="1" applyBorder="1" applyAlignment="1">
      <alignment horizontal="center"/>
    </xf>
    <xf numFmtId="0" fontId="5" fillId="3" borderId="1" xfId="0" applyFont="1" applyFill="1" applyBorder="1" applyAlignment="1">
      <alignment horizontal="center"/>
    </xf>
    <xf numFmtId="0" fontId="0" fillId="0" borderId="1" xfId="0" applyBorder="1" applyAlignment="1">
      <alignment horizontal="left" wrapText="1"/>
    </xf>
    <xf numFmtId="0" fontId="0" fillId="0" borderId="1" xfId="0" applyBorder="1" applyAlignment="1">
      <alignment horizontal="left" vertical="top" wrapText="1"/>
    </xf>
    <xf numFmtId="0" fontId="0" fillId="0" borderId="1" xfId="0" applyBorder="1" applyAlignment="1">
      <alignment horizontal="left"/>
    </xf>
    <xf numFmtId="0" fontId="0" fillId="0" borderId="7" xfId="0" applyBorder="1" applyAlignment="1">
      <alignment horizontal="left" wrapText="1"/>
    </xf>
    <xf numFmtId="0" fontId="0" fillId="0" borderId="6" xfId="0" applyBorder="1" applyAlignment="1">
      <alignment horizontal="left" wrapText="1"/>
    </xf>
    <xf numFmtId="0" fontId="0" fillId="0" borderId="8" xfId="0" applyBorder="1" applyAlignment="1">
      <alignment horizontal="left" wrapText="1"/>
    </xf>
    <xf numFmtId="0" fontId="0" fillId="0" borderId="4" xfId="0" applyBorder="1" applyAlignment="1">
      <alignment horizontal="left" vertical="center" wrapText="1"/>
    </xf>
    <xf numFmtId="0" fontId="0" fillId="0" borderId="5" xfId="0" applyBorder="1" applyAlignment="1">
      <alignment horizontal="left" vertical="center" wrapText="1"/>
    </xf>
    <xf numFmtId="0" fontId="0" fillId="0" borderId="2" xfId="0" applyBorder="1" applyAlignment="1">
      <alignment horizontal="left" vertical="center" wrapText="1"/>
    </xf>
    <xf numFmtId="0" fontId="0" fillId="0" borderId="4" xfId="0" applyBorder="1" applyAlignment="1">
      <alignment horizontal="left"/>
    </xf>
    <xf numFmtId="0" fontId="0" fillId="0" borderId="5" xfId="0" applyBorder="1" applyAlignment="1">
      <alignment horizontal="left"/>
    </xf>
    <xf numFmtId="0" fontId="0" fillId="0" borderId="2" xfId="0" applyBorder="1" applyAlignment="1">
      <alignment horizontal="left"/>
    </xf>
    <xf numFmtId="0" fontId="5" fillId="2" borderId="1" xfId="0" applyFont="1" applyFill="1" applyBorder="1" applyAlignment="1">
      <alignment horizontal="center"/>
    </xf>
    <xf numFmtId="0" fontId="0" fillId="0" borderId="15" xfId="0" applyBorder="1" applyAlignment="1">
      <alignment horizontal="left"/>
    </xf>
    <xf numFmtId="0" fontId="0" fillId="0" borderId="18" xfId="0" applyBorder="1" applyAlignment="1">
      <alignment horizontal="left"/>
    </xf>
    <xf numFmtId="0" fontId="0" fillId="0" borderId="19" xfId="0" applyBorder="1" applyAlignment="1">
      <alignment horizontal="left"/>
    </xf>
    <xf numFmtId="0" fontId="0" fillId="0" borderId="4" xfId="0" applyBorder="1" applyAlignment="1">
      <alignment horizontal="left" wrapText="1"/>
    </xf>
    <xf numFmtId="0" fontId="0" fillId="0" borderId="5" xfId="0" applyBorder="1" applyAlignment="1">
      <alignment horizontal="left" wrapText="1"/>
    </xf>
    <xf numFmtId="0" fontId="0" fillId="0" borderId="2" xfId="0" applyBorder="1" applyAlignment="1">
      <alignment horizontal="left" wrapText="1"/>
    </xf>
    <xf numFmtId="164" fontId="0" fillId="0" borderId="15" xfId="0" applyNumberFormat="1" applyBorder="1" applyAlignment="1">
      <alignment horizontal="center"/>
    </xf>
    <xf numFmtId="164" fontId="0" fillId="0" borderId="18" xfId="0" applyNumberFormat="1" applyBorder="1" applyAlignment="1">
      <alignment horizontal="center"/>
    </xf>
    <xf numFmtId="164" fontId="0" fillId="0" borderId="19" xfId="0" applyNumberFormat="1" applyBorder="1" applyAlignment="1">
      <alignment horizontal="center"/>
    </xf>
    <xf numFmtId="0" fontId="11" fillId="2" borderId="23" xfId="0" applyFont="1" applyFill="1" applyBorder="1" applyAlignment="1">
      <alignment horizontal="center" vertical="center"/>
    </xf>
    <xf numFmtId="0" fontId="11" fillId="2" borderId="24" xfId="0" applyFont="1" applyFill="1" applyBorder="1" applyAlignment="1">
      <alignment horizontal="center" vertical="center"/>
    </xf>
    <xf numFmtId="0" fontId="11" fillId="2" borderId="12" xfId="0" applyFont="1" applyFill="1" applyBorder="1" applyAlignment="1">
      <alignment horizontal="center" vertical="center"/>
    </xf>
    <xf numFmtId="0" fontId="11" fillId="2" borderId="26" xfId="0" applyFont="1" applyFill="1" applyBorder="1" applyAlignment="1">
      <alignment horizontal="center" vertical="center"/>
    </xf>
    <xf numFmtId="0" fontId="11" fillId="2" borderId="27" xfId="0" applyFont="1" applyFill="1" applyBorder="1" applyAlignment="1">
      <alignment horizontal="center" vertical="center"/>
    </xf>
    <xf numFmtId="0" fontId="12" fillId="0" borderId="0" xfId="0" applyFont="1" applyAlignment="1">
      <alignment horizontal="center"/>
    </xf>
    <xf numFmtId="0" fontId="11" fillId="2" borderId="0" xfId="0" applyFont="1" applyFill="1" applyAlignment="1">
      <alignment horizontal="center" wrapText="1"/>
    </xf>
    <xf numFmtId="0" fontId="11" fillId="2" borderId="20" xfId="0" applyFont="1" applyFill="1" applyBorder="1" applyAlignment="1">
      <alignment horizontal="center" vertical="center"/>
    </xf>
    <xf numFmtId="0" fontId="11" fillId="2" borderId="13" xfId="0" applyFont="1" applyFill="1" applyBorder="1" applyAlignment="1">
      <alignment horizontal="center" vertical="center"/>
    </xf>
    <xf numFmtId="0" fontId="24" fillId="0" borderId="0" xfId="0" applyFont="1" applyAlignment="1">
      <alignment horizontal="center"/>
    </xf>
    <xf numFmtId="0" fontId="25" fillId="12" borderId="0" xfId="0" applyFont="1" applyFill="1" applyAlignment="1">
      <alignment horizontal="center"/>
    </xf>
    <xf numFmtId="0" fontId="26" fillId="0" borderId="0" xfId="0" applyFont="1" applyAlignment="1">
      <alignment horizontal="center"/>
    </xf>
    <xf numFmtId="0" fontId="12" fillId="0" borderId="28" xfId="0" applyFont="1" applyBorder="1"/>
    <xf numFmtId="15" fontId="11" fillId="16" borderId="0" xfId="0" applyNumberFormat="1" applyFont="1" applyFill="1" applyAlignment="1">
      <alignment horizontal="left"/>
    </xf>
    <xf numFmtId="0" fontId="11" fillId="16" borderId="0" xfId="0" applyFont="1" applyFill="1" applyAlignment="1">
      <alignment horizontal="left"/>
    </xf>
    <xf numFmtId="0" fontId="0" fillId="0" borderId="0" xfId="0" applyAlignment="1">
      <alignment horizontal="left"/>
    </xf>
    <xf numFmtId="0" fontId="5" fillId="16" borderId="20" xfId="0" applyFont="1" applyFill="1" applyBorder="1" applyAlignment="1">
      <alignment horizontal="center" vertical="center" wrapText="1"/>
    </xf>
    <xf numFmtId="0" fontId="5" fillId="16" borderId="22" xfId="0" applyFont="1" applyFill="1" applyBorder="1" applyAlignment="1">
      <alignment horizontal="center" vertical="center" wrapText="1"/>
    </xf>
    <xf numFmtId="0" fontId="5" fillId="16" borderId="50" xfId="0" applyFont="1" applyFill="1" applyBorder="1" applyAlignment="1">
      <alignment horizontal="center" vertical="center" wrapText="1"/>
    </xf>
    <xf numFmtId="0" fontId="5" fillId="16" borderId="51" xfId="0" applyFont="1" applyFill="1" applyBorder="1" applyAlignment="1">
      <alignment horizontal="center" vertical="center" wrapText="1"/>
    </xf>
    <xf numFmtId="0" fontId="5" fillId="16" borderId="52" xfId="0" applyFont="1" applyFill="1" applyBorder="1" applyAlignment="1">
      <alignment horizontal="left" vertical="center" wrapText="1"/>
    </xf>
    <xf numFmtId="0" fontId="5" fillId="16" borderId="51" xfId="0" applyFont="1" applyFill="1" applyBorder="1" applyAlignment="1">
      <alignment horizontal="center" vertical="center"/>
    </xf>
    <xf numFmtId="0" fontId="5" fillId="16" borderId="53" xfId="0" applyFont="1" applyFill="1" applyBorder="1" applyAlignment="1">
      <alignment horizontal="center" vertical="center"/>
    </xf>
    <xf numFmtId="0" fontId="5" fillId="16" borderId="22" xfId="0" applyFont="1" applyFill="1" applyBorder="1" applyAlignment="1">
      <alignment horizontal="left" vertical="center"/>
    </xf>
    <xf numFmtId="0" fontId="5" fillId="16" borderId="54" xfId="0" applyFont="1" applyFill="1" applyBorder="1" applyAlignment="1">
      <alignment horizontal="center" vertical="center"/>
    </xf>
    <xf numFmtId="0" fontId="0" fillId="0" borderId="55" xfId="0" applyBorder="1"/>
    <xf numFmtId="0" fontId="0" fillId="0" borderId="49" xfId="0" applyBorder="1" applyAlignment="1">
      <alignment horizontal="center"/>
    </xf>
    <xf numFmtId="9" fontId="0" fillId="0" borderId="25" xfId="3" applyFont="1" applyFill="1" applyBorder="1" applyAlignment="1">
      <alignment horizontal="center"/>
    </xf>
    <xf numFmtId="9" fontId="0" fillId="0" borderId="49" xfId="0" applyNumberFormat="1" applyBorder="1" applyAlignment="1">
      <alignment horizontal="center"/>
    </xf>
    <xf numFmtId="9" fontId="4" fillId="0" borderId="56" xfId="0" applyNumberFormat="1" applyFont="1" applyBorder="1" applyAlignment="1">
      <alignment horizontal="center"/>
    </xf>
    <xf numFmtId="9" fontId="4" fillId="0" borderId="57" xfId="0" applyNumberFormat="1" applyFont="1" applyBorder="1" applyAlignment="1">
      <alignment horizontal="center" wrapText="1"/>
    </xf>
    <xf numFmtId="1" fontId="0" fillId="11" borderId="57" xfId="0" applyNumberFormat="1" applyFill="1" applyBorder="1" applyAlignment="1">
      <alignment horizontal="center" wrapText="1"/>
    </xf>
    <xf numFmtId="9" fontId="0" fillId="17" borderId="55" xfId="0" applyNumberFormat="1" applyFill="1" applyBorder="1" applyAlignment="1">
      <alignment horizontal="center" wrapText="1"/>
    </xf>
    <xf numFmtId="9" fontId="0" fillId="0" borderId="44" xfId="0" applyNumberFormat="1" applyBorder="1" applyAlignment="1">
      <alignment horizontal="center" wrapText="1"/>
    </xf>
    <xf numFmtId="9" fontId="0" fillId="0" borderId="49" xfId="0" applyNumberFormat="1" applyBorder="1" applyAlignment="1">
      <alignment horizontal="center" wrapText="1"/>
    </xf>
    <xf numFmtId="9" fontId="0" fillId="0" borderId="58" xfId="0" applyNumberFormat="1" applyBorder="1" applyAlignment="1">
      <alignment horizontal="center"/>
    </xf>
    <xf numFmtId="0" fontId="0" fillId="5" borderId="49" xfId="0" applyFill="1" applyBorder="1" applyAlignment="1">
      <alignment horizontal="center"/>
    </xf>
    <xf numFmtId="9" fontId="0" fillId="0" borderId="25" xfId="3" applyFont="1" applyFill="1" applyBorder="1" applyAlignment="1">
      <alignment horizontal="center" vertical="center"/>
    </xf>
    <xf numFmtId="0" fontId="0" fillId="11" borderId="0" xfId="0" applyFill="1" applyAlignment="1">
      <alignment horizontal="center"/>
    </xf>
    <xf numFmtId="9" fontId="0" fillId="17" borderId="55" xfId="0" applyNumberFormat="1" applyFill="1" applyBorder="1" applyAlignment="1">
      <alignment horizontal="center"/>
    </xf>
    <xf numFmtId="9" fontId="0" fillId="0" borderId="44" xfId="0" applyNumberFormat="1" applyBorder="1" applyAlignment="1">
      <alignment horizontal="center"/>
    </xf>
    <xf numFmtId="1" fontId="4" fillId="0" borderId="49" xfId="0" applyNumberFormat="1" applyFont="1" applyBorder="1" applyAlignment="1">
      <alignment horizontal="center" wrapText="1"/>
    </xf>
    <xf numFmtId="9" fontId="5" fillId="0" borderId="56" xfId="3" applyFont="1" applyFill="1" applyBorder="1" applyAlignment="1">
      <alignment horizontal="center"/>
    </xf>
    <xf numFmtId="9" fontId="5" fillId="0" borderId="57" xfId="3" applyFont="1" applyFill="1" applyBorder="1" applyAlignment="1">
      <alignment horizontal="center"/>
    </xf>
    <xf numFmtId="1" fontId="0" fillId="11" borderId="57" xfId="0" applyNumberFormat="1" applyFill="1" applyBorder="1" applyAlignment="1">
      <alignment horizontal="center"/>
    </xf>
    <xf numFmtId="9" fontId="5" fillId="0" borderId="56" xfId="0" applyNumberFormat="1" applyFont="1" applyBorder="1" applyAlignment="1">
      <alignment horizontal="center"/>
    </xf>
    <xf numFmtId="9" fontId="5" fillId="0" borderId="57" xfId="0" applyNumberFormat="1" applyFont="1" applyBorder="1" applyAlignment="1">
      <alignment horizontal="center"/>
    </xf>
    <xf numFmtId="9" fontId="4" fillId="0" borderId="49" xfId="0" applyNumberFormat="1" applyFont="1" applyBorder="1" applyAlignment="1">
      <alignment horizontal="center"/>
    </xf>
    <xf numFmtId="9" fontId="0" fillId="0" borderId="56" xfId="0" applyNumberFormat="1" applyBorder="1" applyAlignment="1">
      <alignment horizontal="center"/>
    </xf>
    <xf numFmtId="9" fontId="0" fillId="0" borderId="57" xfId="0" applyNumberFormat="1" applyBorder="1" applyAlignment="1">
      <alignment horizontal="center"/>
    </xf>
    <xf numFmtId="0" fontId="4" fillId="5" borderId="49" xfId="0" applyFont="1" applyFill="1" applyBorder="1" applyAlignment="1">
      <alignment wrapText="1"/>
    </xf>
    <xf numFmtId="0" fontId="0" fillId="0" borderId="59" xfId="0" applyBorder="1" applyAlignment="1">
      <alignment horizontal="left" vertical="center"/>
    </xf>
    <xf numFmtId="0" fontId="0" fillId="0" borderId="25" xfId="0" applyBorder="1" applyAlignment="1">
      <alignment horizontal="center" vertical="center"/>
    </xf>
    <xf numFmtId="9" fontId="0" fillId="0" borderId="25" xfId="0" applyNumberFormat="1" applyBorder="1" applyAlignment="1">
      <alignment horizontal="center" vertical="center"/>
    </xf>
    <xf numFmtId="9" fontId="4" fillId="0" borderId="60" xfId="0" applyNumberFormat="1" applyFont="1" applyBorder="1" applyAlignment="1">
      <alignment horizontal="center" vertical="center"/>
    </xf>
    <xf numFmtId="9" fontId="4" fillId="0" borderId="61" xfId="0" applyNumberFormat="1" applyFont="1" applyBorder="1" applyAlignment="1">
      <alignment horizontal="center"/>
    </xf>
    <xf numFmtId="9" fontId="0" fillId="0" borderId="6" xfId="0" applyNumberFormat="1" applyBorder="1" applyAlignment="1">
      <alignment wrapText="1"/>
    </xf>
    <xf numFmtId="9" fontId="0" fillId="0" borderId="58" xfId="0" applyNumberFormat="1" applyBorder="1" applyAlignment="1">
      <alignment wrapText="1"/>
    </xf>
    <xf numFmtId="0" fontId="0" fillId="0" borderId="62" xfId="0" applyBorder="1"/>
    <xf numFmtId="0" fontId="0" fillId="0" borderId="63" xfId="0" applyBorder="1" applyAlignment="1">
      <alignment horizontal="center" vertical="center"/>
    </xf>
    <xf numFmtId="9" fontId="0" fillId="0" borderId="63" xfId="3" applyFont="1" applyFill="1" applyBorder="1" applyAlignment="1">
      <alignment horizontal="center" vertical="center"/>
    </xf>
    <xf numFmtId="9" fontId="0" fillId="0" borderId="63" xfId="0" applyNumberFormat="1" applyBorder="1" applyAlignment="1">
      <alignment horizontal="center" vertical="center"/>
    </xf>
    <xf numFmtId="0" fontId="4" fillId="0" borderId="64" xfId="0" applyFont="1" applyBorder="1" applyAlignment="1">
      <alignment horizontal="center" vertical="center"/>
    </xf>
    <xf numFmtId="0" fontId="4" fillId="0" borderId="65" xfId="0" applyFont="1" applyBorder="1" applyAlignment="1">
      <alignment horizontal="center" vertical="center"/>
    </xf>
    <xf numFmtId="1" fontId="0" fillId="11" borderId="65" xfId="0" applyNumberFormat="1" applyFill="1" applyBorder="1" applyAlignment="1">
      <alignment horizontal="center" wrapText="1"/>
    </xf>
    <xf numFmtId="9" fontId="0" fillId="17" borderId="66" xfId="0" applyNumberFormat="1" applyFill="1" applyBorder="1" applyAlignment="1">
      <alignment wrapText="1"/>
    </xf>
    <xf numFmtId="9" fontId="0" fillId="0" borderId="67" xfId="0" applyNumberFormat="1" applyBorder="1" applyAlignment="1">
      <alignment wrapText="1"/>
    </xf>
    <xf numFmtId="9" fontId="0" fillId="0" borderId="63" xfId="0" applyNumberFormat="1" applyBorder="1" applyAlignment="1">
      <alignment wrapText="1"/>
    </xf>
    <xf numFmtId="9" fontId="0" fillId="0" borderId="68" xfId="0" applyNumberFormat="1" applyBorder="1" applyAlignment="1">
      <alignment wrapText="1"/>
    </xf>
    <xf numFmtId="0" fontId="18" fillId="18" borderId="0" xfId="0" applyFont="1" applyFill="1"/>
    <xf numFmtId="0" fontId="5" fillId="0" borderId="0" xfId="0" applyFont="1" applyAlignment="1">
      <alignment horizontal="center" vertical="center"/>
    </xf>
    <xf numFmtId="0" fontId="5" fillId="0" borderId="0" xfId="0" applyFont="1" applyAlignment="1">
      <alignment horizontal="left" vertical="center"/>
    </xf>
    <xf numFmtId="9" fontId="0" fillId="17" borderId="56" xfId="0" applyNumberFormat="1" applyFill="1" applyBorder="1" applyAlignment="1">
      <alignment horizontal="center"/>
    </xf>
    <xf numFmtId="9" fontId="0" fillId="11" borderId="57" xfId="0" applyNumberFormat="1" applyFill="1" applyBorder="1" applyAlignment="1">
      <alignment horizontal="center" wrapText="1"/>
    </xf>
    <xf numFmtId="1" fontId="0" fillId="0" borderId="57" xfId="0" applyNumberFormat="1" applyBorder="1" applyAlignment="1">
      <alignment horizontal="center" wrapText="1"/>
    </xf>
    <xf numFmtId="9" fontId="0" fillId="0" borderId="0" xfId="0" applyNumberFormat="1" applyAlignment="1">
      <alignment horizontal="center" wrapText="1"/>
    </xf>
    <xf numFmtId="9" fontId="0" fillId="0" borderId="0" xfId="0" applyNumberFormat="1" applyAlignment="1">
      <alignment horizontal="center"/>
    </xf>
    <xf numFmtId="0" fontId="0" fillId="0" borderId="69" xfId="0" applyBorder="1" applyAlignment="1">
      <alignment horizontal="center"/>
    </xf>
    <xf numFmtId="1" fontId="0" fillId="0" borderId="0" xfId="0" applyNumberFormat="1" applyAlignment="1">
      <alignment horizontal="center" wrapText="1"/>
    </xf>
    <xf numFmtId="9" fontId="5" fillId="17" borderId="56" xfId="3" applyFont="1" applyFill="1" applyBorder="1" applyAlignment="1">
      <alignment horizontal="center"/>
    </xf>
    <xf numFmtId="9" fontId="5" fillId="11" borderId="57" xfId="3" applyFont="1" applyFill="1" applyBorder="1" applyAlignment="1">
      <alignment horizontal="center"/>
    </xf>
    <xf numFmtId="1" fontId="0" fillId="0" borderId="57" xfId="0" applyNumberFormat="1" applyBorder="1" applyAlignment="1">
      <alignment horizontal="center"/>
    </xf>
    <xf numFmtId="9" fontId="5" fillId="17" borderId="56" xfId="0" applyNumberFormat="1" applyFont="1" applyFill="1" applyBorder="1" applyAlignment="1">
      <alignment horizontal="center"/>
    </xf>
    <xf numFmtId="9" fontId="5" fillId="11" borderId="57" xfId="0" applyNumberFormat="1" applyFont="1" applyFill="1" applyBorder="1" applyAlignment="1">
      <alignment horizontal="center"/>
    </xf>
    <xf numFmtId="9" fontId="0" fillId="11" borderId="57" xfId="0" applyNumberFormat="1" applyFill="1" applyBorder="1" applyAlignment="1">
      <alignment horizontal="center"/>
    </xf>
    <xf numFmtId="9" fontId="0" fillId="17" borderId="60" xfId="0" applyNumberFormat="1" applyFill="1" applyBorder="1" applyAlignment="1">
      <alignment horizontal="center" vertical="center"/>
    </xf>
    <xf numFmtId="0" fontId="4" fillId="11" borderId="49" xfId="0" applyFont="1" applyFill="1" applyBorder="1" applyAlignment="1">
      <alignment wrapText="1"/>
    </xf>
    <xf numFmtId="9" fontId="0" fillId="0" borderId="0" xfId="0" applyNumberFormat="1" applyAlignment="1">
      <alignment wrapText="1"/>
    </xf>
    <xf numFmtId="9" fontId="0" fillId="0" borderId="63" xfId="3" applyFont="1" applyBorder="1" applyAlignment="1">
      <alignment horizontal="center" vertical="center"/>
    </xf>
    <xf numFmtId="0" fontId="0" fillId="0" borderId="64" xfId="0" applyBorder="1" applyAlignment="1">
      <alignment horizontal="center" vertical="center"/>
    </xf>
    <xf numFmtId="0" fontId="0" fillId="0" borderId="65" xfId="0" applyBorder="1" applyAlignment="1">
      <alignment vertical="center"/>
    </xf>
    <xf numFmtId="1" fontId="0" fillId="0" borderId="65" xfId="0" applyNumberFormat="1" applyBorder="1" applyAlignment="1">
      <alignment horizontal="center" wrapText="1"/>
    </xf>
    <xf numFmtId="0" fontId="27" fillId="0" borderId="28" xfId="0" applyFont="1" applyBorder="1"/>
    <xf numFmtId="0" fontId="5" fillId="16" borderId="70" xfId="0" applyFont="1" applyFill="1" applyBorder="1" applyAlignment="1">
      <alignment horizontal="center" vertical="center" wrapText="1"/>
    </xf>
    <xf numFmtId="0" fontId="5" fillId="16" borderId="22" xfId="0" applyFont="1" applyFill="1" applyBorder="1" applyAlignment="1">
      <alignment vertical="center" wrapText="1"/>
    </xf>
    <xf numFmtId="0" fontId="5" fillId="16" borderId="22" xfId="0" applyFont="1" applyFill="1" applyBorder="1" applyAlignment="1">
      <alignment horizontal="center" vertical="center" wrapText="1"/>
    </xf>
    <xf numFmtId="0" fontId="5" fillId="16" borderId="70" xfId="0" applyFont="1" applyFill="1" applyBorder="1" applyAlignment="1">
      <alignment horizontal="center" vertical="center" wrapText="1"/>
    </xf>
    <xf numFmtId="0" fontId="0" fillId="16" borderId="49" xfId="0" applyFill="1" applyBorder="1" applyAlignment="1">
      <alignment horizontal="center"/>
    </xf>
    <xf numFmtId="0" fontId="0" fillId="12" borderId="49" xfId="0" applyFill="1" applyBorder="1" applyAlignment="1">
      <alignment horizontal="center"/>
    </xf>
    <xf numFmtId="9" fontId="0" fillId="0" borderId="49" xfId="0" applyNumberFormat="1" applyBorder="1"/>
    <xf numFmtId="9" fontId="0" fillId="0" borderId="49" xfId="0" applyNumberFormat="1" applyBorder="1" applyAlignment="1">
      <alignment horizontal="center" wrapText="1"/>
    </xf>
    <xf numFmtId="9" fontId="0" fillId="0" borderId="71" xfId="0" applyNumberFormat="1" applyBorder="1" applyAlignment="1">
      <alignment horizontal="center" wrapText="1"/>
    </xf>
    <xf numFmtId="9" fontId="0" fillId="0" borderId="49" xfId="0" applyNumberFormat="1" applyBorder="1" applyAlignment="1">
      <alignment horizontal="center"/>
    </xf>
    <xf numFmtId="9" fontId="0" fillId="0" borderId="71" xfId="0" applyNumberFormat="1" applyBorder="1" applyAlignment="1">
      <alignment horizontal="center"/>
    </xf>
    <xf numFmtId="9" fontId="4" fillId="0" borderId="49" xfId="0" applyNumberFormat="1" applyFont="1" applyBorder="1" applyAlignment="1">
      <alignment horizontal="center"/>
    </xf>
    <xf numFmtId="0" fontId="28" fillId="0" borderId="0" xfId="0" applyFont="1"/>
    <xf numFmtId="0" fontId="29" fillId="0" borderId="0" xfId="0" applyFont="1"/>
    <xf numFmtId="0" fontId="28" fillId="19" borderId="49" xfId="0" applyFont="1" applyFill="1" applyBorder="1"/>
    <xf numFmtId="0" fontId="28" fillId="0" borderId="49" xfId="0" applyFont="1" applyBorder="1"/>
    <xf numFmtId="0" fontId="4" fillId="0" borderId="0" xfId="0" applyFont="1"/>
    <xf numFmtId="0" fontId="5" fillId="11" borderId="0" xfId="0" applyFont="1" applyFill="1"/>
    <xf numFmtId="0" fontId="30" fillId="0" borderId="49" xfId="0" applyFont="1" applyBorder="1" applyAlignment="1">
      <alignment horizontal="center" vertical="center"/>
    </xf>
    <xf numFmtId="0" fontId="6" fillId="0" borderId="49" xfId="0" applyFont="1" applyBorder="1"/>
    <xf numFmtId="49" fontId="31" fillId="0" borderId="49" xfId="0" applyNumberFormat="1" applyFont="1" applyBorder="1" applyAlignment="1">
      <alignment horizontal="center" vertical="center"/>
    </xf>
    <xf numFmtId="14" fontId="31" fillId="0" borderId="49" xfId="0" applyNumberFormat="1" applyFont="1" applyBorder="1" applyAlignment="1">
      <alignment horizontal="center" vertical="center"/>
    </xf>
    <xf numFmtId="0" fontId="5" fillId="0" borderId="72" xfId="0" applyFont="1" applyBorder="1"/>
    <xf numFmtId="0" fontId="5" fillId="0" borderId="49" xfId="0" applyFont="1" applyBorder="1"/>
    <xf numFmtId="0" fontId="4" fillId="0" borderId="49" xfId="28" applyFont="1" applyFill="1" applyBorder="1"/>
    <xf numFmtId="0" fontId="4" fillId="0" borderId="49" xfId="0" applyFont="1" applyBorder="1"/>
    <xf numFmtId="0" fontId="31" fillId="0" borderId="49" xfId="0" applyFont="1" applyBorder="1" applyAlignment="1">
      <alignment horizontal="center" vertical="center"/>
    </xf>
    <xf numFmtId="0" fontId="0" fillId="0" borderId="49" xfId="0" applyBorder="1"/>
    <xf numFmtId="0" fontId="30" fillId="0" borderId="21" xfId="0" applyFont="1" applyBorder="1" applyAlignment="1">
      <alignment horizontal="center" vertical="center"/>
    </xf>
    <xf numFmtId="0" fontId="31" fillId="0" borderId="49" xfId="0" applyFont="1" applyBorder="1" applyAlignment="1">
      <alignment vertical="center"/>
    </xf>
    <xf numFmtId="0" fontId="5" fillId="13" borderId="0" xfId="0" applyFont="1" applyFill="1"/>
    <xf numFmtId="0" fontId="30" fillId="5" borderId="49" xfId="0" applyFont="1" applyFill="1" applyBorder="1" applyAlignment="1">
      <alignment horizontal="center" vertical="center"/>
    </xf>
    <xf numFmtId="0" fontId="6" fillId="0" borderId="72" xfId="0" applyFont="1" applyBorder="1"/>
    <xf numFmtId="14" fontId="4" fillId="0" borderId="49" xfId="0" applyNumberFormat="1" applyFont="1" applyBorder="1"/>
    <xf numFmtId="49" fontId="4" fillId="0" borderId="49" xfId="0" applyNumberFormat="1" applyFont="1" applyBorder="1"/>
    <xf numFmtId="49" fontId="33" fillId="0" borderId="49" xfId="0" applyNumberFormat="1" applyFont="1" applyBorder="1" applyAlignment="1">
      <alignment wrapText="1"/>
    </xf>
    <xf numFmtId="49" fontId="4" fillId="0" borderId="0" xfId="0" applyNumberFormat="1" applyFont="1"/>
    <xf numFmtId="0" fontId="0" fillId="0" borderId="72" xfId="0" applyBorder="1"/>
    <xf numFmtId="49" fontId="0" fillId="0" borderId="49" xfId="0" applyNumberFormat="1" applyBorder="1"/>
    <xf numFmtId="0" fontId="27" fillId="0" borderId="0" xfId="0" applyFont="1"/>
    <xf numFmtId="0" fontId="27" fillId="0" borderId="73" xfId="0" applyFont="1" applyBorder="1"/>
    <xf numFmtId="0" fontId="5" fillId="16" borderId="49" xfId="0" applyFont="1" applyFill="1" applyBorder="1" applyAlignment="1">
      <alignment horizontal="center" vertical="center" wrapText="1"/>
    </xf>
    <xf numFmtId="0" fontId="0" fillId="0" borderId="0" xfId="0" applyAlignment="1">
      <alignment horizontal="center"/>
    </xf>
    <xf numFmtId="1" fontId="4" fillId="11" borderId="49" xfId="0" applyNumberFormat="1" applyFont="1" applyFill="1" applyBorder="1" applyAlignment="1">
      <alignment horizontal="center" wrapText="1"/>
    </xf>
    <xf numFmtId="0" fontId="0" fillId="11" borderId="49" xfId="0" applyFill="1" applyBorder="1"/>
    <xf numFmtId="0" fontId="5" fillId="20" borderId="49" xfId="0" applyFont="1" applyFill="1" applyBorder="1"/>
    <xf numFmtId="0" fontId="5" fillId="18" borderId="49" xfId="0" applyFont="1" applyFill="1" applyBorder="1"/>
    <xf numFmtId="0" fontId="5" fillId="13" borderId="49" xfId="0" applyFont="1" applyFill="1" applyBorder="1"/>
    <xf numFmtId="9" fontId="0" fillId="0" borderId="49" xfId="3" applyFont="1" applyFill="1" applyBorder="1" applyAlignment="1">
      <alignment horizontal="center" vertical="center"/>
    </xf>
    <xf numFmtId="0" fontId="5" fillId="16" borderId="23" xfId="0" applyFont="1" applyFill="1" applyBorder="1" applyAlignment="1">
      <alignment horizontal="center" vertical="center" wrapText="1"/>
    </xf>
    <xf numFmtId="0" fontId="5" fillId="16" borderId="74" xfId="0" applyFont="1" applyFill="1" applyBorder="1" applyAlignment="1">
      <alignment horizontal="center" vertical="center" wrapText="1"/>
    </xf>
    <xf numFmtId="0" fontId="5" fillId="16" borderId="75" xfId="0" applyFont="1" applyFill="1" applyBorder="1" applyAlignment="1">
      <alignment horizontal="center" vertical="center" wrapText="1"/>
    </xf>
    <xf numFmtId="0" fontId="5" fillId="16" borderId="76" xfId="0" applyFont="1" applyFill="1" applyBorder="1" applyAlignment="1">
      <alignment horizontal="center" vertical="center" wrapText="1"/>
    </xf>
    <xf numFmtId="0" fontId="5" fillId="16" borderId="77" xfId="0" applyFont="1" applyFill="1" applyBorder="1" applyAlignment="1">
      <alignment horizontal="center" vertical="center" wrapText="1"/>
    </xf>
    <xf numFmtId="0" fontId="5" fillId="16" borderId="77" xfId="0" applyFont="1" applyFill="1" applyBorder="1" applyAlignment="1">
      <alignment horizontal="center" vertical="center" wrapText="1"/>
    </xf>
    <xf numFmtId="0" fontId="5" fillId="16" borderId="78" xfId="0" applyFont="1" applyFill="1" applyBorder="1" applyAlignment="1">
      <alignment horizontal="center" vertical="center" wrapText="1"/>
    </xf>
    <xf numFmtId="0" fontId="16" fillId="0" borderId="49" xfId="0" applyFont="1" applyBorder="1" applyAlignment="1">
      <alignment horizontal="center"/>
    </xf>
    <xf numFmtId="0" fontId="16" fillId="0" borderId="49" xfId="0" applyFont="1" applyBorder="1" applyAlignment="1">
      <alignment horizontal="center"/>
    </xf>
    <xf numFmtId="0" fontId="34" fillId="0" borderId="49" xfId="0" applyFont="1" applyBorder="1" applyAlignment="1">
      <alignment horizontal="center" vertical="center"/>
    </xf>
    <xf numFmtId="0" fontId="35" fillId="0" borderId="49" xfId="0" applyFont="1" applyBorder="1" applyAlignment="1">
      <alignment horizontal="center" vertical="center"/>
    </xf>
    <xf numFmtId="14" fontId="30" fillId="0" borderId="49" xfId="0" applyNumberFormat="1" applyFont="1" applyBorder="1" applyAlignment="1">
      <alignment horizontal="center" vertical="center"/>
    </xf>
    <xf numFmtId="0" fontId="36" fillId="0" borderId="49" xfId="25" applyNumberFormat="1" applyFont="1" applyFill="1" applyBorder="1" applyAlignment="1">
      <alignment horizontal="center" vertical="center"/>
    </xf>
    <xf numFmtId="0" fontId="18" fillId="0" borderId="49" xfId="0" applyFont="1" applyBorder="1"/>
    <xf numFmtId="0" fontId="37" fillId="0" borderId="49" xfId="0" applyFont="1" applyBorder="1" applyAlignment="1">
      <alignment horizontal="center" vertical="center" readingOrder="1"/>
    </xf>
    <xf numFmtId="0" fontId="37" fillId="0" borderId="0" xfId="0" applyFont="1" applyAlignment="1">
      <alignment horizontal="center"/>
    </xf>
    <xf numFmtId="0" fontId="38" fillId="21" borderId="49" xfId="0" applyFont="1" applyFill="1" applyBorder="1" applyAlignment="1">
      <alignment horizontal="center" vertical="center"/>
    </xf>
    <xf numFmtId="0" fontId="18" fillId="0" borderId="72" xfId="0" applyFont="1" applyBorder="1"/>
    <xf numFmtId="0" fontId="4" fillId="0" borderId="49" xfId="28" applyFont="1" applyBorder="1" applyAlignment="1">
      <alignment horizontal="center"/>
    </xf>
    <xf numFmtId="0" fontId="36" fillId="21" borderId="49" xfId="0" applyFont="1" applyFill="1" applyBorder="1" applyAlignment="1">
      <alignment horizontal="center" vertical="center"/>
    </xf>
    <xf numFmtId="0" fontId="30" fillId="0" borderId="79" xfId="0" applyFont="1" applyBorder="1" applyAlignment="1">
      <alignment horizontal="center" vertical="center"/>
    </xf>
    <xf numFmtId="0" fontId="39" fillId="21" borderId="80" xfId="0" applyFont="1" applyFill="1" applyBorder="1" applyAlignment="1">
      <alignment horizontal="center" vertical="center"/>
    </xf>
    <xf numFmtId="0" fontId="16" fillId="0" borderId="21" xfId="0" applyFont="1" applyBorder="1" applyAlignment="1">
      <alignment horizontal="center"/>
    </xf>
    <xf numFmtId="0" fontId="40" fillId="21" borderId="49" xfId="0" applyFont="1" applyFill="1" applyBorder="1" applyAlignment="1">
      <alignment horizontal="center" vertical="center"/>
    </xf>
    <xf numFmtId="0" fontId="3" fillId="0" borderId="81" xfId="0" applyFont="1" applyBorder="1"/>
    <xf numFmtId="0" fontId="16" fillId="0" borderId="49" xfId="0" applyFont="1" applyBorder="1" applyAlignment="1">
      <alignment horizontal="center" vertical="center"/>
    </xf>
    <xf numFmtId="0" fontId="3" fillId="0" borderId="72" xfId="0" applyFont="1" applyBorder="1"/>
    <xf numFmtId="0" fontId="41" fillId="0" borderId="82" xfId="0" applyFont="1" applyBorder="1" applyAlignment="1">
      <alignment horizontal="center" vertical="center" wrapText="1" readingOrder="1"/>
    </xf>
    <xf numFmtId="0" fontId="42" fillId="0" borderId="49" xfId="0" applyFont="1" applyBorder="1" applyAlignment="1">
      <alignment horizontal="center" wrapText="1"/>
    </xf>
    <xf numFmtId="0" fontId="43" fillId="0" borderId="82" xfId="0" applyFont="1" applyBorder="1" applyAlignment="1">
      <alignment horizontal="center" vertical="top" wrapText="1"/>
    </xf>
    <xf numFmtId="0" fontId="44" fillId="0" borderId="83" xfId="0" applyFont="1" applyBorder="1" applyAlignment="1">
      <alignment horizontal="center" vertical="top" wrapText="1" readingOrder="1"/>
    </xf>
    <xf numFmtId="0" fontId="30" fillId="21" borderId="49" xfId="0" applyFont="1" applyFill="1" applyBorder="1" applyAlignment="1">
      <alignment horizontal="center" vertical="center"/>
    </xf>
    <xf numFmtId="0" fontId="30" fillId="21" borderId="21" xfId="0" applyFont="1" applyFill="1" applyBorder="1" applyAlignment="1">
      <alignment horizontal="center" vertical="center"/>
    </xf>
    <xf numFmtId="0" fontId="30" fillId="0" borderId="49" xfId="0" applyFont="1" applyBorder="1" applyAlignment="1">
      <alignment horizontal="center" vertical="center" wrapText="1"/>
    </xf>
    <xf numFmtId="0" fontId="44" fillId="0" borderId="82" xfId="0" applyFont="1" applyBorder="1" applyAlignment="1">
      <alignment horizontal="center" vertical="top" wrapText="1" readingOrder="1"/>
    </xf>
    <xf numFmtId="0" fontId="45" fillId="0" borderId="49" xfId="0" applyFont="1" applyBorder="1" applyAlignment="1">
      <alignment horizontal="right" vertical="center" wrapText="1"/>
    </xf>
    <xf numFmtId="0" fontId="3" fillId="0" borderId="49" xfId="0" applyFont="1" applyBorder="1"/>
    <xf numFmtId="0" fontId="18" fillId="0" borderId="49" xfId="0" applyFont="1" applyBorder="1" applyAlignment="1">
      <alignment horizontal="center"/>
    </xf>
    <xf numFmtId="0" fontId="46" fillId="21" borderId="49" xfId="0" applyFont="1" applyFill="1" applyBorder="1" applyAlignment="1">
      <alignment horizontal="center" vertical="center"/>
    </xf>
    <xf numFmtId="0" fontId="47" fillId="21" borderId="49" xfId="0" applyFont="1" applyFill="1" applyBorder="1" applyAlignment="1">
      <alignment horizontal="center" vertical="center"/>
    </xf>
    <xf numFmtId="49" fontId="4" fillId="0" borderId="49" xfId="0" applyNumberFormat="1" applyFont="1" applyBorder="1" applyAlignment="1">
      <alignment horizontal="center"/>
    </xf>
    <xf numFmtId="49" fontId="4" fillId="0" borderId="49" xfId="0" applyNumberFormat="1" applyFont="1" applyBorder="1" applyAlignment="1">
      <alignment horizontal="center" vertical="center"/>
    </xf>
    <xf numFmtId="16" fontId="16" fillId="0" borderId="49" xfId="0" applyNumberFormat="1" applyFont="1" applyBorder="1" applyAlignment="1">
      <alignment horizontal="center" vertical="center"/>
    </xf>
    <xf numFmtId="0" fontId="37" fillId="0" borderId="49" xfId="0" applyFont="1" applyBorder="1" applyAlignment="1">
      <alignment horizontal="center"/>
    </xf>
    <xf numFmtId="0" fontId="45" fillId="21" borderId="49" xfId="0" applyFont="1" applyFill="1" applyBorder="1" applyAlignment="1">
      <alignment horizontal="center" vertical="center"/>
    </xf>
    <xf numFmtId="0" fontId="48" fillId="0" borderId="49" xfId="0" applyFont="1" applyBorder="1" applyAlignment="1">
      <alignment horizontal="center"/>
    </xf>
    <xf numFmtId="0" fontId="18" fillId="0" borderId="49" xfId="0" applyFont="1" applyBorder="1" applyAlignment="1">
      <alignment horizontal="center"/>
    </xf>
    <xf numFmtId="0" fontId="49" fillId="21" borderId="49" xfId="0" applyFont="1" applyFill="1" applyBorder="1" applyAlignment="1">
      <alignment horizontal="center" vertical="center"/>
    </xf>
    <xf numFmtId="0" fontId="0" fillId="0" borderId="72" xfId="0" applyBorder="1" applyAlignment="1">
      <alignment horizontal="center"/>
    </xf>
    <xf numFmtId="0" fontId="18" fillId="5" borderId="49" xfId="0" applyFont="1" applyFill="1" applyBorder="1" applyAlignment="1">
      <alignment horizontal="center" vertical="center" wrapText="1"/>
    </xf>
    <xf numFmtId="0" fontId="16" fillId="5" borderId="49" xfId="0" applyFont="1" applyFill="1" applyBorder="1" applyAlignment="1">
      <alignment horizontal="center" vertical="center" wrapText="1"/>
    </xf>
    <xf numFmtId="0" fontId="0" fillId="0" borderId="49" xfId="0" applyBorder="1" applyAlignment="1">
      <alignment horizontal="center"/>
    </xf>
    <xf numFmtId="0" fontId="0" fillId="0" borderId="71" xfId="0" applyBorder="1" applyAlignment="1">
      <alignment horizontal="center"/>
    </xf>
    <xf numFmtId="0" fontId="0" fillId="0" borderId="44" xfId="0" applyBorder="1" applyAlignment="1">
      <alignment horizontal="center"/>
    </xf>
    <xf numFmtId="0" fontId="0" fillId="0" borderId="72" xfId="0" applyBorder="1" applyAlignment="1">
      <alignment horizontal="center"/>
    </xf>
    <xf numFmtId="0" fontId="50" fillId="22" borderId="84" xfId="0" applyFont="1" applyFill="1" applyBorder="1" applyAlignment="1">
      <alignment horizontal="center" vertical="center"/>
    </xf>
    <xf numFmtId="0" fontId="50" fillId="22" borderId="85" xfId="0" applyFont="1" applyFill="1" applyBorder="1" applyAlignment="1">
      <alignment horizontal="center" vertical="center"/>
    </xf>
    <xf numFmtId="0" fontId="26" fillId="0" borderId="0" xfId="0" applyFont="1" applyAlignment="1">
      <alignment horizontal="left"/>
    </xf>
    <xf numFmtId="165" fontId="18" fillId="2" borderId="0" xfId="0" applyNumberFormat="1" applyFont="1" applyFill="1" applyAlignment="1">
      <alignment horizontal="center"/>
    </xf>
    <xf numFmtId="165" fontId="18" fillId="2" borderId="0" xfId="0" applyNumberFormat="1" applyFont="1" applyFill="1" applyAlignment="1">
      <alignment horizontal="center"/>
    </xf>
    <xf numFmtId="0" fontId="51" fillId="0" borderId="0" xfId="0" applyFont="1" applyAlignment="1">
      <alignment vertical="center"/>
    </xf>
    <xf numFmtId="0" fontId="11" fillId="2" borderId="28" xfId="0" applyFont="1" applyFill="1" applyBorder="1" applyAlignment="1">
      <alignment horizontal="center"/>
    </xf>
    <xf numFmtId="0" fontId="11" fillId="2" borderId="0" xfId="0" applyFont="1" applyFill="1" applyAlignment="1">
      <alignment horizontal="center"/>
    </xf>
    <xf numFmtId="0" fontId="52" fillId="23" borderId="86" xfId="0" applyFont="1" applyFill="1" applyBorder="1" applyAlignment="1">
      <alignment horizontal="center" vertical="center"/>
    </xf>
    <xf numFmtId="0" fontId="52" fillId="23" borderId="87" xfId="0" applyFont="1" applyFill="1" applyBorder="1" applyAlignment="1">
      <alignment horizontal="center" vertical="center"/>
    </xf>
    <xf numFmtId="0" fontId="52" fillId="23" borderId="76" xfId="0" applyFont="1" applyFill="1" applyBorder="1" applyAlignment="1">
      <alignment horizontal="center" vertical="center"/>
    </xf>
    <xf numFmtId="0" fontId="52" fillId="23" borderId="88" xfId="0" applyFont="1" applyFill="1" applyBorder="1" applyAlignment="1">
      <alignment horizontal="center" vertical="center"/>
    </xf>
    <xf numFmtId="0" fontId="52" fillId="23" borderId="89" xfId="0" applyFont="1" applyFill="1" applyBorder="1" applyAlignment="1">
      <alignment horizontal="center" vertical="center"/>
    </xf>
    <xf numFmtId="0" fontId="52" fillId="23" borderId="90" xfId="0" applyFont="1" applyFill="1" applyBorder="1" applyAlignment="1">
      <alignment horizontal="center" vertical="center"/>
    </xf>
    <xf numFmtId="0" fontId="52" fillId="23" borderId="11" xfId="0" applyFont="1" applyFill="1" applyBorder="1" applyAlignment="1">
      <alignment horizontal="center" vertical="center"/>
    </xf>
    <xf numFmtId="0" fontId="52" fillId="23" borderId="91" xfId="0" applyFont="1" applyFill="1" applyBorder="1" applyAlignment="1">
      <alignment horizontal="center" vertical="center"/>
    </xf>
    <xf numFmtId="0" fontId="52" fillId="23" borderId="92" xfId="0" applyFont="1" applyFill="1" applyBorder="1" applyAlignment="1">
      <alignment horizontal="center" vertical="center"/>
    </xf>
    <xf numFmtId="9" fontId="52" fillId="11" borderId="76" xfId="0" applyNumberFormat="1" applyFont="1" applyFill="1" applyBorder="1" applyAlignment="1">
      <alignment horizontal="center" vertical="center" wrapText="1"/>
    </xf>
    <xf numFmtId="9" fontId="52" fillId="11" borderId="93" xfId="0" applyNumberFormat="1" applyFont="1" applyFill="1" applyBorder="1" applyAlignment="1">
      <alignment horizontal="center" vertical="center" wrapText="1"/>
    </xf>
    <xf numFmtId="0" fontId="53" fillId="2" borderId="89" xfId="0" applyFont="1" applyFill="1" applyBorder="1" applyAlignment="1">
      <alignment horizontal="center" vertical="center" wrapText="1"/>
    </xf>
    <xf numFmtId="0" fontId="53" fillId="2" borderId="90" xfId="0" applyFont="1" applyFill="1" applyBorder="1" applyAlignment="1">
      <alignment horizontal="center" vertical="center" wrapText="1"/>
    </xf>
    <xf numFmtId="0" fontId="53" fillId="2" borderId="94" xfId="0" applyFont="1" applyFill="1" applyBorder="1" applyAlignment="1">
      <alignment horizontal="center" vertical="center" wrapText="1"/>
    </xf>
    <xf numFmtId="0" fontId="53" fillId="2" borderId="95" xfId="0" applyFont="1" applyFill="1" applyBorder="1" applyAlignment="1">
      <alignment horizontal="center" vertical="center" wrapText="1"/>
    </xf>
    <xf numFmtId="0" fontId="53" fillId="2" borderId="96" xfId="0" applyFont="1" applyFill="1" applyBorder="1" applyAlignment="1">
      <alignment horizontal="center" vertical="center" wrapText="1"/>
    </xf>
    <xf numFmtId="0" fontId="53" fillId="2" borderId="97" xfId="0" applyFont="1" applyFill="1" applyBorder="1" applyAlignment="1">
      <alignment horizontal="center" vertical="center" wrapText="1"/>
    </xf>
    <xf numFmtId="0" fontId="53" fillId="2" borderId="98" xfId="0" applyFont="1" applyFill="1" applyBorder="1" applyAlignment="1">
      <alignment horizontal="center" vertical="center" wrapText="1"/>
    </xf>
    <xf numFmtId="0" fontId="53" fillId="2" borderId="98" xfId="0" applyFont="1" applyFill="1" applyBorder="1" applyAlignment="1">
      <alignment horizontal="center" vertical="center" wrapText="1"/>
    </xf>
    <xf numFmtId="0" fontId="53" fillId="2" borderId="99" xfId="0" applyFont="1" applyFill="1" applyBorder="1" applyAlignment="1">
      <alignment horizontal="center" vertical="center" wrapText="1"/>
    </xf>
    <xf numFmtId="9" fontId="52" fillId="11" borderId="98" xfId="0" applyNumberFormat="1" applyFont="1" applyFill="1" applyBorder="1" applyAlignment="1">
      <alignment horizontal="center" vertical="center" wrapText="1"/>
    </xf>
    <xf numFmtId="0" fontId="2" fillId="2" borderId="11" xfId="0" applyFont="1" applyFill="1" applyBorder="1" applyAlignment="1">
      <alignment horizontal="center" vertical="center" wrapText="1"/>
    </xf>
    <xf numFmtId="0" fontId="2" fillId="2" borderId="92" xfId="0" applyFont="1" applyFill="1" applyBorder="1" applyAlignment="1">
      <alignment horizontal="center" vertical="center" wrapText="1"/>
    </xf>
    <xf numFmtId="0" fontId="2" fillId="2" borderId="99" xfId="0" applyFont="1" applyFill="1" applyBorder="1" applyAlignment="1">
      <alignment horizontal="center" vertical="center" wrapText="1"/>
    </xf>
    <xf numFmtId="9" fontId="52" fillId="11" borderId="100" xfId="0" applyNumberFormat="1" applyFont="1" applyFill="1" applyBorder="1" applyAlignment="1">
      <alignment horizontal="center" vertical="center" wrapText="1"/>
    </xf>
    <xf numFmtId="0" fontId="2" fillId="12" borderId="99" xfId="0" applyFont="1" applyFill="1" applyBorder="1" applyAlignment="1">
      <alignment horizontal="center" vertical="center" wrapText="1"/>
    </xf>
    <xf numFmtId="0" fontId="2" fillId="12" borderId="27" xfId="0" applyFont="1" applyFill="1" applyBorder="1" applyAlignment="1">
      <alignment vertical="center" wrapText="1"/>
    </xf>
    <xf numFmtId="166" fontId="3" fillId="23" borderId="101" xfId="0" applyNumberFormat="1" applyFont="1" applyFill="1" applyBorder="1" applyAlignment="1">
      <alignment horizontal="center" vertical="center"/>
    </xf>
    <xf numFmtId="166" fontId="3" fillId="23" borderId="102" xfId="0" applyNumberFormat="1" applyFont="1" applyFill="1" applyBorder="1" applyAlignment="1">
      <alignment horizontal="center" vertical="center"/>
    </xf>
    <xf numFmtId="166" fontId="3" fillId="23" borderId="103" xfId="0" applyNumberFormat="1" applyFont="1" applyFill="1" applyBorder="1" applyAlignment="1">
      <alignment horizontal="center" vertical="center"/>
    </xf>
    <xf numFmtId="0" fontId="47" fillId="24" borderId="104" xfId="0" applyFont="1" applyFill="1" applyBorder="1" applyAlignment="1">
      <alignment horizontal="center" vertical="center" wrapText="1"/>
    </xf>
    <xf numFmtId="0" fontId="47" fillId="24" borderId="103" xfId="0" applyFont="1" applyFill="1" applyBorder="1" applyAlignment="1">
      <alignment horizontal="center" vertical="center" wrapText="1"/>
    </xf>
    <xf numFmtId="20" fontId="47" fillId="24" borderId="104" xfId="0" applyNumberFormat="1" applyFont="1" applyFill="1" applyBorder="1" applyAlignment="1">
      <alignment horizontal="center" vertical="center" wrapText="1"/>
    </xf>
    <xf numFmtId="20" fontId="47" fillId="24" borderId="103" xfId="0" applyNumberFormat="1" applyFont="1" applyFill="1" applyBorder="1" applyAlignment="1">
      <alignment horizontal="center" vertical="center" wrapText="1"/>
    </xf>
    <xf numFmtId="9" fontId="47" fillId="24" borderId="105" xfId="0" applyNumberFormat="1" applyFont="1" applyFill="1" applyBorder="1" applyAlignment="1">
      <alignment horizontal="center" vertical="center" wrapText="1"/>
    </xf>
    <xf numFmtId="0" fontId="47" fillId="24" borderId="105" xfId="0" applyFont="1" applyFill="1" applyBorder="1" applyAlignment="1">
      <alignment horizontal="center" vertical="center" wrapText="1"/>
    </xf>
    <xf numFmtId="9" fontId="47" fillId="24" borderId="106" xfId="0" applyNumberFormat="1" applyFont="1" applyFill="1" applyBorder="1" applyAlignment="1">
      <alignment horizontal="center" vertical="center" wrapText="1"/>
    </xf>
    <xf numFmtId="9" fontId="11" fillId="11" borderId="104" xfId="0" applyNumberFormat="1" applyFont="1" applyFill="1" applyBorder="1" applyAlignment="1">
      <alignment horizontal="center" vertical="center"/>
    </xf>
    <xf numFmtId="22" fontId="47" fillId="24" borderId="104" xfId="0" applyNumberFormat="1" applyFont="1" applyFill="1" applyBorder="1" applyAlignment="1">
      <alignment horizontal="center" vertical="center" wrapText="1"/>
    </xf>
    <xf numFmtId="9" fontId="11" fillId="11" borderId="107" xfId="0" applyNumberFormat="1" applyFont="1" applyFill="1" applyBorder="1" applyAlignment="1">
      <alignment horizontal="center" vertical="center"/>
    </xf>
    <xf numFmtId="0" fontId="3" fillId="24" borderId="108" xfId="0" applyFont="1" applyFill="1" applyBorder="1" applyAlignment="1">
      <alignment horizontal="center" vertical="center"/>
    </xf>
    <xf numFmtId="166" fontId="3" fillId="0" borderId="101" xfId="0" applyNumberFormat="1" applyFont="1" applyBorder="1" applyAlignment="1">
      <alignment horizontal="center" vertical="center"/>
    </xf>
    <xf numFmtId="166" fontId="3" fillId="0" borderId="102" xfId="0" applyNumberFormat="1" applyFont="1" applyBorder="1" applyAlignment="1">
      <alignment horizontal="center" vertical="center"/>
    </xf>
    <xf numFmtId="166" fontId="3" fillId="0" borderId="103" xfId="0" applyNumberFormat="1" applyFont="1" applyBorder="1" applyAlignment="1">
      <alignment horizontal="center" vertical="center"/>
    </xf>
    <xf numFmtId="0" fontId="47" fillId="0" borderId="104" xfId="0" applyFont="1" applyBorder="1" applyAlignment="1">
      <alignment horizontal="center" vertical="center" wrapText="1"/>
    </xf>
    <xf numFmtId="0" fontId="47" fillId="0" borderId="103" xfId="0" applyFont="1" applyBorder="1" applyAlignment="1">
      <alignment horizontal="center" vertical="center" wrapText="1"/>
    </xf>
    <xf numFmtId="20" fontId="47" fillId="0" borderId="104" xfId="0" applyNumberFormat="1" applyFont="1" applyBorder="1" applyAlignment="1">
      <alignment horizontal="center" vertical="center" wrapText="1"/>
    </xf>
    <xf numFmtId="20" fontId="47" fillId="0" borderId="103" xfId="0" applyNumberFormat="1" applyFont="1" applyBorder="1" applyAlignment="1">
      <alignment horizontal="center" vertical="center" wrapText="1"/>
    </xf>
    <xf numFmtId="9" fontId="47" fillId="0" borderId="105" xfId="0" applyNumberFormat="1" applyFont="1" applyBorder="1" applyAlignment="1">
      <alignment horizontal="center" vertical="center" wrapText="1"/>
    </xf>
    <xf numFmtId="0" fontId="47" fillId="0" borderId="105" xfId="0" applyFont="1" applyBorder="1" applyAlignment="1">
      <alignment horizontal="center" vertical="center" wrapText="1"/>
    </xf>
    <xf numFmtId="9" fontId="47" fillId="0" borderId="106" xfId="0" applyNumberFormat="1" applyFont="1" applyBorder="1" applyAlignment="1">
      <alignment horizontal="center" vertical="center" wrapText="1"/>
    </xf>
    <xf numFmtId="0" fontId="54" fillId="0" borderId="0" xfId="0" applyFont="1" applyAlignment="1">
      <alignment horizontal="center"/>
    </xf>
    <xf numFmtId="0" fontId="47" fillId="23" borderId="104" xfId="0" applyFont="1" applyFill="1" applyBorder="1" applyAlignment="1">
      <alignment horizontal="center" vertical="center" wrapText="1"/>
    </xf>
    <xf numFmtId="0" fontId="47" fillId="23" borderId="103" xfId="0" applyFont="1" applyFill="1" applyBorder="1" applyAlignment="1">
      <alignment horizontal="center" vertical="center" wrapText="1"/>
    </xf>
    <xf numFmtId="0" fontId="3" fillId="24" borderId="109" xfId="0" applyFont="1" applyFill="1" applyBorder="1" applyAlignment="1">
      <alignment horizontal="center" vertical="center"/>
    </xf>
    <xf numFmtId="0" fontId="55" fillId="0" borderId="0" xfId="0" applyFont="1" applyAlignment="1">
      <alignment horizontal="center"/>
    </xf>
    <xf numFmtId="0" fontId="53" fillId="24" borderId="71" xfId="0" applyFont="1" applyFill="1" applyBorder="1" applyAlignment="1">
      <alignment horizontal="center" vertical="center"/>
    </xf>
    <xf numFmtId="0" fontId="3" fillId="0" borderId="110" xfId="0" applyFont="1" applyBorder="1" applyAlignment="1">
      <alignment horizontal="center" vertical="center"/>
    </xf>
    <xf numFmtId="0" fontId="55" fillId="21" borderId="71" xfId="0" applyFont="1" applyFill="1" applyBorder="1" applyAlignment="1">
      <alignment horizontal="center" vertical="center"/>
    </xf>
    <xf numFmtId="0" fontId="56" fillId="24" borderId="71" xfId="0" applyFont="1" applyFill="1" applyBorder="1" applyAlignment="1">
      <alignment horizontal="center" vertical="center"/>
    </xf>
    <xf numFmtId="0" fontId="57" fillId="0" borderId="111" xfId="0" applyFont="1" applyBorder="1" applyAlignment="1">
      <alignment horizontal="center" vertical="center" wrapText="1"/>
    </xf>
    <xf numFmtId="166" fontId="3" fillId="23" borderId="112" xfId="0" applyNumberFormat="1" applyFont="1" applyFill="1" applyBorder="1" applyAlignment="1">
      <alignment horizontal="center" vertical="center"/>
    </xf>
    <xf numFmtId="166" fontId="3" fillId="23" borderId="105" xfId="0" applyNumberFormat="1" applyFont="1" applyFill="1" applyBorder="1" applyAlignment="1">
      <alignment horizontal="center" vertical="center"/>
    </xf>
    <xf numFmtId="0" fontId="47" fillId="23" borderId="113" xfId="0" applyFont="1" applyFill="1" applyBorder="1" applyAlignment="1">
      <alignment horizontal="center" vertical="center" wrapText="1"/>
    </xf>
    <xf numFmtId="0" fontId="47" fillId="23" borderId="114" xfId="0" applyFont="1" applyFill="1" applyBorder="1" applyAlignment="1">
      <alignment horizontal="center" vertical="center" wrapText="1"/>
    </xf>
    <xf numFmtId="0" fontId="58" fillId="0" borderId="71" xfId="0" applyFont="1" applyBorder="1" applyAlignment="1">
      <alignment horizontal="center" vertical="center"/>
    </xf>
    <xf numFmtId="0" fontId="0" fillId="24" borderId="109" xfId="0" applyFill="1" applyBorder="1" applyAlignment="1">
      <alignment horizontal="center"/>
    </xf>
    <xf numFmtId="0" fontId="47" fillId="0" borderId="113" xfId="0" applyFont="1" applyBorder="1" applyAlignment="1">
      <alignment horizontal="center" vertical="center" wrapText="1"/>
    </xf>
    <xf numFmtId="0" fontId="47" fillId="0" borderId="114" xfId="0" applyFont="1" applyBorder="1" applyAlignment="1">
      <alignment horizontal="center" vertical="center" wrapText="1"/>
    </xf>
    <xf numFmtId="0" fontId="0" fillId="0" borderId="109" xfId="0" applyBorder="1" applyAlignment="1">
      <alignment horizontal="center"/>
    </xf>
    <xf numFmtId="9" fontId="3" fillId="24" borderId="105" xfId="0" applyNumberFormat="1" applyFont="1" applyFill="1" applyBorder="1" applyAlignment="1">
      <alignment horizontal="center" vertical="center"/>
    </xf>
    <xf numFmtId="9" fontId="3" fillId="0" borderId="105" xfId="0" applyNumberFormat="1" applyFont="1" applyBorder="1" applyAlignment="1">
      <alignment horizontal="center" vertical="center"/>
    </xf>
    <xf numFmtId="0" fontId="4" fillId="0" borderId="109" xfId="0" applyFont="1" applyBorder="1" applyAlignment="1">
      <alignment horizontal="center"/>
    </xf>
    <xf numFmtId="9" fontId="47" fillId="23" borderId="105" xfId="0" applyNumberFormat="1" applyFont="1" applyFill="1" applyBorder="1" applyAlignment="1">
      <alignment horizontal="center" vertical="center" wrapText="1"/>
    </xf>
    <xf numFmtId="9" fontId="3" fillId="23" borderId="105" xfId="0" applyNumberFormat="1" applyFont="1" applyFill="1" applyBorder="1" applyAlignment="1">
      <alignment horizontal="center" vertical="center"/>
    </xf>
    <xf numFmtId="0" fontId="0" fillId="0" borderId="109" xfId="0" applyBorder="1"/>
    <xf numFmtId="0" fontId="47" fillId="23" borderId="105" xfId="0" applyFont="1" applyFill="1" applyBorder="1" applyAlignment="1">
      <alignment horizontal="center" vertical="center" wrapText="1"/>
    </xf>
    <xf numFmtId="9" fontId="3" fillId="24" borderId="106" xfId="0" applyNumberFormat="1" applyFont="1" applyFill="1" applyBorder="1" applyAlignment="1">
      <alignment horizontal="center" vertical="center"/>
    </xf>
    <xf numFmtId="0" fontId="0" fillId="24" borderId="109" xfId="0" applyFill="1" applyBorder="1"/>
    <xf numFmtId="20" fontId="47" fillId="0" borderId="105" xfId="0" applyNumberFormat="1" applyFont="1" applyBorder="1" applyAlignment="1">
      <alignment horizontal="center" vertical="center" wrapText="1"/>
    </xf>
    <xf numFmtId="20" fontId="47" fillId="23" borderId="105" xfId="0" applyNumberFormat="1" applyFont="1" applyFill="1" applyBorder="1" applyAlignment="1">
      <alignment horizontal="center" vertical="center" wrapText="1"/>
    </xf>
    <xf numFmtId="9" fontId="3" fillId="0" borderId="106" xfId="0" applyNumberFormat="1" applyFont="1" applyBorder="1" applyAlignment="1">
      <alignment horizontal="center" vertical="center"/>
    </xf>
    <xf numFmtId="0" fontId="0" fillId="0" borderId="27" xfId="0" applyFont="1" applyBorder="1"/>
    <xf numFmtId="0" fontId="0" fillId="0" borderId="0" xfId="0" applyFont="1"/>
    <xf numFmtId="0" fontId="52" fillId="0" borderId="0" xfId="0" applyFont="1"/>
    <xf numFmtId="15" fontId="59" fillId="0" borderId="0" xfId="0" applyNumberFormat="1" applyFont="1" applyAlignment="1">
      <alignment horizontal="center" vertical="top"/>
    </xf>
    <xf numFmtId="0" fontId="5" fillId="0" borderId="0" xfId="0" applyFont="1" applyAlignment="1">
      <alignment horizontal="center" vertical="top"/>
    </xf>
    <xf numFmtId="0" fontId="0" fillId="0" borderId="0" xfId="0" applyFont="1" applyAlignment="1">
      <alignment wrapText="1"/>
    </xf>
    <xf numFmtId="0" fontId="5" fillId="0" borderId="0" xfId="0" applyFont="1" applyAlignment="1">
      <alignment horizontal="center"/>
    </xf>
    <xf numFmtId="0" fontId="0" fillId="18" borderId="49" xfId="0" applyFont="1" applyFill="1" applyBorder="1"/>
    <xf numFmtId="0" fontId="5" fillId="18" borderId="25" xfId="0" applyFont="1" applyFill="1" applyBorder="1" applyAlignment="1">
      <alignment horizontal="center"/>
    </xf>
    <xf numFmtId="0" fontId="5" fillId="18" borderId="25" xfId="0" applyFont="1" applyFill="1" applyBorder="1" applyAlignment="1">
      <alignment horizontal="center" wrapText="1"/>
    </xf>
    <xf numFmtId="0" fontId="5" fillId="18" borderId="49" xfId="0" applyFont="1" applyFill="1" applyBorder="1" applyAlignment="1">
      <alignment horizontal="center" wrapText="1"/>
    </xf>
    <xf numFmtId="0" fontId="0" fillId="0" borderId="6" xfId="0" applyFont="1" applyBorder="1"/>
    <xf numFmtId="0" fontId="5" fillId="0" borderId="20" xfId="0" applyFont="1" applyBorder="1" applyAlignment="1">
      <alignment horizontal="center" vertical="center"/>
    </xf>
    <xf numFmtId="0" fontId="5" fillId="0" borderId="22" xfId="0" applyFont="1" applyBorder="1" applyAlignment="1">
      <alignment horizontal="center"/>
    </xf>
    <xf numFmtId="0" fontId="5" fillId="0" borderId="50" xfId="0" applyFont="1" applyBorder="1" applyAlignment="1">
      <alignment horizontal="center"/>
    </xf>
    <xf numFmtId="0" fontId="7" fillId="5" borderId="71" xfId="0" applyFont="1" applyFill="1" applyBorder="1"/>
    <xf numFmtId="0" fontId="60" fillId="25" borderId="11" xfId="0" applyFont="1" applyFill="1" applyBorder="1" applyAlignment="1">
      <alignment horizontal="center"/>
    </xf>
    <xf numFmtId="0" fontId="7" fillId="25" borderId="91" xfId="0" applyFont="1" applyFill="1" applyBorder="1" applyAlignment="1">
      <alignment horizontal="center"/>
    </xf>
    <xf numFmtId="0" fontId="7" fillId="25" borderId="92" xfId="0" applyFont="1" applyFill="1" applyBorder="1" applyAlignment="1">
      <alignment horizontal="center"/>
    </xf>
    <xf numFmtId="0" fontId="61" fillId="5" borderId="115" xfId="0" applyFont="1" applyFill="1" applyBorder="1" applyAlignment="1" applyProtection="1">
      <alignment horizontal="left" vertical="top" readingOrder="1"/>
      <protection locked="0"/>
    </xf>
    <xf numFmtId="0" fontId="62" fillId="5" borderId="116" xfId="0" applyFont="1" applyFill="1" applyBorder="1" applyAlignment="1" applyProtection="1">
      <alignment horizontal="left" vertical="top" wrapText="1"/>
      <protection locked="0"/>
    </xf>
    <xf numFmtId="0" fontId="0" fillId="0" borderId="117" xfId="0" applyFont="1" applyBorder="1"/>
    <xf numFmtId="0" fontId="63" fillId="26" borderId="13" xfId="0" applyFont="1" applyFill="1" applyBorder="1" applyAlignment="1">
      <alignment horizontal="left"/>
    </xf>
    <xf numFmtId="0" fontId="7" fillId="26" borderId="39" xfId="0" applyFont="1" applyFill="1" applyBorder="1" applyAlignment="1">
      <alignment horizontal="center"/>
    </xf>
    <xf numFmtId="9" fontId="7" fillId="26" borderId="118" xfId="3" applyFont="1" applyFill="1" applyBorder="1" applyAlignment="1">
      <alignment horizontal="center"/>
    </xf>
    <xf numFmtId="0" fontId="0" fillId="5" borderId="40" xfId="0" applyFont="1" applyFill="1" applyBorder="1"/>
    <xf numFmtId="0" fontId="64" fillId="5" borderId="21" xfId="0" quotePrefix="1" applyFont="1" applyFill="1" applyBorder="1" applyAlignment="1">
      <alignment horizontal="left" wrapText="1"/>
    </xf>
    <xf numFmtId="0" fontId="64" fillId="11" borderId="21" xfId="0" quotePrefix="1" applyFont="1" applyFill="1" applyBorder="1" applyAlignment="1">
      <alignment horizontal="left"/>
    </xf>
    <xf numFmtId="0" fontId="64" fillId="5" borderId="21" xfId="0" applyFont="1" applyFill="1" applyBorder="1" applyAlignment="1">
      <alignment horizontal="left"/>
    </xf>
    <xf numFmtId="0" fontId="65" fillId="27" borderId="21" xfId="0" applyFont="1" applyFill="1" applyBorder="1" applyAlignment="1">
      <alignment horizontal="left" vertical="center" wrapText="1"/>
    </xf>
    <xf numFmtId="0" fontId="66" fillId="0" borderId="39" xfId="0" applyFont="1" applyBorder="1"/>
    <xf numFmtId="0" fontId="0" fillId="0" borderId="119" xfId="0" applyFont="1" applyBorder="1"/>
    <xf numFmtId="49" fontId="5" fillId="12" borderId="13" xfId="0" applyNumberFormat="1" applyFont="1" applyFill="1" applyBorder="1"/>
    <xf numFmtId="0" fontId="0" fillId="12" borderId="39" xfId="0" applyFont="1" applyFill="1" applyBorder="1" applyAlignment="1">
      <alignment horizontal="center"/>
    </xf>
    <xf numFmtId="9" fontId="4" fillId="12" borderId="118" xfId="3" applyFont="1" applyFill="1" applyBorder="1" applyAlignment="1">
      <alignment horizontal="center"/>
    </xf>
    <xf numFmtId="0" fontId="64" fillId="0" borderId="39" xfId="0" applyFont="1" applyBorder="1" applyAlignment="1">
      <alignment horizontal="left" wrapText="1"/>
    </xf>
    <xf numFmtId="0" fontId="66" fillId="11" borderId="39" xfId="0" applyFont="1" applyFill="1" applyBorder="1"/>
    <xf numFmtId="49" fontId="66" fillId="5" borderId="39" xfId="0" applyNumberFormat="1" applyFont="1" applyFill="1" applyBorder="1" applyAlignment="1">
      <alignment horizontal="left"/>
    </xf>
    <xf numFmtId="0" fontId="63" fillId="12" borderId="13" xfId="0" quotePrefix="1" applyFont="1" applyFill="1" applyBorder="1" applyAlignment="1">
      <alignment horizontal="left"/>
    </xf>
    <xf numFmtId="0" fontId="0" fillId="0" borderId="40" xfId="0" applyFont="1" applyBorder="1"/>
    <xf numFmtId="0" fontId="64" fillId="11" borderId="39" xfId="0" quotePrefix="1" applyFont="1" applyFill="1" applyBorder="1" applyAlignment="1">
      <alignment horizontal="left"/>
    </xf>
    <xf numFmtId="49" fontId="66" fillId="0" borderId="39" xfId="0" applyNumberFormat="1" applyFont="1" applyBorder="1" applyAlignment="1">
      <alignment horizontal="left"/>
    </xf>
    <xf numFmtId="0" fontId="5" fillId="28" borderId="13" xfId="0" applyFont="1" applyFill="1" applyBorder="1"/>
    <xf numFmtId="0" fontId="0" fillId="28" borderId="39" xfId="0" applyFont="1" applyFill="1" applyBorder="1" applyAlignment="1">
      <alignment horizontal="center"/>
    </xf>
    <xf numFmtId="9" fontId="4" fillId="28" borderId="118" xfId="3" applyFont="1" applyFill="1" applyBorder="1" applyAlignment="1">
      <alignment horizontal="center"/>
    </xf>
    <xf numFmtId="0" fontId="67" fillId="11" borderId="39" xfId="0" applyFont="1" applyFill="1" applyBorder="1" applyAlignment="1" applyProtection="1">
      <alignment horizontal="left" vertical="top" wrapText="1"/>
      <protection locked="0"/>
    </xf>
    <xf numFmtId="0" fontId="65" fillId="11" borderId="39" xfId="0" applyFont="1" applyFill="1" applyBorder="1" applyAlignment="1">
      <alignment vertical="top"/>
    </xf>
    <xf numFmtId="49" fontId="5" fillId="29" borderId="13" xfId="0" applyNumberFormat="1" applyFont="1" applyFill="1" applyBorder="1"/>
    <xf numFmtId="0" fontId="0" fillId="29" borderId="39" xfId="0" applyFont="1" applyFill="1" applyBorder="1" applyAlignment="1">
      <alignment horizontal="center"/>
    </xf>
    <xf numFmtId="9" fontId="4" fillId="29" borderId="118" xfId="3" applyFont="1" applyFill="1" applyBorder="1" applyAlignment="1">
      <alignment horizontal="center"/>
    </xf>
    <xf numFmtId="49" fontId="66" fillId="30" borderId="39" xfId="0" applyNumberFormat="1" applyFont="1" applyFill="1" applyBorder="1"/>
    <xf numFmtId="0" fontId="65" fillId="27" borderId="39" xfId="0" applyFont="1" applyFill="1" applyBorder="1" applyAlignment="1">
      <alignment horizontal="left" vertical="center" wrapText="1"/>
    </xf>
    <xf numFmtId="49" fontId="5" fillId="31" borderId="13" xfId="0" applyNumberFormat="1" applyFont="1" applyFill="1" applyBorder="1"/>
    <xf numFmtId="0" fontId="0" fillId="31" borderId="39" xfId="0" applyFont="1" applyFill="1" applyBorder="1" applyAlignment="1">
      <alignment horizontal="center"/>
    </xf>
    <xf numFmtId="9" fontId="4" fillId="31" borderId="118" xfId="3" applyFont="1" applyFill="1" applyBorder="1" applyAlignment="1">
      <alignment horizontal="center"/>
    </xf>
    <xf numFmtId="0" fontId="66" fillId="0" borderId="39" xfId="0" applyFont="1" applyBorder="1" applyAlignment="1">
      <alignment horizontal="left" vertical="center" wrapText="1"/>
    </xf>
    <xf numFmtId="0" fontId="66" fillId="11" borderId="39" xfId="0" applyFont="1" applyFill="1" applyBorder="1" applyAlignment="1">
      <alignment wrapText="1"/>
    </xf>
    <xf numFmtId="0" fontId="66" fillId="0" borderId="39" xfId="0" applyFont="1" applyBorder="1" applyAlignment="1">
      <alignment horizontal="left"/>
    </xf>
    <xf numFmtId="0" fontId="62" fillId="5" borderId="120" xfId="0" applyFont="1" applyFill="1" applyBorder="1" applyAlignment="1" applyProtection="1">
      <alignment horizontal="left" vertical="top" wrapText="1"/>
      <protection locked="0"/>
    </xf>
    <xf numFmtId="0" fontId="63" fillId="32" borderId="13" xfId="0" applyFont="1" applyFill="1" applyBorder="1" applyAlignment="1">
      <alignment horizontal="left"/>
    </xf>
    <xf numFmtId="0" fontId="0" fillId="32" borderId="39" xfId="0" applyFont="1" applyFill="1" applyBorder="1" applyAlignment="1">
      <alignment horizontal="center"/>
    </xf>
    <xf numFmtId="9" fontId="4" fillId="32" borderId="118" xfId="3" applyFont="1" applyFill="1" applyBorder="1" applyAlignment="1">
      <alignment horizontal="center"/>
    </xf>
    <xf numFmtId="0" fontId="66" fillId="0" borderId="121" xfId="0" applyFont="1" applyBorder="1" applyAlignment="1">
      <alignment horizontal="left" vertical="center" wrapText="1"/>
    </xf>
    <xf numFmtId="0" fontId="66" fillId="11" borderId="121" xfId="0" applyFont="1" applyFill="1" applyBorder="1"/>
    <xf numFmtId="0" fontId="66" fillId="0" borderId="121" xfId="0" applyFont="1" applyBorder="1" applyAlignment="1">
      <alignment horizontal="left"/>
    </xf>
    <xf numFmtId="0" fontId="0" fillId="0" borderId="39" xfId="0" applyFont="1" applyBorder="1"/>
    <xf numFmtId="0" fontId="68" fillId="25" borderId="11" xfId="0" applyFont="1" applyFill="1" applyBorder="1" applyAlignment="1">
      <alignment horizontal="center"/>
    </xf>
    <xf numFmtId="0" fontId="64" fillId="25" borderId="91" xfId="0" applyFont="1" applyFill="1" applyBorder="1" applyAlignment="1">
      <alignment horizontal="center"/>
    </xf>
    <xf numFmtId="0" fontId="64" fillId="25" borderId="92" xfId="0" applyFont="1" applyFill="1" applyBorder="1" applyAlignment="1">
      <alignment horizontal="center"/>
    </xf>
    <xf numFmtId="0" fontId="61" fillId="5" borderId="115" xfId="0" applyFont="1" applyFill="1" applyBorder="1" applyAlignment="1" applyProtection="1">
      <alignment horizontal="left" vertical="top" wrapText="1" readingOrder="1"/>
      <protection locked="0"/>
    </xf>
    <xf numFmtId="0" fontId="62" fillId="0" borderId="116" xfId="0" applyFont="1" applyBorder="1" applyAlignment="1" applyProtection="1">
      <alignment horizontal="left" vertical="top" wrapText="1"/>
      <protection locked="0"/>
    </xf>
    <xf numFmtId="0" fontId="0" fillId="0" borderId="122" xfId="0" applyFont="1" applyBorder="1"/>
    <xf numFmtId="0" fontId="63" fillId="27" borderId="13" xfId="0" applyFont="1" applyFill="1" applyBorder="1" applyAlignment="1">
      <alignment horizontal="left"/>
    </xf>
    <xf numFmtId="0" fontId="64" fillId="0" borderId="21" xfId="0" applyFont="1" applyBorder="1" applyAlignment="1">
      <alignment horizontal="left"/>
    </xf>
    <xf numFmtId="49" fontId="66" fillId="33" borderId="21" xfId="0" applyNumberFormat="1" applyFont="1" applyFill="1" applyBorder="1"/>
    <xf numFmtId="49" fontId="66" fillId="0" borderId="21" xfId="0" applyNumberFormat="1" applyFont="1" applyBorder="1" applyAlignment="1">
      <alignment horizontal="left"/>
    </xf>
    <xf numFmtId="0" fontId="69" fillId="27" borderId="115" xfId="0" applyFont="1" applyFill="1" applyBorder="1" applyAlignment="1" applyProtection="1">
      <alignment horizontal="left" vertical="top" wrapText="1"/>
      <protection locked="0"/>
    </xf>
    <xf numFmtId="0" fontId="61" fillId="5" borderId="123" xfId="0" applyFont="1" applyFill="1" applyBorder="1" applyAlignment="1" applyProtection="1">
      <alignment horizontal="left" vertical="top" readingOrder="1"/>
      <protection locked="0"/>
    </xf>
    <xf numFmtId="0" fontId="0" fillId="33" borderId="39" xfId="0" applyFont="1" applyFill="1" applyBorder="1" applyAlignment="1">
      <alignment horizontal="center"/>
    </xf>
    <xf numFmtId="49" fontId="66" fillId="33" borderId="39" xfId="0" applyNumberFormat="1" applyFont="1" applyFill="1" applyBorder="1"/>
    <xf numFmtId="49" fontId="66" fillId="29" borderId="39" xfId="0" applyNumberFormat="1" applyFont="1" applyFill="1" applyBorder="1"/>
    <xf numFmtId="0" fontId="62" fillId="5" borderId="123" xfId="0" applyFont="1" applyFill="1" applyBorder="1" applyAlignment="1" applyProtection="1">
      <alignment horizontal="left" vertical="top" wrapText="1"/>
      <protection locked="0"/>
    </xf>
    <xf numFmtId="0" fontId="0" fillId="2" borderId="16" xfId="0" applyFont="1" applyFill="1" applyBorder="1" applyAlignment="1">
      <alignment horizontal="center"/>
    </xf>
    <xf numFmtId="0" fontId="0" fillId="0" borderId="16" xfId="0" applyFont="1" applyBorder="1" applyAlignment="1">
      <alignment horizontal="center"/>
    </xf>
    <xf numFmtId="9" fontId="4" fillId="0" borderId="124" xfId="3" applyFont="1" applyBorder="1" applyAlignment="1">
      <alignment horizontal="center"/>
    </xf>
    <xf numFmtId="0" fontId="70" fillId="11" borderId="39" xfId="0" applyFont="1" applyFill="1" applyBorder="1" applyAlignment="1">
      <alignment horizontal="left" vertical="center" wrapText="1"/>
    </xf>
    <xf numFmtId="0" fontId="62" fillId="0" borderId="123" xfId="0" applyFont="1" applyBorder="1" applyAlignment="1" applyProtection="1">
      <alignment horizontal="left" vertical="top" wrapText="1"/>
      <protection locked="0"/>
    </xf>
    <xf numFmtId="0" fontId="0" fillId="0" borderId="117" xfId="0" applyFont="1" applyBorder="1" applyAlignment="1">
      <alignment vertical="top"/>
    </xf>
    <xf numFmtId="0" fontId="65" fillId="27" borderId="121" xfId="0" applyFont="1" applyFill="1" applyBorder="1" applyAlignment="1">
      <alignment horizontal="left" vertical="top" wrapText="1"/>
    </xf>
    <xf numFmtId="0" fontId="61" fillId="5" borderId="123" xfId="0" applyFont="1" applyFill="1" applyBorder="1" applyAlignment="1" applyProtection="1">
      <alignment horizontal="left" vertical="top" wrapText="1" readingOrder="1"/>
      <protection locked="0"/>
    </xf>
    <xf numFmtId="0" fontId="71" fillId="5" borderId="123" xfId="0" applyFont="1" applyFill="1" applyBorder="1" applyAlignment="1" applyProtection="1">
      <alignment horizontal="left" vertical="top" wrapText="1"/>
      <protection locked="0"/>
    </xf>
    <xf numFmtId="0" fontId="0" fillId="0" borderId="46" xfId="0" applyFont="1" applyBorder="1"/>
    <xf numFmtId="0" fontId="0" fillId="2" borderId="125" xfId="0" applyFont="1" applyFill="1" applyBorder="1"/>
    <xf numFmtId="0" fontId="64" fillId="0" borderId="121" xfId="0" applyFont="1" applyBorder="1" applyAlignment="1">
      <alignment horizontal="left" vertical="top"/>
    </xf>
    <xf numFmtId="49" fontId="66" fillId="31" borderId="121" xfId="0" applyNumberFormat="1" applyFont="1" applyFill="1" applyBorder="1"/>
    <xf numFmtId="49" fontId="66" fillId="22" borderId="121" xfId="0" applyNumberFormat="1" applyFont="1" applyFill="1" applyBorder="1" applyAlignment="1">
      <alignment horizontal="left"/>
    </xf>
    <xf numFmtId="0" fontId="0" fillId="0" borderId="21" xfId="0" applyFont="1" applyBorder="1"/>
    <xf numFmtId="0" fontId="0" fillId="0" borderId="126" xfId="0" applyFont="1" applyBorder="1"/>
    <xf numFmtId="0" fontId="72" fillId="5" borderId="115" xfId="0" applyFont="1" applyFill="1" applyBorder="1" applyAlignment="1" applyProtection="1">
      <alignment horizontal="left" vertical="top" wrapText="1" readingOrder="1"/>
      <protection locked="0"/>
    </xf>
    <xf numFmtId="0" fontId="0" fillId="0" borderId="127" xfId="0" applyFont="1" applyBorder="1"/>
    <xf numFmtId="0" fontId="0" fillId="0" borderId="16" xfId="0" applyFont="1" applyBorder="1"/>
    <xf numFmtId="0" fontId="0" fillId="0" borderId="124" xfId="0" applyFont="1" applyBorder="1"/>
    <xf numFmtId="0" fontId="66" fillId="12" borderId="21" xfId="0" applyFont="1" applyFill="1" applyBorder="1"/>
    <xf numFmtId="0" fontId="64" fillId="12" borderId="21" xfId="0" applyFont="1" applyFill="1" applyBorder="1" applyAlignment="1">
      <alignment horizontal="left"/>
    </xf>
    <xf numFmtId="49" fontId="66" fillId="12" borderId="21" xfId="0" applyNumberFormat="1" applyFont="1" applyFill="1" applyBorder="1" applyAlignment="1">
      <alignment horizontal="left"/>
    </xf>
    <xf numFmtId="0" fontId="66" fillId="12" borderId="122" xfId="0" applyFont="1" applyFill="1" applyBorder="1" applyAlignment="1">
      <alignment horizontal="left" vertical="top" wrapText="1"/>
    </xf>
    <xf numFmtId="0" fontId="61" fillId="12" borderId="128" xfId="0" applyFont="1" applyFill="1" applyBorder="1" applyAlignment="1" applyProtection="1">
      <alignment horizontal="left" vertical="top" wrapText="1" readingOrder="1"/>
      <protection locked="0"/>
    </xf>
    <xf numFmtId="0" fontId="64" fillId="5" borderId="39" xfId="0" applyFont="1" applyFill="1" applyBorder="1" applyAlignment="1">
      <alignment horizontal="left"/>
    </xf>
    <xf numFmtId="0" fontId="64" fillId="34" borderId="39" xfId="0" applyFont="1" applyFill="1" applyBorder="1" applyAlignment="1">
      <alignment horizontal="left"/>
    </xf>
    <xf numFmtId="49" fontId="66" fillId="0" borderId="39" xfId="0" applyNumberFormat="1" applyFont="1" applyBorder="1"/>
    <xf numFmtId="0" fontId="73" fillId="0" borderId="129" xfId="0" applyFont="1" applyBorder="1" applyAlignment="1" applyProtection="1">
      <alignment horizontal="left" vertical="top" wrapText="1"/>
      <protection locked="0"/>
    </xf>
    <xf numFmtId="0" fontId="64" fillId="5" borderId="39" xfId="0" applyFont="1" applyFill="1" applyBorder="1" applyAlignment="1">
      <alignment horizontal="left" wrapText="1"/>
    </xf>
    <xf numFmtId="0" fontId="64" fillId="34" borderId="39" xfId="0" applyFont="1" applyFill="1" applyBorder="1" applyAlignment="1">
      <alignment horizontal="left" wrapText="1"/>
    </xf>
    <xf numFmtId="0" fontId="74" fillId="0" borderId="129" xfId="0" applyFont="1" applyBorder="1" applyAlignment="1" applyProtection="1">
      <alignment horizontal="left" vertical="top" wrapText="1"/>
      <protection locked="0"/>
    </xf>
    <xf numFmtId="0" fontId="0" fillId="0" borderId="39" xfId="0" applyFont="1" applyBorder="1" applyAlignment="1">
      <alignment wrapText="1"/>
    </xf>
    <xf numFmtId="0" fontId="64" fillId="0" borderId="39" xfId="0" quotePrefix="1" applyFont="1" applyBorder="1" applyAlignment="1">
      <alignment horizontal="left"/>
    </xf>
    <xf numFmtId="49" fontId="66" fillId="5" borderId="39" xfId="0" applyNumberFormat="1" applyFont="1" applyFill="1" applyBorder="1"/>
    <xf numFmtId="0" fontId="0" fillId="0" borderId="121" xfId="0" applyFont="1" applyBorder="1"/>
    <xf numFmtId="0" fontId="73" fillId="0" borderId="128" xfId="0" applyFont="1" applyBorder="1" applyAlignment="1" applyProtection="1">
      <alignment horizontal="left" vertical="top" wrapText="1"/>
      <protection locked="0"/>
    </xf>
    <xf numFmtId="0" fontId="75" fillId="35" borderId="11" xfId="0" applyFont="1" applyFill="1" applyBorder="1" applyAlignment="1">
      <alignment horizontal="center"/>
    </xf>
    <xf numFmtId="0" fontId="75" fillId="35" borderId="91" xfId="0" applyFont="1" applyFill="1" applyBorder="1" applyAlignment="1">
      <alignment horizontal="center"/>
    </xf>
    <xf numFmtId="0" fontId="75" fillId="35" borderId="76" xfId="0" applyFont="1" applyFill="1" applyBorder="1" applyAlignment="1">
      <alignment horizontal="center"/>
    </xf>
    <xf numFmtId="0" fontId="75" fillId="35" borderId="88" xfId="0" applyFont="1" applyFill="1" applyBorder="1" applyAlignment="1">
      <alignment horizontal="center"/>
    </xf>
    <xf numFmtId="0" fontId="66" fillId="5" borderId="39" xfId="0" applyFont="1" applyFill="1" applyBorder="1" applyAlignment="1">
      <alignment horizontal="left"/>
    </xf>
    <xf numFmtId="0" fontId="66" fillId="34" borderId="39" xfId="0" applyFont="1" applyFill="1" applyBorder="1" applyAlignment="1">
      <alignment horizontal="left"/>
    </xf>
    <xf numFmtId="0" fontId="71" fillId="0" borderId="129" xfId="0" applyFont="1" applyBorder="1" applyAlignment="1" applyProtection="1">
      <alignment horizontal="left" vertical="top" wrapText="1"/>
      <protection locked="0"/>
    </xf>
    <xf numFmtId="0" fontId="76" fillId="0" borderId="20" xfId="0" applyFont="1" applyBorder="1"/>
    <xf numFmtId="0" fontId="8" fillId="31" borderId="53" xfId="0" applyFont="1" applyFill="1" applyBorder="1" applyAlignment="1">
      <alignment vertical="center"/>
    </xf>
    <xf numFmtId="12" fontId="8" fillId="5" borderId="130" xfId="0" applyNumberFormat="1" applyFont="1" applyFill="1" applyBorder="1" applyAlignment="1">
      <alignment horizontal="left" vertical="center"/>
    </xf>
    <xf numFmtId="0" fontId="0" fillId="5" borderId="40" xfId="0" applyFont="1" applyFill="1" applyBorder="1" applyAlignment="1">
      <alignment horizontal="center"/>
    </xf>
    <xf numFmtId="0" fontId="0" fillId="5" borderId="46" xfId="0" applyFont="1" applyFill="1" applyBorder="1" applyAlignment="1">
      <alignment horizontal="center"/>
    </xf>
    <xf numFmtId="0" fontId="71" fillId="0" borderId="128" xfId="0" applyFont="1" applyBorder="1" applyAlignment="1" applyProtection="1">
      <alignment horizontal="left" vertical="top" wrapText="1"/>
      <protection locked="0"/>
    </xf>
    <xf numFmtId="0" fontId="76" fillId="0" borderId="39" xfId="0" applyFont="1" applyBorder="1"/>
    <xf numFmtId="0" fontId="8" fillId="31" borderId="46" xfId="0" applyFont="1" applyFill="1" applyBorder="1" applyAlignment="1">
      <alignment vertical="center"/>
    </xf>
    <xf numFmtId="0" fontId="8" fillId="5" borderId="40" xfId="0" applyFont="1" applyFill="1" applyBorder="1" applyAlignment="1">
      <alignment horizontal="left" vertical="center"/>
    </xf>
    <xf numFmtId="0" fontId="5" fillId="5" borderId="40" xfId="0" applyFont="1" applyFill="1" applyBorder="1" applyAlignment="1">
      <alignment horizontal="center"/>
    </xf>
    <xf numFmtId="0" fontId="5" fillId="5" borderId="46" xfId="0" applyFont="1" applyFill="1" applyBorder="1" applyAlignment="1">
      <alignment horizontal="center"/>
    </xf>
    <xf numFmtId="0" fontId="0" fillId="5" borderId="39" xfId="0" applyFont="1" applyFill="1" applyBorder="1"/>
    <xf numFmtId="0" fontId="64" fillId="5" borderId="39" xfId="0" quotePrefix="1" applyFont="1" applyFill="1" applyBorder="1" applyAlignment="1">
      <alignment horizontal="left"/>
    </xf>
    <xf numFmtId="0" fontId="62" fillId="5" borderId="128" xfId="0" applyFont="1" applyFill="1" applyBorder="1" applyAlignment="1" applyProtection="1">
      <alignment horizontal="left" vertical="top" wrapText="1"/>
      <protection locked="0"/>
    </xf>
    <xf numFmtId="12" fontId="8" fillId="31" borderId="6" xfId="0" applyNumberFormat="1" applyFont="1" applyFill="1" applyBorder="1" applyAlignment="1">
      <alignment vertical="center"/>
    </xf>
    <xf numFmtId="0" fontId="0" fillId="0" borderId="39" xfId="0" applyBorder="1" applyAlignment="1">
      <alignment horizontal="center" vertical="top" wrapText="1"/>
    </xf>
    <xf numFmtId="0" fontId="66" fillId="0" borderId="39" xfId="0" applyFont="1" applyBorder="1" applyAlignment="1">
      <alignment horizontal="left" wrapText="1"/>
    </xf>
    <xf numFmtId="0" fontId="8" fillId="31" borderId="131" xfId="0" applyFont="1" applyFill="1" applyBorder="1" applyAlignment="1">
      <alignment vertical="center"/>
    </xf>
    <xf numFmtId="0" fontId="77" fillId="0" borderId="132" xfId="0" applyFont="1" applyBorder="1" applyAlignment="1" applyProtection="1">
      <alignment horizontal="left" vertical="top" wrapText="1"/>
      <protection locked="0"/>
    </xf>
    <xf numFmtId="0" fontId="4" fillId="5" borderId="40" xfId="26" applyFont="1" applyFill="1" applyBorder="1" applyAlignment="1">
      <alignment vertical="center" wrapText="1"/>
    </xf>
    <xf numFmtId="0" fontId="8" fillId="31" borderId="119" xfId="0" applyFont="1" applyFill="1" applyBorder="1" applyAlignment="1">
      <alignment vertical="center"/>
    </xf>
    <xf numFmtId="0" fontId="8" fillId="5" borderId="133" xfId="0" applyFont="1" applyFill="1" applyBorder="1" applyAlignment="1">
      <alignment horizontal="left" vertical="center"/>
    </xf>
    <xf numFmtId="0" fontId="0" fillId="0" borderId="39" xfId="0" applyBorder="1" applyAlignment="1">
      <alignment horizontal="center" vertical="top"/>
    </xf>
    <xf numFmtId="0" fontId="0" fillId="5" borderId="39" xfId="0" applyFont="1" applyFill="1" applyBorder="1" applyAlignment="1">
      <alignment horizontal="left"/>
    </xf>
    <xf numFmtId="0" fontId="66" fillId="34" borderId="39" xfId="0" applyFont="1" applyFill="1" applyBorder="1" applyAlignment="1">
      <alignment wrapText="1"/>
    </xf>
    <xf numFmtId="0" fontId="78" fillId="0" borderId="39" xfId="0" applyFont="1" applyBorder="1"/>
    <xf numFmtId="0" fontId="79" fillId="31" borderId="134" xfId="0" applyFont="1" applyFill="1" applyBorder="1" applyAlignment="1">
      <alignment vertical="center"/>
    </xf>
    <xf numFmtId="0" fontId="8" fillId="5" borderId="39" xfId="0" applyFont="1" applyFill="1" applyBorder="1" applyAlignment="1">
      <alignment horizontal="left" vertical="center"/>
    </xf>
    <xf numFmtId="0" fontId="0" fillId="0" borderId="39" xfId="0" applyBorder="1" applyAlignment="1">
      <alignment horizontal="center" vertical="center"/>
    </xf>
    <xf numFmtId="0" fontId="70" fillId="11" borderId="0" xfId="0" applyFont="1" applyFill="1" applyAlignment="1">
      <alignment wrapText="1"/>
    </xf>
    <xf numFmtId="0" fontId="62" fillId="0" borderId="46" xfId="0" applyFont="1" applyBorder="1" applyAlignment="1" applyProtection="1">
      <alignment horizontal="left" vertical="top" wrapText="1"/>
      <protection locked="0"/>
    </xf>
    <xf numFmtId="0" fontId="78" fillId="0" borderId="28" xfId="0" applyFont="1" applyBorder="1"/>
    <xf numFmtId="0" fontId="79" fillId="31" borderId="135" xfId="0" applyFont="1" applyFill="1" applyBorder="1" applyAlignment="1">
      <alignment horizontal="center" vertical="top"/>
    </xf>
    <xf numFmtId="0" fontId="0" fillId="0" borderId="136" xfId="0" applyFont="1" applyBorder="1" applyAlignment="1">
      <alignment horizontal="center"/>
    </xf>
    <xf numFmtId="0" fontId="0" fillId="5" borderId="28" xfId="0" applyFont="1" applyFill="1" applyBorder="1" applyAlignment="1">
      <alignment horizontal="center"/>
    </xf>
    <xf numFmtId="0" fontId="0" fillId="5" borderId="80" xfId="0" applyFont="1" applyFill="1" applyBorder="1" applyAlignment="1">
      <alignment horizontal="center"/>
    </xf>
    <xf numFmtId="0" fontId="65" fillId="27" borderId="39" xfId="0" applyFont="1" applyFill="1" applyBorder="1" applyAlignment="1">
      <alignment horizontal="left" vertical="top" wrapText="1"/>
    </xf>
    <xf numFmtId="0" fontId="61" fillId="5" borderId="39" xfId="0" applyFont="1" applyFill="1" applyBorder="1"/>
    <xf numFmtId="0" fontId="80" fillId="30" borderId="11" xfId="0" applyFont="1" applyFill="1" applyBorder="1" applyAlignment="1">
      <alignment wrapText="1"/>
    </xf>
    <xf numFmtId="0" fontId="80" fillId="30" borderId="91" xfId="0" applyFont="1" applyFill="1" applyBorder="1" applyAlignment="1">
      <alignment wrapText="1"/>
    </xf>
    <xf numFmtId="0" fontId="80" fillId="30" borderId="92" xfId="0" applyFont="1" applyFill="1" applyBorder="1" applyAlignment="1">
      <alignment wrapText="1"/>
    </xf>
    <xf numFmtId="0" fontId="81" fillId="0" borderId="132" xfId="0" applyFont="1" applyBorder="1" applyAlignment="1" applyProtection="1">
      <alignment horizontal="left" vertical="top" wrapText="1"/>
      <protection locked="0"/>
    </xf>
    <xf numFmtId="12" fontId="82" fillId="0" borderId="21" xfId="0" applyNumberFormat="1" applyFont="1" applyBorder="1" applyAlignment="1">
      <alignment horizontal="left"/>
    </xf>
    <xf numFmtId="0" fontId="0" fillId="0" borderId="137" xfId="0" applyFont="1" applyBorder="1" applyAlignment="1">
      <alignment horizontal="center"/>
    </xf>
    <xf numFmtId="0" fontId="0" fillId="5" borderId="137" xfId="0" applyFont="1" applyFill="1" applyBorder="1" applyAlignment="1">
      <alignment horizontal="center"/>
    </xf>
    <xf numFmtId="0" fontId="0" fillId="5" borderId="138" xfId="0" applyFont="1" applyFill="1" applyBorder="1" applyAlignment="1">
      <alignment horizontal="center"/>
    </xf>
    <xf numFmtId="0" fontId="62" fillId="0" borderId="132" xfId="0" applyFont="1" applyBorder="1" applyAlignment="1" applyProtection="1">
      <alignment horizontal="left" vertical="top" wrapText="1"/>
      <protection locked="0"/>
    </xf>
    <xf numFmtId="12" fontId="82" fillId="0" borderId="39" xfId="0" applyNumberFormat="1" applyFont="1" applyBorder="1" applyAlignment="1">
      <alignment horizontal="left"/>
    </xf>
    <xf numFmtId="0" fontId="19" fillId="0" borderId="40" xfId="0" applyFont="1" applyBorder="1" applyAlignment="1">
      <alignment horizontal="center"/>
    </xf>
    <xf numFmtId="0" fontId="0" fillId="0" borderId="40" xfId="0" applyFont="1" applyBorder="1" applyAlignment="1">
      <alignment horizontal="center"/>
    </xf>
    <xf numFmtId="0" fontId="0" fillId="0" borderId="139" xfId="0" applyFont="1" applyBorder="1" applyAlignment="1">
      <alignment horizontal="center"/>
    </xf>
    <xf numFmtId="0" fontId="62" fillId="5" borderId="132" xfId="0" applyFont="1" applyFill="1" applyBorder="1" applyAlignment="1" applyProtection="1">
      <alignment horizontal="left" vertical="top" wrapText="1"/>
      <protection locked="0"/>
    </xf>
    <xf numFmtId="0" fontId="82" fillId="0" borderId="39" xfId="0" applyFont="1" applyBorder="1" applyAlignment="1">
      <alignment horizontal="left"/>
    </xf>
    <xf numFmtId="0" fontId="19" fillId="5" borderId="40" xfId="0" applyFont="1" applyFill="1" applyBorder="1" applyAlignment="1">
      <alignment horizontal="center" wrapText="1"/>
    </xf>
    <xf numFmtId="0" fontId="0" fillId="5" borderId="139" xfId="0" applyFont="1" applyFill="1" applyBorder="1" applyAlignment="1">
      <alignment horizontal="center"/>
    </xf>
    <xf numFmtId="0" fontId="61" fillId="5" borderId="132" xfId="0" applyFont="1" applyFill="1" applyBorder="1" applyAlignment="1" applyProtection="1">
      <alignment horizontal="left" vertical="top" wrapText="1" readingOrder="1"/>
      <protection locked="0"/>
    </xf>
    <xf numFmtId="0" fontId="73" fillId="5" borderId="132" xfId="0" applyFont="1" applyFill="1" applyBorder="1" applyAlignment="1" applyProtection="1">
      <alignment horizontal="left" vertical="top" wrapText="1"/>
      <protection locked="0"/>
    </xf>
    <xf numFmtId="0" fontId="82" fillId="0" borderId="121" xfId="0" applyFont="1" applyBorder="1" applyAlignment="1">
      <alignment horizontal="left"/>
    </xf>
    <xf numFmtId="0" fontId="8" fillId="0" borderId="140" xfId="0" applyFont="1" applyBorder="1" applyAlignment="1">
      <alignment horizontal="center"/>
    </xf>
    <xf numFmtId="0" fontId="79" fillId="0" borderId="39" xfId="0" applyFont="1" applyBorder="1"/>
    <xf numFmtId="49" fontId="3" fillId="5" borderId="40" xfId="0" applyNumberFormat="1" applyFont="1" applyFill="1" applyBorder="1" applyAlignment="1">
      <alignment horizontal="center"/>
    </xf>
    <xf numFmtId="49" fontId="3" fillId="5" borderId="139" xfId="0" applyNumberFormat="1" applyFont="1" applyFill="1" applyBorder="1" applyAlignment="1">
      <alignment horizontal="center"/>
    </xf>
    <xf numFmtId="0" fontId="64" fillId="27" borderId="39" xfId="0" applyFont="1" applyFill="1" applyBorder="1" applyAlignment="1">
      <alignment horizontal="left" wrapText="1"/>
    </xf>
    <xf numFmtId="0" fontId="73" fillId="0" borderId="132" xfId="0" applyFont="1" applyBorder="1" applyAlignment="1" applyProtection="1">
      <alignment horizontal="left" vertical="top" wrapText="1"/>
      <protection locked="0"/>
    </xf>
    <xf numFmtId="0" fontId="83" fillId="0" borderId="39" xfId="0" applyFont="1" applyBorder="1" applyAlignment="1">
      <alignment horizontal="left"/>
    </xf>
    <xf numFmtId="0" fontId="78" fillId="0" borderId="39" xfId="0" applyFont="1" applyBorder="1" applyAlignment="1">
      <alignment vertical="center"/>
    </xf>
    <xf numFmtId="0" fontId="78" fillId="0" borderId="40" xfId="0" applyFont="1" applyBorder="1" applyAlignment="1">
      <alignment horizontal="center" vertical="center"/>
    </xf>
    <xf numFmtId="0" fontId="78" fillId="0" borderId="139" xfId="0" applyFont="1" applyBorder="1" applyAlignment="1">
      <alignment horizontal="center" vertical="center"/>
    </xf>
    <xf numFmtId="0" fontId="61" fillId="0" borderId="132" xfId="0" applyFont="1" applyBorder="1" applyAlignment="1" applyProtection="1">
      <alignment horizontal="left" vertical="top" wrapText="1" readingOrder="1"/>
      <protection locked="0"/>
    </xf>
    <xf numFmtId="0" fontId="83" fillId="0" borderId="39" xfId="0" applyFont="1" applyBorder="1" applyAlignment="1">
      <alignment horizontal="left" wrapText="1"/>
    </xf>
    <xf numFmtId="0" fontId="76" fillId="0" borderId="39" xfId="0" applyFont="1" applyBorder="1" applyAlignment="1">
      <alignment wrapText="1"/>
    </xf>
    <xf numFmtId="49" fontId="3" fillId="0" borderId="141" xfId="0" applyNumberFormat="1" applyFont="1" applyBorder="1" applyAlignment="1">
      <alignment horizontal="center"/>
    </xf>
    <xf numFmtId="49" fontId="3" fillId="0" borderId="142" xfId="0" applyNumberFormat="1" applyFont="1" applyBorder="1" applyAlignment="1">
      <alignment horizontal="center"/>
    </xf>
    <xf numFmtId="0" fontId="64" fillId="5" borderId="121" xfId="0" applyFont="1" applyFill="1" applyBorder="1" applyAlignment="1">
      <alignment horizontal="left"/>
    </xf>
    <xf numFmtId="0" fontId="66" fillId="34" borderId="121" xfId="0" applyFont="1" applyFill="1" applyBorder="1" applyAlignment="1">
      <alignment wrapText="1"/>
    </xf>
    <xf numFmtId="0" fontId="65" fillId="27" borderId="121" xfId="0" applyFont="1" applyFill="1" applyBorder="1" applyAlignment="1">
      <alignment horizontal="left" vertical="center" wrapText="1"/>
    </xf>
    <xf numFmtId="0" fontId="82" fillId="0" borderId="140" xfId="0" applyFont="1" applyBorder="1" applyAlignment="1">
      <alignment horizontal="center"/>
    </xf>
    <xf numFmtId="49" fontId="3" fillId="5" borderId="143" xfId="0" applyNumberFormat="1" applyFont="1" applyFill="1" applyBorder="1" applyAlignment="1">
      <alignment horizontal="center"/>
    </xf>
    <xf numFmtId="49" fontId="3" fillId="5" borderId="144" xfId="0" applyNumberFormat="1" applyFont="1" applyFill="1" applyBorder="1" applyAlignment="1">
      <alignment horizontal="center"/>
    </xf>
    <xf numFmtId="0" fontId="61" fillId="5" borderId="145" xfId="0" applyFont="1" applyFill="1" applyBorder="1" applyAlignment="1" applyProtection="1">
      <alignment horizontal="left" vertical="top" wrapText="1" readingOrder="1"/>
      <protection locked="0"/>
    </xf>
    <xf numFmtId="0" fontId="84" fillId="0" borderId="11" xfId="0" applyFont="1" applyBorder="1" applyAlignment="1">
      <alignment horizontal="center" vertical="center"/>
    </xf>
    <xf numFmtId="0" fontId="84" fillId="0" borderId="91" xfId="0" applyFont="1" applyBorder="1" applyAlignment="1">
      <alignment horizontal="center" vertical="center"/>
    </xf>
    <xf numFmtId="0" fontId="84" fillId="0" borderId="92" xfId="0" applyFont="1" applyBorder="1" applyAlignment="1">
      <alignment horizontal="center" vertical="center"/>
    </xf>
    <xf numFmtId="0" fontId="66" fillId="5" borderId="21" xfId="0" applyFont="1" applyFill="1" applyBorder="1" applyAlignment="1">
      <alignment horizontal="left"/>
    </xf>
    <xf numFmtId="0" fontId="64" fillId="36" borderId="21" xfId="0" applyFont="1" applyFill="1" applyBorder="1" applyAlignment="1">
      <alignment horizontal="left"/>
    </xf>
    <xf numFmtId="0" fontId="66" fillId="37" borderId="21" xfId="0" applyFont="1" applyFill="1" applyBorder="1" applyAlignment="1">
      <alignment horizontal="left"/>
    </xf>
    <xf numFmtId="0" fontId="82" fillId="0" borderId="146" xfId="0" applyFont="1" applyBorder="1" applyAlignment="1">
      <alignment horizontal="left" wrapText="1"/>
    </xf>
    <xf numFmtId="0" fontId="82" fillId="0" borderId="119" xfId="0" applyFont="1" applyBorder="1" applyAlignment="1">
      <alignment horizontal="left" wrapText="1"/>
    </xf>
    <xf numFmtId="0" fontId="82" fillId="0" borderId="147" xfId="0" applyFont="1" applyBorder="1" applyAlignment="1">
      <alignment horizontal="left" wrapText="1"/>
    </xf>
    <xf numFmtId="0" fontId="64" fillId="36" borderId="39" xfId="0" applyFont="1" applyFill="1" applyBorder="1" applyAlignment="1">
      <alignment horizontal="left"/>
    </xf>
    <xf numFmtId="0" fontId="66" fillId="37" borderId="39" xfId="0" applyFont="1" applyFill="1" applyBorder="1" applyAlignment="1">
      <alignment horizontal="left"/>
    </xf>
    <xf numFmtId="0" fontId="65" fillId="11" borderId="39" xfId="0" applyFont="1" applyFill="1" applyBorder="1"/>
    <xf numFmtId="0" fontId="85" fillId="0" borderId="0" xfId="0" applyFont="1"/>
    <xf numFmtId="0" fontId="82" fillId="0" borderId="13" xfId="0" applyFont="1" applyBorder="1" applyAlignment="1">
      <alignment horizontal="left" wrapText="1"/>
    </xf>
    <xf numFmtId="0" fontId="86" fillId="0" borderId="39" xfId="0" applyFont="1" applyBorder="1" applyAlignment="1">
      <alignment horizontal="left" wrapText="1"/>
    </xf>
    <xf numFmtId="0" fontId="86" fillId="0" borderId="118" xfId="0" applyFont="1" applyBorder="1" applyAlignment="1">
      <alignment horizontal="left" wrapText="1"/>
    </xf>
    <xf numFmtId="0" fontId="0" fillId="0" borderId="17" xfId="0" applyFont="1" applyBorder="1"/>
    <xf numFmtId="0" fontId="64" fillId="36" borderId="121" xfId="0" applyFont="1" applyFill="1" applyBorder="1" applyAlignment="1">
      <alignment horizontal="left"/>
    </xf>
    <xf numFmtId="0" fontId="66" fillId="37" borderId="121" xfId="0" applyFont="1" applyFill="1" applyBorder="1" applyAlignment="1">
      <alignment horizontal="left" vertical="top"/>
    </xf>
    <xf numFmtId="0" fontId="0" fillId="0" borderId="39" xfId="0" applyFont="1" applyBorder="1" applyAlignment="1">
      <alignment horizontal="left"/>
    </xf>
    <xf numFmtId="0" fontId="87" fillId="0" borderId="148" xfId="0" applyFont="1" applyBorder="1" applyAlignment="1">
      <alignment horizontal="center"/>
    </xf>
    <xf numFmtId="0" fontId="86" fillId="0" borderId="121" xfId="0" applyFont="1" applyBorder="1" applyAlignment="1">
      <alignment horizontal="center"/>
    </xf>
    <xf numFmtId="0" fontId="86" fillId="0" borderId="149" xfId="0" applyFont="1" applyBorder="1" applyAlignment="1">
      <alignment horizontal="center"/>
    </xf>
    <xf numFmtId="0" fontId="88" fillId="25" borderId="11" xfId="0" applyFont="1" applyFill="1" applyBorder="1" applyAlignment="1">
      <alignment horizontal="center"/>
    </xf>
    <xf numFmtId="0" fontId="66" fillId="25" borderId="91" xfId="0" applyFont="1" applyFill="1" applyBorder="1" applyAlignment="1">
      <alignment horizontal="center"/>
    </xf>
    <xf numFmtId="0" fontId="66" fillId="25" borderId="92" xfId="0" applyFont="1" applyFill="1" applyBorder="1" applyAlignment="1">
      <alignment horizontal="center"/>
    </xf>
    <xf numFmtId="0" fontId="72" fillId="0" borderId="145" xfId="0" applyFont="1" applyBorder="1" applyAlignment="1" applyProtection="1">
      <alignment horizontal="left" vertical="top" wrapText="1" readingOrder="1"/>
      <protection locked="0"/>
    </xf>
    <xf numFmtId="0" fontId="8" fillId="5" borderId="128" xfId="0" applyFont="1" applyFill="1" applyBorder="1" applyAlignment="1" applyProtection="1">
      <alignment horizontal="left" vertical="top" wrapText="1"/>
      <protection locked="0"/>
    </xf>
    <xf numFmtId="0" fontId="86" fillId="0" borderId="10" xfId="0" applyFont="1" applyBorder="1" applyAlignment="1">
      <alignment horizontal="center"/>
    </xf>
    <xf numFmtId="0" fontId="86" fillId="0" borderId="150" xfId="0" applyFont="1" applyBorder="1" applyAlignment="1">
      <alignment horizontal="center"/>
    </xf>
    <xf numFmtId="0" fontId="86" fillId="0" borderId="151" xfId="0" applyFont="1" applyBorder="1" applyAlignment="1">
      <alignment horizontal="center"/>
    </xf>
    <xf numFmtId="0" fontId="66" fillId="0" borderId="21" xfId="0" applyFont="1" applyBorder="1" applyAlignment="1">
      <alignment horizontal="left"/>
    </xf>
    <xf numFmtId="49" fontId="66" fillId="30" borderId="21" xfId="0" applyNumberFormat="1" applyFont="1" applyFill="1" applyBorder="1"/>
    <xf numFmtId="0" fontId="66" fillId="30" borderId="21" xfId="0" applyFont="1" applyFill="1" applyBorder="1" applyAlignment="1">
      <alignment vertical="top"/>
    </xf>
    <xf numFmtId="0" fontId="89" fillId="11" borderId="39" xfId="0" applyFont="1" applyFill="1" applyBorder="1" applyAlignment="1">
      <alignment vertical="center" wrapText="1"/>
    </xf>
    <xf numFmtId="0" fontId="66" fillId="0" borderId="39" xfId="0" applyFont="1" applyBorder="1" applyAlignment="1"/>
    <xf numFmtId="49" fontId="66" fillId="30" borderId="39" xfId="0" applyNumberFormat="1" applyFont="1" applyFill="1" applyBorder="1" applyAlignment="1">
      <alignment horizontal="left"/>
    </xf>
    <xf numFmtId="0" fontId="82" fillId="0" borderId="152" xfId="0" applyFont="1" applyBorder="1" applyAlignment="1">
      <alignment horizontal="left"/>
    </xf>
    <xf numFmtId="0" fontId="82" fillId="0" borderId="117" xfId="0" applyFont="1" applyBorder="1" applyAlignment="1">
      <alignment horizontal="left"/>
    </xf>
    <xf numFmtId="0" fontId="82" fillId="0" borderId="153" xfId="0" applyFont="1" applyBorder="1" applyAlignment="1">
      <alignment horizontal="left"/>
    </xf>
    <xf numFmtId="0" fontId="64" fillId="0" borderId="39" xfId="0" applyFont="1" applyBorder="1" applyAlignment="1">
      <alignment horizontal="left"/>
    </xf>
    <xf numFmtId="0" fontId="82" fillId="0" borderId="154" xfId="0" applyFont="1" applyBorder="1" applyAlignment="1">
      <alignment horizontal="center"/>
    </xf>
    <xf numFmtId="0" fontId="82" fillId="0" borderId="155" xfId="0" applyFont="1" applyBorder="1" applyAlignment="1">
      <alignment horizontal="center"/>
    </xf>
    <xf numFmtId="0" fontId="82" fillId="0" borderId="156" xfId="0" applyFont="1" applyBorder="1" applyAlignment="1">
      <alignment horizontal="center"/>
    </xf>
    <xf numFmtId="49" fontId="66" fillId="30" borderId="121" xfId="0" applyNumberFormat="1" applyFont="1" applyFill="1" applyBorder="1"/>
    <xf numFmtId="0" fontId="66" fillId="30" borderId="121" xfId="0" applyFont="1" applyFill="1" applyBorder="1" applyAlignment="1">
      <alignment horizontal="left"/>
    </xf>
    <xf numFmtId="0" fontId="5" fillId="27" borderId="11" xfId="0" applyFont="1" applyFill="1" applyBorder="1" applyAlignment="1">
      <alignment horizontal="center"/>
    </xf>
    <xf numFmtId="0" fontId="5" fillId="27" borderId="91" xfId="0" applyFont="1" applyFill="1" applyBorder="1" applyAlignment="1">
      <alignment horizontal="center"/>
    </xf>
    <xf numFmtId="0" fontId="5" fillId="27" borderId="92" xfId="0" applyFont="1" applyFill="1" applyBorder="1" applyAlignment="1">
      <alignment horizontal="center"/>
    </xf>
    <xf numFmtId="0" fontId="66" fillId="0" borderId="21" xfId="0" applyFont="1" applyBorder="1"/>
    <xf numFmtId="0" fontId="64" fillId="38" borderId="21" xfId="0" applyFont="1" applyFill="1" applyBorder="1"/>
    <xf numFmtId="0" fontId="64" fillId="39" borderId="21" xfId="0" applyFont="1" applyFill="1" applyBorder="1"/>
    <xf numFmtId="0" fontId="62" fillId="0" borderId="157" xfId="0" applyFont="1" applyBorder="1" applyAlignment="1" applyProtection="1">
      <alignment horizontal="center" vertical="top" wrapText="1"/>
      <protection locked="0"/>
    </xf>
    <xf numFmtId="0" fontId="62" fillId="0" borderId="145" xfId="0" applyFont="1" applyBorder="1" applyAlignment="1" applyProtection="1">
      <alignment horizontal="center" vertical="top" wrapText="1"/>
      <protection locked="0"/>
    </xf>
    <xf numFmtId="0" fontId="62" fillId="0" borderId="158" xfId="0" applyFont="1" applyBorder="1" applyAlignment="1" applyProtection="1">
      <alignment horizontal="center" vertical="top" wrapText="1"/>
      <protection locked="0"/>
    </xf>
    <xf numFmtId="0" fontId="66" fillId="5" borderId="39" xfId="0" applyFont="1" applyFill="1" applyBorder="1"/>
    <xf numFmtId="0" fontId="66" fillId="38" borderId="39" xfId="0" applyFont="1" applyFill="1" applyBorder="1"/>
    <xf numFmtId="0" fontId="77" fillId="0" borderId="145" xfId="0" applyFont="1" applyBorder="1" applyAlignment="1" applyProtection="1">
      <alignment horizontal="left" vertical="top" wrapText="1" readingOrder="1"/>
      <protection locked="0"/>
    </xf>
    <xf numFmtId="0" fontId="73" fillId="0" borderId="159" xfId="0" applyFont="1" applyBorder="1" applyAlignment="1" applyProtection="1">
      <alignment horizontal="left" vertical="top" wrapText="1"/>
      <protection locked="0"/>
    </xf>
    <xf numFmtId="0" fontId="73" fillId="0" borderId="157" xfId="0" applyFont="1" applyBorder="1" applyAlignment="1" applyProtection="1">
      <alignment horizontal="center" vertical="top" wrapText="1"/>
      <protection locked="0"/>
    </xf>
    <xf numFmtId="0" fontId="73" fillId="0" borderId="145" xfId="0" applyFont="1" applyBorder="1" applyAlignment="1" applyProtection="1">
      <alignment horizontal="center" vertical="top" wrapText="1"/>
      <protection locked="0"/>
    </xf>
    <xf numFmtId="0" fontId="73" fillId="0" borderId="158" xfId="0" applyFont="1" applyBorder="1" applyAlignment="1" applyProtection="1">
      <alignment horizontal="center" vertical="top" wrapText="1"/>
      <protection locked="0"/>
    </xf>
    <xf numFmtId="0" fontId="61" fillId="5" borderId="160" xfId="0" applyFont="1" applyFill="1" applyBorder="1" applyAlignment="1" applyProtection="1">
      <alignment horizontal="left" vertical="top" wrapText="1" readingOrder="1"/>
      <protection locked="0"/>
    </xf>
    <xf numFmtId="0" fontId="90" fillId="0" borderId="160" xfId="0" applyFont="1" applyBorder="1" applyAlignment="1" applyProtection="1">
      <alignment horizontal="left" vertical="top" wrapText="1"/>
      <protection locked="0"/>
    </xf>
    <xf numFmtId="0" fontId="90" fillId="0" borderId="161" xfId="0" applyFont="1" applyBorder="1" applyAlignment="1" applyProtection="1">
      <alignment horizontal="center" vertical="top" wrapText="1"/>
      <protection locked="0"/>
    </xf>
    <xf numFmtId="0" fontId="90" fillId="0" borderId="162" xfId="0" applyFont="1" applyBorder="1" applyAlignment="1" applyProtection="1">
      <alignment horizontal="center" vertical="top" wrapText="1"/>
      <protection locked="0"/>
    </xf>
    <xf numFmtId="0" fontId="90" fillId="0" borderId="163" xfId="0" applyFont="1" applyBorder="1" applyAlignment="1" applyProtection="1">
      <alignment horizontal="center" vertical="top" wrapText="1"/>
      <protection locked="0"/>
    </xf>
    <xf numFmtId="0" fontId="90" fillId="0" borderId="164" xfId="0" applyFont="1" applyBorder="1" applyAlignment="1" applyProtection="1">
      <alignment horizontal="left" vertical="top" wrapText="1"/>
      <protection locked="0"/>
    </xf>
    <xf numFmtId="0" fontId="0" fillId="0" borderId="21" xfId="0" applyFont="1" applyBorder="1" applyAlignment="1">
      <alignment horizontal="left" vertical="top"/>
    </xf>
    <xf numFmtId="0" fontId="71" fillId="0" borderId="116" xfId="0" applyFont="1" applyBorder="1" applyAlignment="1" applyProtection="1">
      <alignment horizontal="left" vertical="top" wrapText="1"/>
      <protection locked="0"/>
    </xf>
    <xf numFmtId="0" fontId="73" fillId="0" borderId="123" xfId="0" applyFont="1" applyFill="1" applyBorder="1" applyAlignment="1" applyProtection="1">
      <alignment horizontal="left" vertical="top" wrapText="1"/>
      <protection locked="0"/>
    </xf>
    <xf numFmtId="0" fontId="82" fillId="5" borderId="123" xfId="0" applyFont="1" applyFill="1" applyBorder="1" applyAlignment="1" applyProtection="1">
      <alignment horizontal="center" vertical="top" wrapText="1"/>
      <protection locked="0"/>
    </xf>
    <xf numFmtId="0" fontId="71" fillId="0" borderId="123" xfId="0" applyFont="1" applyBorder="1" applyAlignment="1" applyProtection="1">
      <alignment horizontal="left" vertical="top" wrapText="1"/>
      <protection locked="0"/>
    </xf>
    <xf numFmtId="0" fontId="66" fillId="0" borderId="121" xfId="0" applyFont="1" applyBorder="1"/>
    <xf numFmtId="0" fontId="66" fillId="38" borderId="121" xfId="0" applyFont="1" applyFill="1" applyBorder="1"/>
    <xf numFmtId="0" fontId="8" fillId="0" borderId="123" xfId="0" applyFont="1" applyBorder="1" applyAlignment="1" applyProtection="1">
      <alignment horizontal="left" vertical="top" wrapText="1"/>
      <protection locked="0"/>
    </xf>
    <xf numFmtId="0" fontId="91" fillId="25" borderId="11" xfId="0" applyFont="1" applyFill="1" applyBorder="1" applyAlignment="1" applyProtection="1">
      <alignment horizontal="center" vertical="top" wrapText="1"/>
      <protection locked="0"/>
    </xf>
    <xf numFmtId="0" fontId="91" fillId="25" borderId="91" xfId="0" applyFont="1" applyFill="1" applyBorder="1" applyAlignment="1" applyProtection="1">
      <alignment horizontal="center" vertical="top" wrapText="1"/>
      <protection locked="0"/>
    </xf>
    <xf numFmtId="0" fontId="91" fillId="25" borderId="165" xfId="0" applyFont="1" applyFill="1" applyBorder="1" applyAlignment="1" applyProtection="1">
      <alignment horizontal="center" vertical="top" wrapText="1"/>
      <protection locked="0"/>
    </xf>
    <xf numFmtId="0" fontId="8" fillId="0" borderId="166" xfId="0" applyFont="1" applyBorder="1" applyAlignment="1" applyProtection="1">
      <alignment horizontal="left" vertical="top" wrapText="1"/>
      <protection locked="0"/>
    </xf>
    <xf numFmtId="0" fontId="66" fillId="40" borderId="39" xfId="0" applyFont="1" applyFill="1" applyBorder="1"/>
    <xf numFmtId="0" fontId="19" fillId="5" borderId="39" xfId="0" applyFont="1" applyFill="1" applyBorder="1" applyAlignment="1">
      <alignment horizontal="center" wrapText="1"/>
    </xf>
    <xf numFmtId="0" fontId="64" fillId="40" borderId="39" xfId="0" applyFont="1" applyFill="1" applyBorder="1" applyAlignment="1">
      <alignment horizontal="left"/>
    </xf>
    <xf numFmtId="0" fontId="0" fillId="0" borderId="167" xfId="0" applyFont="1" applyBorder="1" applyAlignment="1">
      <alignment wrapText="1"/>
    </xf>
    <xf numFmtId="0" fontId="69" fillId="27" borderId="145" xfId="0" applyFont="1" applyFill="1" applyBorder="1" applyAlignment="1" applyProtection="1">
      <alignment horizontal="left" vertical="top" wrapText="1"/>
      <protection locked="0"/>
    </xf>
    <xf numFmtId="0" fontId="0" fillId="0" borderId="168" xfId="0" applyFont="1" applyBorder="1" applyAlignment="1">
      <alignment wrapText="1"/>
    </xf>
    <xf numFmtId="0" fontId="0" fillId="0" borderId="169" xfId="0" applyFont="1" applyBorder="1" applyAlignment="1">
      <alignment wrapText="1"/>
    </xf>
    <xf numFmtId="0" fontId="92" fillId="0" borderId="39" xfId="0" applyFont="1" applyBorder="1"/>
    <xf numFmtId="0" fontId="93" fillId="25" borderId="11" xfId="0" applyFont="1" applyFill="1" applyBorder="1" applyAlignment="1">
      <alignment horizontal="center"/>
    </xf>
    <xf numFmtId="0" fontId="16" fillId="25" borderId="91" xfId="0" applyFont="1" applyFill="1" applyBorder="1" applyAlignment="1">
      <alignment horizontal="center"/>
    </xf>
    <xf numFmtId="0" fontId="16" fillId="25" borderId="92" xfId="0" applyFont="1" applyFill="1" applyBorder="1" applyAlignment="1">
      <alignment horizontal="center"/>
    </xf>
    <xf numFmtId="0" fontId="0" fillId="0" borderId="170" xfId="0" applyFont="1" applyBorder="1" applyAlignment="1">
      <alignment wrapText="1"/>
    </xf>
    <xf numFmtId="0" fontId="66" fillId="27" borderId="40" xfId="0" applyFont="1" applyFill="1" applyBorder="1" applyAlignment="1">
      <alignment horizontal="left" vertical="center"/>
    </xf>
    <xf numFmtId="0" fontId="0" fillId="0" borderId="39" xfId="0" applyFont="1" applyFill="1" applyBorder="1"/>
    <xf numFmtId="0" fontId="0" fillId="0" borderId="170" xfId="0" applyFont="1" applyBorder="1"/>
    <xf numFmtId="0" fontId="0" fillId="0" borderId="168" xfId="0" applyFont="1" applyBorder="1"/>
    <xf numFmtId="0" fontId="0" fillId="0" borderId="169" xfId="0" applyFont="1" applyBorder="1"/>
    <xf numFmtId="0" fontId="0" fillId="0" borderId="171" xfId="0" applyFont="1" applyBorder="1"/>
    <xf numFmtId="0" fontId="0" fillId="0" borderId="0" xfId="0" applyFont="1" applyBorder="1"/>
    <xf numFmtId="0" fontId="0" fillId="0" borderId="172" xfId="0" applyFont="1" applyBorder="1"/>
    <xf numFmtId="0" fontId="0" fillId="0" borderId="46" xfId="0" applyFont="1" applyBorder="1" applyAlignment="1">
      <alignment horizontal="center"/>
    </xf>
    <xf numFmtId="0" fontId="66" fillId="27" borderId="140" xfId="0" applyFont="1" applyFill="1" applyBorder="1" applyAlignment="1">
      <alignment horizontal="center" vertical="center"/>
    </xf>
    <xf numFmtId="0" fontId="0" fillId="0" borderId="173" xfId="0" applyFont="1" applyBorder="1"/>
    <xf numFmtId="0" fontId="8" fillId="0" borderId="174" xfId="0" applyFont="1" applyFill="1" applyBorder="1" applyAlignment="1" applyProtection="1">
      <alignment vertical="top" wrapText="1"/>
      <protection locked="0"/>
    </xf>
    <xf numFmtId="0" fontId="91" fillId="25" borderId="11" xfId="0" applyFont="1" applyFill="1" applyBorder="1" applyAlignment="1" applyProtection="1">
      <alignment horizontal="center" vertical="top" wrapText="1"/>
      <protection locked="0"/>
    </xf>
    <xf numFmtId="0" fontId="91" fillId="25" borderId="91" xfId="0" applyFont="1" applyFill="1" applyBorder="1" applyAlignment="1" applyProtection="1">
      <alignment horizontal="center" vertical="top" wrapText="1"/>
      <protection locked="0"/>
    </xf>
    <xf numFmtId="0" fontId="91" fillId="25" borderId="92" xfId="0" applyFont="1" applyFill="1" applyBorder="1" applyAlignment="1" applyProtection="1">
      <alignment horizontal="center" vertical="top" wrapText="1"/>
      <protection locked="0"/>
    </xf>
    <xf numFmtId="0" fontId="66" fillId="0" borderId="46" xfId="0" applyFont="1" applyBorder="1"/>
    <xf numFmtId="0" fontId="66" fillId="38" borderId="21" xfId="0" applyFont="1" applyFill="1" applyBorder="1"/>
    <xf numFmtId="0" fontId="0" fillId="0" borderId="17" xfId="0" applyFont="1" applyFill="1" applyBorder="1"/>
    <xf numFmtId="0" fontId="91" fillId="25" borderId="27" xfId="0" applyFont="1" applyFill="1" applyBorder="1" applyAlignment="1" applyProtection="1">
      <alignment horizontal="center" vertical="top" wrapText="1"/>
      <protection locked="0"/>
    </xf>
    <xf numFmtId="0" fontId="91" fillId="25" borderId="165" xfId="0" applyFont="1" applyFill="1" applyBorder="1" applyAlignment="1" applyProtection="1">
      <alignment horizontal="center" vertical="top" wrapText="1"/>
      <protection locked="0"/>
    </xf>
    <xf numFmtId="0" fontId="0" fillId="0" borderId="39" xfId="0" applyBorder="1"/>
    <xf numFmtId="0" fontId="72" fillId="0" borderId="123" xfId="0" applyFont="1" applyBorder="1" applyAlignment="1" applyProtection="1">
      <alignment horizontal="left" vertical="top" wrapText="1"/>
      <protection locked="0"/>
    </xf>
    <xf numFmtId="0" fontId="64" fillId="31" borderId="13" xfId="27" applyFont="1" applyFill="1" applyBorder="1" applyAlignment="1">
      <alignment vertical="top" wrapText="1"/>
    </xf>
    <xf numFmtId="0" fontId="72" fillId="0" borderId="39" xfId="0" applyFont="1" applyBorder="1" applyAlignment="1" applyProtection="1">
      <alignment horizontal="left" vertical="top"/>
      <protection locked="0"/>
    </xf>
    <xf numFmtId="0" fontId="5" fillId="0" borderId="39" xfId="0" applyFont="1" applyBorder="1"/>
    <xf numFmtId="0" fontId="5" fillId="10" borderId="40" xfId="0" applyFont="1" applyFill="1" applyBorder="1" applyAlignment="1">
      <alignment horizontal="center"/>
    </xf>
    <xf numFmtId="0" fontId="5" fillId="10" borderId="117" xfId="0" applyFont="1" applyFill="1" applyBorder="1" applyAlignment="1">
      <alignment horizontal="center"/>
    </xf>
    <xf numFmtId="0" fontId="5" fillId="10" borderId="46" xfId="0" applyFont="1" applyFill="1" applyBorder="1" applyAlignment="1">
      <alignment horizontal="center"/>
    </xf>
    <xf numFmtId="0" fontId="5" fillId="41" borderId="39" xfId="0" applyFont="1" applyFill="1" applyBorder="1" applyAlignment="1">
      <alignment horizontal="center"/>
    </xf>
    <xf numFmtId="15" fontId="0" fillId="0" borderId="121" xfId="0" applyNumberFormat="1" applyBorder="1" applyAlignment="1">
      <alignment horizontal="center" vertical="center"/>
    </xf>
    <xf numFmtId="0" fontId="0" fillId="2" borderId="39" xfId="0" applyFill="1" applyBorder="1" applyAlignment="1">
      <alignment wrapText="1"/>
    </xf>
    <xf numFmtId="0" fontId="0" fillId="0" borderId="39" xfId="0" applyBorder="1" applyAlignment="1">
      <alignment wrapText="1"/>
    </xf>
    <xf numFmtId="0" fontId="0" fillId="2" borderId="39" xfId="0" applyFill="1" applyBorder="1"/>
    <xf numFmtId="0" fontId="0" fillId="41" borderId="39" xfId="0" applyFill="1" applyBorder="1"/>
    <xf numFmtId="15" fontId="0" fillId="0" borderId="79" xfId="0" applyNumberFormat="1" applyBorder="1" applyAlignment="1">
      <alignment horizontal="center" vertical="center"/>
    </xf>
    <xf numFmtId="15" fontId="0" fillId="0" borderId="21" xfId="0" applyNumberFormat="1" applyBorder="1" applyAlignment="1">
      <alignment horizontal="center" vertical="center"/>
    </xf>
    <xf numFmtId="0" fontId="0" fillId="2" borderId="39" xfId="0" applyFill="1" applyBorder="1" applyAlignment="1"/>
    <xf numFmtId="15" fontId="0" fillId="0" borderId="121" xfId="0" applyNumberFormat="1" applyBorder="1" applyAlignment="1">
      <alignment horizontal="center" vertical="center"/>
    </xf>
    <xf numFmtId="15" fontId="0" fillId="0" borderId="79" xfId="0" applyNumberFormat="1" applyBorder="1" applyAlignment="1">
      <alignment horizontal="center" vertical="center"/>
    </xf>
    <xf numFmtId="15" fontId="0" fillId="0" borderId="21" xfId="0" applyNumberFormat="1" applyBorder="1" applyAlignment="1">
      <alignment horizontal="center" vertical="center"/>
    </xf>
    <xf numFmtId="0" fontId="0" fillId="41" borderId="0" xfId="0" applyFill="1"/>
    <xf numFmtId="0" fontId="19" fillId="2" borderId="39" xfId="0" applyFont="1" applyFill="1" applyBorder="1" applyAlignment="1">
      <alignment wrapText="1"/>
    </xf>
    <xf numFmtId="0" fontId="19" fillId="2" borderId="39" xfId="0" applyFont="1" applyFill="1" applyBorder="1"/>
    <xf numFmtId="49" fontId="94" fillId="4" borderId="47" xfId="0" applyNumberFormat="1" applyFont="1" applyFill="1" applyBorder="1"/>
    <xf numFmtId="49" fontId="95" fillId="6" borderId="47" xfId="0" applyNumberFormat="1" applyFont="1" applyFill="1" applyBorder="1"/>
    <xf numFmtId="4" fontId="95" fillId="6" borderId="47" xfId="0" applyNumberFormat="1" applyFont="1" applyFill="1" applyBorder="1"/>
    <xf numFmtId="4" fontId="96" fillId="6" borderId="47" xfId="0" applyNumberFormat="1" applyFont="1" applyFill="1" applyBorder="1"/>
    <xf numFmtId="4" fontId="95" fillId="7" borderId="47" xfId="0" applyNumberFormat="1" applyFont="1" applyFill="1" applyBorder="1"/>
    <xf numFmtId="4" fontId="95" fillId="8" borderId="47" xfId="0" applyNumberFormat="1" applyFont="1" applyFill="1" applyBorder="1"/>
    <xf numFmtId="4" fontId="97" fillId="8" borderId="47" xfId="0" applyNumberFormat="1" applyFont="1" applyFill="1" applyBorder="1"/>
    <xf numFmtId="4" fontId="96" fillId="8" borderId="47" xfId="0" applyNumberFormat="1" applyFont="1" applyFill="1" applyBorder="1"/>
    <xf numFmtId="4" fontId="97" fillId="6" borderId="47" xfId="0" applyNumberFormat="1" applyFont="1" applyFill="1" applyBorder="1"/>
    <xf numFmtId="49" fontId="98" fillId="4" borderId="48" xfId="0" applyNumberFormat="1" applyFont="1" applyFill="1" applyBorder="1"/>
    <xf numFmtId="4" fontId="98" fillId="4" borderId="47" xfId="0" applyNumberFormat="1" applyFont="1" applyFill="1" applyBorder="1"/>
    <xf numFmtId="4" fontId="99" fillId="4" borderId="47" xfId="0" applyNumberFormat="1" applyFont="1" applyFill="1" applyBorder="1"/>
    <xf numFmtId="4" fontId="98" fillId="9" borderId="47" xfId="0" applyNumberFormat="1" applyFont="1" applyFill="1" applyBorder="1"/>
    <xf numFmtId="4" fontId="98" fillId="8" borderId="47" xfId="0" applyNumberFormat="1" applyFont="1" applyFill="1" applyBorder="1"/>
    <xf numFmtId="4" fontId="99" fillId="8" borderId="47" xfId="0" applyNumberFormat="1" applyFont="1" applyFill="1" applyBorder="1"/>
  </cellXfs>
  <cellStyles count="29">
    <cellStyle name="Bad" xfId="27" builtinId="27"/>
    <cellStyle name="Comma 2" xfId="1"/>
    <cellStyle name="Currency" xfId="25" builtinId="4"/>
    <cellStyle name="Currency 10" xfId="16"/>
    <cellStyle name="Currency 11" xfId="17"/>
    <cellStyle name="Currency 12" xfId="19"/>
    <cellStyle name="Currency 13" xfId="20"/>
    <cellStyle name="Currency 14" xfId="21"/>
    <cellStyle name="Currency 15" xfId="23"/>
    <cellStyle name="Currency 16" xfId="24"/>
    <cellStyle name="Currency 2" xfId="8"/>
    <cellStyle name="Currency 3" xfId="9"/>
    <cellStyle name="Currency 4" xfId="10"/>
    <cellStyle name="Currency 5" xfId="11"/>
    <cellStyle name="Currency 6" xfId="12"/>
    <cellStyle name="Currency 7" xfId="13"/>
    <cellStyle name="Currency 8" xfId="14"/>
    <cellStyle name="Currency 9" xfId="15"/>
    <cellStyle name="Good" xfId="26" builtinId="26"/>
    <cellStyle name="Hyperlink" xfId="28" builtinId="8"/>
    <cellStyle name="Normal" xfId="0" builtinId="0"/>
    <cellStyle name="Normal 2" xfId="2"/>
    <cellStyle name="Normal 3" xfId="5"/>
    <cellStyle name="Normal 4" xfId="6"/>
    <cellStyle name="Normal 4 3" xfId="4"/>
    <cellStyle name="Normal 5" xfId="18"/>
    <cellStyle name="Normal 6" xfId="22"/>
    <cellStyle name="Percent" xfId="3" builtinId="5"/>
    <cellStyle name="Percent 2" xfId="7"/>
  </cellStyles>
  <dxfs count="112">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strike val="0"/>
        <color rgb="FFFFC000"/>
      </font>
    </dxf>
    <dxf>
      <font>
        <color rgb="FF9C0006"/>
      </font>
    </dxf>
    <dxf>
      <font>
        <strike val="0"/>
        <color theme="9"/>
      </font>
    </dxf>
    <dxf>
      <font>
        <color rgb="FF9C0006"/>
      </font>
      <fill>
        <patternFill>
          <bgColor rgb="FFFFC7CE"/>
        </patternFill>
      </fill>
    </dxf>
    <dxf>
      <font>
        <color rgb="FF006100"/>
      </font>
      <fill>
        <patternFill>
          <bgColor rgb="FFC6EFCE"/>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00B050"/>
        </patternFill>
      </fill>
    </dxf>
    <dxf>
      <fill>
        <patternFill>
          <bgColor rgb="FFFFC000"/>
        </patternFill>
      </fill>
    </dxf>
    <dxf>
      <fill>
        <patternFill>
          <bgColor rgb="FFFF0000"/>
        </patternFill>
      </fill>
    </dxf>
    <dxf>
      <fill>
        <patternFill>
          <bgColor rgb="FFFFC000"/>
        </patternFill>
      </fill>
    </dxf>
    <dxf>
      <fill>
        <patternFill>
          <bgColor rgb="FFFF0000"/>
        </patternFill>
      </fill>
    </dxf>
    <dxf>
      <fill>
        <patternFill>
          <bgColor rgb="FF00B050"/>
        </patternFill>
      </fill>
    </dxf>
    <dxf>
      <fill>
        <patternFill>
          <bgColor rgb="FF00B050"/>
        </patternFill>
      </fill>
    </dxf>
    <dxf>
      <fill>
        <patternFill>
          <bgColor rgb="FFFFC0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GB" sz="1400" b="1" i="0" u="sng" strike="noStrike" kern="1200" spc="0" baseline="0">
                <a:solidFill>
                  <a:schemeClr val="tx1">
                    <a:lumMod val="65000"/>
                    <a:lumOff val="35000"/>
                  </a:schemeClr>
                </a:solidFill>
                <a:latin typeface="+mn-lt"/>
                <a:ea typeface="+mn-ea"/>
                <a:cs typeface="+mn-cs"/>
              </a:defRPr>
            </a:pPr>
            <a:r>
              <a:rPr lang="en-ZA" b="1" u="sng"/>
              <a:t>Oil Sample Paper Work</a:t>
            </a:r>
            <a:r>
              <a:rPr lang="en-ZA" b="1" u="sng" baseline="0"/>
              <a:t> </a:t>
            </a:r>
            <a:endParaRPr lang="en-ZA" b="1" u="sng"/>
          </a:p>
        </c:rich>
      </c:tx>
      <c:layout/>
      <c:overlay val="0"/>
      <c:spPr>
        <a:solidFill>
          <a:schemeClr val="accent2"/>
        </a:solidFill>
        <a:ln>
          <a:noFill/>
        </a:ln>
        <a:effectLst/>
      </c:spPr>
      <c:txPr>
        <a:bodyPr rot="0" spcFirstLastPara="1" vertOverflow="ellipsis" vert="horz" wrap="square" anchor="ctr" anchorCtr="1"/>
        <a:lstStyle/>
        <a:p>
          <a:pPr>
            <a:defRPr lang="en-GB" sz="1400" b="1" i="0" u="sng"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4.6879779779501786E-2"/>
          <c:y val="0.13467592592592589"/>
          <c:w val="0.95312022022049858"/>
          <c:h val="0.61498432487605659"/>
        </c:manualLayout>
      </c:layout>
      <c:barChart>
        <c:barDir val="col"/>
        <c:grouping val="clustered"/>
        <c:varyColors val="0"/>
        <c:ser>
          <c:idx val="0"/>
          <c:order val="0"/>
          <c:tx>
            <c:strRef>
              <c:f>'[1]03 Oct 2024'!$N$61</c:f>
              <c:strCache>
                <c:ptCount val="1"/>
                <c:pt idx="0">
                  <c:v>Paperwork Correct</c:v>
                </c:pt>
              </c:strCache>
            </c:strRef>
          </c:tx>
          <c:spPr>
            <a:solidFill>
              <a:schemeClr val="accent1"/>
            </a:solidFill>
            <a:ln>
              <a:noFill/>
            </a:ln>
            <a:effectLst/>
          </c:spPr>
          <c:invertIfNegative val="0"/>
          <c:val>
            <c:numRef>
              <c:f>'[1]03 Oct 2024'!$N$62:$N$67</c:f>
              <c:numCache>
                <c:formatCode>General</c:formatCode>
                <c:ptCount val="6"/>
              </c:numCache>
            </c:numRef>
          </c:val>
          <c:extLst>
            <c:ext xmlns:c16="http://schemas.microsoft.com/office/drawing/2014/chart" uri="{C3380CC4-5D6E-409C-BE32-E72D297353CC}">
              <c16:uniqueId val="{00000000-E42D-4ED3-B4C9-951AD24D0AC3}"/>
            </c:ext>
          </c:extLst>
        </c:ser>
        <c:ser>
          <c:idx val="1"/>
          <c:order val="1"/>
          <c:tx>
            <c:strRef>
              <c:f>'[1]03 Oct 2024'!$O$61</c:f>
              <c:strCache>
                <c:ptCount val="1"/>
                <c:pt idx="0">
                  <c:v>Paperwork Incorrect</c:v>
                </c:pt>
              </c:strCache>
            </c:strRef>
          </c:tx>
          <c:spPr>
            <a:solidFill>
              <a:schemeClr val="accent2"/>
            </a:solidFill>
            <a:ln>
              <a:noFill/>
            </a:ln>
            <a:effectLst/>
          </c:spPr>
          <c:invertIfNegative val="0"/>
          <c:val>
            <c:numRef>
              <c:f>'[1]03 Oct 2024'!$O$62:$O$67</c:f>
              <c:numCache>
                <c:formatCode>General</c:formatCode>
                <c:ptCount val="6"/>
              </c:numCache>
            </c:numRef>
          </c:val>
          <c:extLst>
            <c:ext xmlns:c16="http://schemas.microsoft.com/office/drawing/2014/chart" uri="{C3380CC4-5D6E-409C-BE32-E72D297353CC}">
              <c16:uniqueId val="{00000001-E42D-4ED3-B4C9-951AD24D0AC3}"/>
            </c:ext>
          </c:extLst>
        </c:ser>
        <c:dLbls>
          <c:showLegendKey val="0"/>
          <c:showVal val="0"/>
          <c:showCatName val="0"/>
          <c:showSerName val="0"/>
          <c:showPercent val="0"/>
          <c:showBubbleSize val="0"/>
        </c:dLbls>
        <c:gapWidth val="75"/>
        <c:overlap val="-25"/>
        <c:axId val="144058240"/>
        <c:axId val="144059776"/>
      </c:barChart>
      <c:catAx>
        <c:axId val="14405824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endParaRPr lang="en-US"/>
          </a:p>
        </c:txPr>
        <c:crossAx val="144059776"/>
        <c:crosses val="autoZero"/>
        <c:auto val="1"/>
        <c:lblAlgn val="ctr"/>
        <c:lblOffset val="100"/>
        <c:noMultiLvlLbl val="0"/>
      </c:catAx>
      <c:valAx>
        <c:axId val="144059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endParaRPr lang="en-US"/>
          </a:p>
        </c:txPr>
        <c:crossAx val="144058240"/>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en-GB"/>
      </a:pPr>
      <a:endParaRPr lang="en-US"/>
    </a:p>
  </c:txPr>
  <c:printSettings>
    <c:headerFooter/>
    <c:pageMargins b="0.75000000000000044" l="0.7000000000000004" r="0.7000000000000004" t="0.75000000000000044" header="0.30000000000000021" footer="0.30000000000000021"/>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lang="en-GB" sz="2400" b="1" i="0" u="sng" strike="noStrike" kern="1200" spc="0" baseline="0">
                <a:solidFill>
                  <a:schemeClr val="tx1">
                    <a:lumMod val="65000"/>
                    <a:lumOff val="35000"/>
                  </a:schemeClr>
                </a:solidFill>
                <a:latin typeface="+mn-lt"/>
                <a:ea typeface="+mn-ea"/>
                <a:cs typeface="+mn-cs"/>
              </a:defRPr>
            </a:pPr>
            <a:r>
              <a:rPr lang="en-ZA"/>
              <a:t>Condition monitoring / Oil samples </a:t>
            </a:r>
          </a:p>
        </c:rich>
      </c:tx>
      <c:layout/>
      <c:overlay val="0"/>
      <c:spPr>
        <a:noFill/>
        <a:ln>
          <a:noFill/>
        </a:ln>
        <a:effectLst/>
      </c:spPr>
      <c:txPr>
        <a:bodyPr rot="0" spcFirstLastPara="1" vertOverflow="ellipsis" vert="horz" wrap="square" anchor="ctr" anchorCtr="1"/>
        <a:lstStyle/>
        <a:p>
          <a:pPr>
            <a:defRPr lang="en-GB" sz="2400" b="1" i="0" u="sng"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4.0752140724461587E-2"/>
          <c:y val="0.14158171405044959"/>
          <c:w val="0.94433136330190159"/>
          <c:h val="0.67018861256204476"/>
        </c:manualLayout>
      </c:layout>
      <c:barChart>
        <c:barDir val="col"/>
        <c:grouping val="clustered"/>
        <c:varyColors val="0"/>
        <c:ser>
          <c:idx val="0"/>
          <c:order val="0"/>
          <c:tx>
            <c:strRef>
              <c:f>'[1]03 Oct 2024'!$I$61</c:f>
              <c:strCache>
                <c:ptCount val="1"/>
                <c:pt idx="0">
                  <c:v>% Compliance</c:v>
                </c:pt>
              </c:strCache>
            </c:strRef>
          </c:tx>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GB"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'[1]03 Oct 2024'!$B$62:$B$67</c:f>
              <c:strCache>
                <c:ptCount val="6"/>
                <c:pt idx="0">
                  <c:v>DT</c:v>
                </c:pt>
                <c:pt idx="1">
                  <c:v>FL</c:v>
                </c:pt>
                <c:pt idx="2">
                  <c:v>HD</c:v>
                </c:pt>
                <c:pt idx="3">
                  <c:v>RT</c:v>
                </c:pt>
                <c:pt idx="4">
                  <c:v>SR</c:v>
                </c:pt>
                <c:pt idx="5">
                  <c:v>Support Equipment</c:v>
                </c:pt>
              </c:strCache>
            </c:strRef>
          </c:cat>
          <c:val>
            <c:numRef>
              <c:f>'[1]03 Oct 2024'!$I$62:$I$67</c:f>
              <c:numCache>
                <c:formatCode>General</c:formatCode>
                <c:ptCount val="6"/>
                <c:pt idx="0">
                  <c:v>0</c:v>
                </c:pt>
                <c:pt idx="1">
                  <c:v>0</c:v>
                </c:pt>
                <c:pt idx="2">
                  <c:v>0</c:v>
                </c:pt>
                <c:pt idx="3">
                  <c:v>0</c:v>
                </c:pt>
                <c:pt idx="4">
                  <c:v>0</c:v>
                </c:pt>
                <c:pt idx="5">
                  <c:v>1</c:v>
                </c:pt>
              </c:numCache>
            </c:numRef>
          </c:val>
          <c:extLst>
            <c:ext xmlns:c16="http://schemas.microsoft.com/office/drawing/2014/chart" uri="{C3380CC4-5D6E-409C-BE32-E72D297353CC}">
              <c16:uniqueId val="{00000000-95DE-4072-93A5-362A8C0DF05D}"/>
            </c:ext>
          </c:extLst>
        </c:ser>
        <c:dLbls>
          <c:showLegendKey val="0"/>
          <c:showVal val="0"/>
          <c:showCatName val="0"/>
          <c:showSerName val="0"/>
          <c:showPercent val="0"/>
          <c:showBubbleSize val="0"/>
        </c:dLbls>
        <c:gapWidth val="219"/>
        <c:overlap val="-27"/>
        <c:axId val="118931840"/>
        <c:axId val="118933376"/>
      </c:barChart>
      <c:catAx>
        <c:axId val="1189318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GB" sz="1600" b="0" i="0" u="none" strike="noStrike" kern="1200" baseline="0">
                <a:solidFill>
                  <a:schemeClr val="tx1">
                    <a:lumMod val="65000"/>
                    <a:lumOff val="35000"/>
                  </a:schemeClr>
                </a:solidFill>
                <a:latin typeface="+mn-lt"/>
                <a:ea typeface="+mn-ea"/>
                <a:cs typeface="+mn-cs"/>
              </a:defRPr>
            </a:pPr>
            <a:endParaRPr lang="en-US"/>
          </a:p>
        </c:txPr>
        <c:crossAx val="118933376"/>
        <c:crosses val="autoZero"/>
        <c:auto val="1"/>
        <c:lblAlgn val="ctr"/>
        <c:lblOffset val="100"/>
        <c:noMultiLvlLbl val="0"/>
      </c:catAx>
      <c:valAx>
        <c:axId val="118933376"/>
        <c:scaling>
          <c:orientation val="minMax"/>
          <c:min val="0"/>
        </c:scaling>
        <c:delete val="1"/>
        <c:axPos val="l"/>
        <c:numFmt formatCode="General" sourceLinked="1"/>
        <c:majorTickMark val="out"/>
        <c:minorTickMark val="none"/>
        <c:tickLblPos val="nextTo"/>
        <c:crossAx val="1189318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solidFill>
      <a:round/>
    </a:ln>
    <a:effectLst/>
  </c:spPr>
  <c:txPr>
    <a:bodyPr/>
    <a:lstStyle/>
    <a:p>
      <a:pPr>
        <a:defRPr lang="en-GB"/>
      </a:pPr>
      <a:endParaRPr lang="en-US"/>
    </a:p>
  </c:txPr>
  <c:printSettings>
    <c:headerFooter/>
    <c:pageMargins b="0.75000000000000044" l="0.7000000000000004" r="0.7000000000000004" t="0.75000000000000044" header="0.30000000000000021" footer="0.30000000000000021"/>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GB" sz="1400" b="1" i="0" u="sng" strike="noStrike" kern="1200" spc="0" baseline="0">
                <a:solidFill>
                  <a:schemeClr val="tx1">
                    <a:lumMod val="65000"/>
                    <a:lumOff val="35000"/>
                  </a:schemeClr>
                </a:solidFill>
                <a:latin typeface="+mn-lt"/>
                <a:ea typeface="+mn-ea"/>
                <a:cs typeface="+mn-cs"/>
              </a:defRPr>
            </a:pPr>
            <a:r>
              <a:rPr lang="en-ZA" b="1" u="sng"/>
              <a:t>Oil Sample Paper Work</a:t>
            </a:r>
            <a:r>
              <a:rPr lang="en-ZA" b="1" u="sng" baseline="0"/>
              <a:t> </a:t>
            </a:r>
            <a:endParaRPr lang="en-ZA" b="1" u="sng"/>
          </a:p>
        </c:rich>
      </c:tx>
      <c:overlay val="0"/>
      <c:spPr>
        <a:solidFill>
          <a:schemeClr val="accent2"/>
        </a:solidFill>
        <a:ln>
          <a:noFill/>
        </a:ln>
        <a:effectLst/>
      </c:spPr>
      <c:txPr>
        <a:bodyPr rot="0" spcFirstLastPara="1" vertOverflow="ellipsis" vert="horz" wrap="square" anchor="ctr" anchorCtr="1"/>
        <a:lstStyle/>
        <a:p>
          <a:pPr>
            <a:defRPr lang="en-GB" sz="1400" b="1" i="0" u="sng"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4.6879779779501786E-2"/>
          <c:y val="0.13467592592592589"/>
          <c:w val="0.95312022022049858"/>
          <c:h val="0.61498432487605659"/>
        </c:manualLayout>
      </c:layout>
      <c:barChart>
        <c:barDir val="col"/>
        <c:grouping val="clustered"/>
        <c:varyColors val="0"/>
        <c:ser>
          <c:idx val="0"/>
          <c:order val="0"/>
          <c:tx>
            <c:strRef>
              <c:f>'[1]03 Oct 2024'!$N$61</c:f>
              <c:strCache>
                <c:ptCount val="1"/>
                <c:pt idx="0">
                  <c:v>Paperwork Correct</c:v>
                </c:pt>
              </c:strCache>
            </c:strRef>
          </c:tx>
          <c:spPr>
            <a:solidFill>
              <a:schemeClr val="accent1"/>
            </a:solidFill>
            <a:ln>
              <a:noFill/>
            </a:ln>
            <a:effectLst/>
          </c:spPr>
          <c:invertIfNegative val="0"/>
          <c:val>
            <c:numRef>
              <c:f>'[1]03 Oct 2024'!$N$62:$N$67</c:f>
              <c:numCache>
                <c:formatCode>General</c:formatCode>
                <c:ptCount val="6"/>
              </c:numCache>
            </c:numRef>
          </c:val>
          <c:extLst>
            <c:ext xmlns:c16="http://schemas.microsoft.com/office/drawing/2014/chart" uri="{C3380CC4-5D6E-409C-BE32-E72D297353CC}">
              <c16:uniqueId val="{00000000-FAE5-45B9-B7C1-35A2A0226978}"/>
            </c:ext>
          </c:extLst>
        </c:ser>
        <c:ser>
          <c:idx val="1"/>
          <c:order val="1"/>
          <c:tx>
            <c:strRef>
              <c:f>'[1]03 Oct 2024'!$O$61</c:f>
              <c:strCache>
                <c:ptCount val="1"/>
                <c:pt idx="0">
                  <c:v>Paperwork Incorrect</c:v>
                </c:pt>
              </c:strCache>
            </c:strRef>
          </c:tx>
          <c:spPr>
            <a:solidFill>
              <a:schemeClr val="accent2"/>
            </a:solidFill>
            <a:ln>
              <a:noFill/>
            </a:ln>
            <a:effectLst/>
          </c:spPr>
          <c:invertIfNegative val="0"/>
          <c:val>
            <c:numRef>
              <c:f>'[1]03 Oct 2024'!$O$62:$O$67</c:f>
              <c:numCache>
                <c:formatCode>General</c:formatCode>
                <c:ptCount val="6"/>
              </c:numCache>
            </c:numRef>
          </c:val>
          <c:extLst>
            <c:ext xmlns:c16="http://schemas.microsoft.com/office/drawing/2014/chart" uri="{C3380CC4-5D6E-409C-BE32-E72D297353CC}">
              <c16:uniqueId val="{00000001-FAE5-45B9-B7C1-35A2A0226978}"/>
            </c:ext>
          </c:extLst>
        </c:ser>
        <c:dLbls>
          <c:showLegendKey val="0"/>
          <c:showVal val="0"/>
          <c:showCatName val="0"/>
          <c:showSerName val="0"/>
          <c:showPercent val="0"/>
          <c:showBubbleSize val="0"/>
        </c:dLbls>
        <c:gapWidth val="75"/>
        <c:overlap val="-25"/>
        <c:axId val="144058240"/>
        <c:axId val="144059776"/>
      </c:barChart>
      <c:catAx>
        <c:axId val="14405824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endParaRPr lang="en-US"/>
          </a:p>
        </c:txPr>
        <c:crossAx val="144059776"/>
        <c:crosses val="autoZero"/>
        <c:auto val="1"/>
        <c:lblAlgn val="ctr"/>
        <c:lblOffset val="100"/>
        <c:noMultiLvlLbl val="0"/>
      </c:catAx>
      <c:valAx>
        <c:axId val="144059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endParaRPr lang="en-US"/>
          </a:p>
        </c:txPr>
        <c:crossAx val="1440582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en-GB"/>
      </a:pPr>
      <a:endParaRPr lang="en-US"/>
    </a:p>
  </c:txPr>
  <c:printSettings>
    <c:headerFooter/>
    <c:pageMargins b="0.75000000000000044" l="0.7000000000000004" r="0.7000000000000004" t="0.75000000000000044" header="0.30000000000000021" footer="0.30000000000000021"/>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3886075047238458E-2"/>
          <c:y val="2.5428331875182269E-2"/>
          <c:w val="0.96611392495276105"/>
          <c:h val="0.73577136191309478"/>
        </c:manualLayout>
      </c:layout>
      <c:barChart>
        <c:barDir val="col"/>
        <c:grouping val="clustered"/>
        <c:varyColors val="0"/>
        <c:ser>
          <c:idx val="2"/>
          <c:order val="2"/>
          <c:tx>
            <c:strRef>
              <c:f>'[1]03 Oct 2024'!$E$33</c:f>
              <c:strCache>
                <c:ptCount val="1"/>
                <c:pt idx="0">
                  <c:v>Schedule Compliance</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GB"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'[1]03 Oct 2024'!$B$34:$B$39</c:f>
              <c:strCache>
                <c:ptCount val="6"/>
                <c:pt idx="0">
                  <c:v>DT</c:v>
                </c:pt>
                <c:pt idx="1">
                  <c:v>FL</c:v>
                </c:pt>
                <c:pt idx="2">
                  <c:v>HD</c:v>
                </c:pt>
                <c:pt idx="3">
                  <c:v>RT</c:v>
                </c:pt>
                <c:pt idx="4">
                  <c:v>SR - Service Compliance</c:v>
                </c:pt>
                <c:pt idx="5">
                  <c:v>Support Equipment</c:v>
                </c:pt>
              </c:strCache>
            </c:strRef>
          </c:cat>
          <c:val>
            <c:numRef>
              <c:f>'[1]03 Oct 2024'!$E$34:$E$39</c:f>
              <c:numCache>
                <c:formatCode>General</c:formatCode>
                <c:ptCount val="6"/>
                <c:pt idx="0">
                  <c:v>0</c:v>
                </c:pt>
                <c:pt idx="1">
                  <c:v>0</c:v>
                </c:pt>
                <c:pt idx="2">
                  <c:v>0</c:v>
                </c:pt>
                <c:pt idx="3">
                  <c:v>0</c:v>
                </c:pt>
                <c:pt idx="4">
                  <c:v>0</c:v>
                </c:pt>
                <c:pt idx="5">
                  <c:v>1</c:v>
                </c:pt>
              </c:numCache>
            </c:numRef>
          </c:val>
          <c:extLst>
            <c:ext xmlns:c16="http://schemas.microsoft.com/office/drawing/2014/chart" uri="{C3380CC4-5D6E-409C-BE32-E72D297353CC}">
              <c16:uniqueId val="{00000000-72D8-45C5-9B32-5B67314F3909}"/>
            </c:ext>
          </c:extLst>
        </c:ser>
        <c:dLbls>
          <c:showLegendKey val="0"/>
          <c:showVal val="1"/>
          <c:showCatName val="0"/>
          <c:showSerName val="0"/>
          <c:showPercent val="0"/>
          <c:showBubbleSize val="0"/>
        </c:dLbls>
        <c:gapWidth val="75"/>
        <c:axId val="144148736"/>
        <c:axId val="144162816"/>
      </c:barChart>
      <c:lineChart>
        <c:grouping val="standard"/>
        <c:varyColors val="0"/>
        <c:ser>
          <c:idx val="3"/>
          <c:order val="3"/>
          <c:tx>
            <c:strRef>
              <c:f>'[1]03 Oct 2024'!$F$33</c:f>
              <c:strCache>
                <c:ptCount val="1"/>
                <c:pt idx="0">
                  <c:v>Target</c:v>
                </c:pt>
              </c:strCache>
            </c:strRef>
          </c:tx>
          <c:spPr>
            <a:ln w="28575" cap="rnd">
              <a:solidFill>
                <a:schemeClr val="accent2">
                  <a:lumMod val="60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lang="en-GB"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'[1]03 Oct 2024'!$B$34:$B$39</c:f>
              <c:strCache>
                <c:ptCount val="6"/>
                <c:pt idx="0">
                  <c:v>DT</c:v>
                </c:pt>
                <c:pt idx="1">
                  <c:v>FL</c:v>
                </c:pt>
                <c:pt idx="2">
                  <c:v>HD</c:v>
                </c:pt>
                <c:pt idx="3">
                  <c:v>RT</c:v>
                </c:pt>
                <c:pt idx="4">
                  <c:v>SR - Service Compliance</c:v>
                </c:pt>
                <c:pt idx="5">
                  <c:v>Support Equipment</c:v>
                </c:pt>
              </c:strCache>
            </c:strRef>
          </c:cat>
          <c:val>
            <c:numRef>
              <c:f>'[1]03 Oct 2024'!$F$34:$F$39</c:f>
              <c:numCache>
                <c:formatCode>General</c:formatCode>
                <c:ptCount val="6"/>
                <c:pt idx="0">
                  <c:v>0.95</c:v>
                </c:pt>
                <c:pt idx="1">
                  <c:v>0.95</c:v>
                </c:pt>
                <c:pt idx="2">
                  <c:v>0.95</c:v>
                </c:pt>
                <c:pt idx="3">
                  <c:v>0.95</c:v>
                </c:pt>
                <c:pt idx="4">
                  <c:v>0.95</c:v>
                </c:pt>
                <c:pt idx="5">
                  <c:v>0.95</c:v>
                </c:pt>
              </c:numCache>
            </c:numRef>
          </c:val>
          <c:smooth val="0"/>
          <c:extLst>
            <c:ext xmlns:c16="http://schemas.microsoft.com/office/drawing/2014/chart" uri="{C3380CC4-5D6E-409C-BE32-E72D297353CC}">
              <c16:uniqueId val="{00000001-72D8-45C5-9B32-5B67314F3909}"/>
            </c:ext>
          </c:extLst>
        </c:ser>
        <c:dLbls>
          <c:showLegendKey val="0"/>
          <c:showVal val="1"/>
          <c:showCatName val="0"/>
          <c:showSerName val="0"/>
          <c:showPercent val="0"/>
          <c:showBubbleSize val="0"/>
        </c:dLbls>
        <c:marker val="1"/>
        <c:smooth val="0"/>
        <c:axId val="144148736"/>
        <c:axId val="144162816"/>
        <c:extLst>
          <c:ext xmlns:c15="http://schemas.microsoft.com/office/drawing/2012/chart" uri="{02D57815-91ED-43cb-92C2-25804820EDAC}">
            <c15:filteredLineSeries>
              <c15:ser>
                <c:idx val="0"/>
                <c:order val="0"/>
                <c:tx>
                  <c:strRef>
                    <c:extLst>
                      <c:ext uri="{02D57815-91ED-43cb-92C2-25804820EDAC}">
                        <c15:formulaRef>
                          <c15:sqref>'[1]03 Oct 2024'!$C$33</c15:sqref>
                        </c15:formulaRef>
                      </c:ext>
                    </c:extLst>
                    <c:strCache>
                      <c:ptCount val="1"/>
                      <c:pt idx="0">
                        <c:v>Planned</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lang="en-GB"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'[1]03 Oct 2024'!$B$34:$B$39</c15:sqref>
                        </c15:formulaRef>
                      </c:ext>
                    </c:extLst>
                    <c:strCache>
                      <c:ptCount val="6"/>
                      <c:pt idx="0">
                        <c:v>DT</c:v>
                      </c:pt>
                      <c:pt idx="1">
                        <c:v>FL</c:v>
                      </c:pt>
                      <c:pt idx="2">
                        <c:v>HD</c:v>
                      </c:pt>
                      <c:pt idx="3">
                        <c:v>RT</c:v>
                      </c:pt>
                      <c:pt idx="4">
                        <c:v>SR - Service Compliance</c:v>
                      </c:pt>
                      <c:pt idx="5">
                        <c:v>Support Equipment</c:v>
                      </c:pt>
                    </c:strCache>
                  </c:strRef>
                </c:cat>
                <c:val>
                  <c:numRef>
                    <c:extLst>
                      <c:ext uri="{02D57815-91ED-43cb-92C2-25804820EDAC}">
                        <c15:formulaRef>
                          <c15:sqref>'[1]03 Oct 2024'!$C$34:$C$39</c15:sqref>
                        </c15:formulaRef>
                      </c:ext>
                    </c:extLst>
                    <c:numCache>
                      <c:formatCode>General</c:formatCode>
                      <c:ptCount val="6"/>
                      <c:pt idx="0">
                        <c:v>0</c:v>
                      </c:pt>
                      <c:pt idx="1">
                        <c:v>0</c:v>
                      </c:pt>
                      <c:pt idx="2">
                        <c:v>3</c:v>
                      </c:pt>
                      <c:pt idx="3">
                        <c:v>3</c:v>
                      </c:pt>
                      <c:pt idx="4">
                        <c:v>0</c:v>
                      </c:pt>
                      <c:pt idx="5">
                        <c:v>3</c:v>
                      </c:pt>
                    </c:numCache>
                  </c:numRef>
                </c:val>
                <c:smooth val="0"/>
                <c:extLst>
                  <c:ext xmlns:c16="http://schemas.microsoft.com/office/drawing/2014/chart" uri="{C3380CC4-5D6E-409C-BE32-E72D297353CC}">
                    <c16:uniqueId val="{00000002-72D8-45C5-9B32-5B67314F3909}"/>
                  </c:ext>
                </c:extLst>
              </c15:ser>
            </c15:filteredLineSeries>
            <c15:filteredLineSeries>
              <c15:ser>
                <c:idx val="1"/>
                <c:order val="1"/>
                <c:tx>
                  <c:strRef>
                    <c:extLst xmlns:c15="http://schemas.microsoft.com/office/drawing/2012/chart">
                      <c:ext xmlns:c15="http://schemas.microsoft.com/office/drawing/2012/chart" uri="{02D57815-91ED-43cb-92C2-25804820EDAC}">
                        <c15:formulaRef>
                          <c15:sqref>'[1]03 Oct 2024'!$D$33</c15:sqref>
                        </c15:formulaRef>
                      </c:ext>
                    </c:extLst>
                    <c:strCache>
                      <c:ptCount val="1"/>
                      <c:pt idx="0">
                        <c:v>Actual</c:v>
                      </c:pt>
                    </c:strCache>
                  </c:strRef>
                </c:tx>
                <c:spPr>
                  <a:ln w="28575" cap="rnd">
                    <a:solidFill>
                      <a:schemeClr val="accent4"/>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lang="en-GB"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'[1]03 Oct 2024'!$B$34:$B$39</c15:sqref>
                        </c15:formulaRef>
                      </c:ext>
                    </c:extLst>
                    <c:strCache>
                      <c:ptCount val="6"/>
                      <c:pt idx="0">
                        <c:v>DT</c:v>
                      </c:pt>
                      <c:pt idx="1">
                        <c:v>FL</c:v>
                      </c:pt>
                      <c:pt idx="2">
                        <c:v>HD</c:v>
                      </c:pt>
                      <c:pt idx="3">
                        <c:v>RT</c:v>
                      </c:pt>
                      <c:pt idx="4">
                        <c:v>SR - Service Compliance</c:v>
                      </c:pt>
                      <c:pt idx="5">
                        <c:v>Support Equipment</c:v>
                      </c:pt>
                    </c:strCache>
                  </c:strRef>
                </c:cat>
                <c:val>
                  <c:numRef>
                    <c:extLst xmlns:c15="http://schemas.microsoft.com/office/drawing/2012/chart">
                      <c:ext xmlns:c15="http://schemas.microsoft.com/office/drawing/2012/chart" uri="{02D57815-91ED-43cb-92C2-25804820EDAC}">
                        <c15:formulaRef>
                          <c15:sqref>'[1]03 Oct 2024'!$D$34:$D$39</c15:sqref>
                        </c15:formulaRef>
                      </c:ext>
                    </c:extLst>
                    <c:numCache>
                      <c:formatCode>General</c:formatCode>
                      <c:ptCount val="6"/>
                      <c:pt idx="5">
                        <c:v>3</c:v>
                      </c:pt>
                    </c:numCache>
                  </c:numRef>
                </c:val>
                <c:smooth val="0"/>
                <c:extLst xmlns:c15="http://schemas.microsoft.com/office/drawing/2012/chart">
                  <c:ext xmlns:c16="http://schemas.microsoft.com/office/drawing/2014/chart" uri="{C3380CC4-5D6E-409C-BE32-E72D297353CC}">
                    <c16:uniqueId val="{00000003-72D8-45C5-9B32-5B67314F3909}"/>
                  </c:ext>
                </c:extLst>
              </c15:ser>
            </c15:filteredLineSeries>
          </c:ext>
        </c:extLst>
      </c:lineChart>
      <c:catAx>
        <c:axId val="1441487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endParaRPr lang="en-US"/>
          </a:p>
        </c:txPr>
        <c:crossAx val="144162816"/>
        <c:crosses val="autoZero"/>
        <c:auto val="1"/>
        <c:lblAlgn val="ctr"/>
        <c:lblOffset val="100"/>
        <c:noMultiLvlLbl val="0"/>
      </c:catAx>
      <c:valAx>
        <c:axId val="1441628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endParaRPr lang="en-US"/>
          </a:p>
        </c:txPr>
        <c:crossAx val="144148736"/>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en-GB"/>
      </a:pPr>
      <a:endParaRPr lang="en-US"/>
    </a:p>
  </c:txPr>
  <c:printSettings>
    <c:headerFooter/>
    <c:pageMargins b="0.75000000000000044" l="0.7000000000000004" r="0.7000000000000004" t="0.75000000000000044" header="0.30000000000000021" footer="0.30000000000000021"/>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Weekly</a:t>
            </a:r>
            <a:r>
              <a:rPr lang="en-ZA" baseline="0"/>
              <a:t> Compliance</a:t>
            </a:r>
            <a:endParaRPr lang="en-ZA"/>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'[2]04 Dec 2025'!$C$6</c:f>
              <c:strCache>
                <c:ptCount val="1"/>
                <c:pt idx="0">
                  <c:v>Planned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'[2]04 Dec 2025'!$B$7:$B$13</c:f>
              <c:strCache>
                <c:ptCount val="7"/>
                <c:pt idx="0">
                  <c:v>DT</c:v>
                </c:pt>
                <c:pt idx="1">
                  <c:v>FL</c:v>
                </c:pt>
                <c:pt idx="2">
                  <c:v>HD</c:v>
                </c:pt>
                <c:pt idx="3">
                  <c:v>RT</c:v>
                </c:pt>
                <c:pt idx="4">
                  <c:v>SR - Service Compliance</c:v>
                </c:pt>
                <c:pt idx="5">
                  <c:v>Support Equipment</c:v>
                </c:pt>
                <c:pt idx="6">
                  <c:v>SR - Weekly Inspection </c:v>
                </c:pt>
              </c:strCache>
            </c:strRef>
          </c:cat>
          <c:val>
            <c:numRef>
              <c:f>'[2]04 Dec 2025'!$C$7:$C$13</c:f>
              <c:numCache>
                <c:formatCode>General</c:formatCode>
                <c:ptCount val="7"/>
                <c:pt idx="0">
                  <c:v>2</c:v>
                </c:pt>
                <c:pt idx="1">
                  <c:v>3</c:v>
                </c:pt>
                <c:pt idx="2">
                  <c:v>4</c:v>
                </c:pt>
                <c:pt idx="3">
                  <c:v>2</c:v>
                </c:pt>
                <c:pt idx="4">
                  <c:v>1</c:v>
                </c:pt>
                <c:pt idx="5">
                  <c:v>8</c:v>
                </c:pt>
                <c:pt idx="6">
                  <c:v>8</c:v>
                </c:pt>
              </c:numCache>
            </c:numRef>
          </c:val>
          <c:extLst>
            <c:ext xmlns:c16="http://schemas.microsoft.com/office/drawing/2014/chart" uri="{C3380CC4-5D6E-409C-BE32-E72D297353CC}">
              <c16:uniqueId val="{00000000-EBD3-4CB4-AE75-5B62A31F189C}"/>
            </c:ext>
          </c:extLst>
        </c:ser>
        <c:ser>
          <c:idx val="1"/>
          <c:order val="1"/>
          <c:tx>
            <c:strRef>
              <c:f>'[2]04 Dec 2025'!$D$6</c:f>
              <c:strCache>
                <c:ptCount val="1"/>
                <c:pt idx="0">
                  <c:v>Actual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'[2]04 Dec 2025'!$B$7:$B$13</c:f>
              <c:strCache>
                <c:ptCount val="7"/>
                <c:pt idx="0">
                  <c:v>DT</c:v>
                </c:pt>
                <c:pt idx="1">
                  <c:v>FL</c:v>
                </c:pt>
                <c:pt idx="2">
                  <c:v>HD</c:v>
                </c:pt>
                <c:pt idx="3">
                  <c:v>RT</c:v>
                </c:pt>
                <c:pt idx="4">
                  <c:v>SR - Service Compliance</c:v>
                </c:pt>
                <c:pt idx="5">
                  <c:v>Support Equipment</c:v>
                </c:pt>
                <c:pt idx="6">
                  <c:v>SR - Weekly Inspection </c:v>
                </c:pt>
              </c:strCache>
            </c:strRef>
          </c:cat>
          <c:val>
            <c:numRef>
              <c:f>'[2]04 Dec 2025'!$D$7:$D$13</c:f>
              <c:numCache>
                <c:formatCode>General</c:formatCode>
                <c:ptCount val="7"/>
                <c:pt idx="0">
                  <c:v>2</c:v>
                </c:pt>
                <c:pt idx="1">
                  <c:v>3</c:v>
                </c:pt>
                <c:pt idx="2">
                  <c:v>3</c:v>
                </c:pt>
                <c:pt idx="3">
                  <c:v>2</c:v>
                </c:pt>
                <c:pt idx="4">
                  <c:v>1</c:v>
                </c:pt>
                <c:pt idx="5">
                  <c:v>8</c:v>
                </c:pt>
                <c:pt idx="6">
                  <c:v>8</c:v>
                </c:pt>
              </c:numCache>
            </c:numRef>
          </c:val>
          <c:extLst>
            <c:ext xmlns:c16="http://schemas.microsoft.com/office/drawing/2014/chart" uri="{C3380CC4-5D6E-409C-BE32-E72D297353CC}">
              <c16:uniqueId val="{00000001-EBD3-4CB4-AE75-5B62A31F189C}"/>
            </c:ext>
          </c:extLst>
        </c:ser>
        <c:ser>
          <c:idx val="2"/>
          <c:order val="2"/>
          <c:tx>
            <c:strRef>
              <c:f>'[2]04 Dec 2025'!$E$6</c:f>
              <c:strCache>
                <c:ptCount val="1"/>
                <c:pt idx="0">
                  <c:v>Schedule Compliance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'[2]04 Dec 2025'!$B$7:$B$13</c:f>
              <c:strCache>
                <c:ptCount val="7"/>
                <c:pt idx="0">
                  <c:v>DT</c:v>
                </c:pt>
                <c:pt idx="1">
                  <c:v>FL</c:v>
                </c:pt>
                <c:pt idx="2">
                  <c:v>HD</c:v>
                </c:pt>
                <c:pt idx="3">
                  <c:v>RT</c:v>
                </c:pt>
                <c:pt idx="4">
                  <c:v>SR - Service Compliance</c:v>
                </c:pt>
                <c:pt idx="5">
                  <c:v>Support Equipment</c:v>
                </c:pt>
                <c:pt idx="6">
                  <c:v>SR - Weekly Inspection </c:v>
                </c:pt>
              </c:strCache>
            </c:strRef>
          </c:cat>
          <c:val>
            <c:numRef>
              <c:f>'[2]04 Dec 2025'!$E$7:$E$13</c:f>
              <c:numCache>
                <c:formatCode>General</c:formatCode>
                <c:ptCount val="7"/>
                <c:pt idx="0">
                  <c:v>1</c:v>
                </c:pt>
                <c:pt idx="1">
                  <c:v>1</c:v>
                </c:pt>
                <c:pt idx="2">
                  <c:v>0.75</c:v>
                </c:pt>
                <c:pt idx="3">
                  <c:v>1</c:v>
                </c:pt>
                <c:pt idx="4">
                  <c:v>1</c:v>
                </c:pt>
                <c:pt idx="5">
                  <c:v>1</c:v>
                </c:pt>
                <c:pt idx="6">
                  <c:v>1</c:v>
                </c:pt>
              </c:numCache>
            </c:numRef>
          </c:val>
          <c:extLst>
            <c:ext xmlns:c16="http://schemas.microsoft.com/office/drawing/2014/chart" uri="{C3380CC4-5D6E-409C-BE32-E72D297353CC}">
              <c16:uniqueId val="{00000002-EBD3-4CB4-AE75-5B62A31F189C}"/>
            </c:ext>
          </c:extLst>
        </c:ser>
        <c:dLbls>
          <c:showLegendKey val="0"/>
          <c:showVal val="1"/>
          <c:showCatName val="0"/>
          <c:showSerName val="0"/>
          <c:showPercent val="0"/>
          <c:showBubbleSize val="0"/>
        </c:dLbls>
        <c:gapWidth val="150"/>
        <c:overlap val="-25"/>
        <c:axId val="144219520"/>
        <c:axId val="144237696"/>
      </c:barChart>
      <c:lineChart>
        <c:grouping val="standard"/>
        <c:varyColors val="0"/>
        <c:ser>
          <c:idx val="3"/>
          <c:order val="3"/>
          <c:tx>
            <c:strRef>
              <c:f>'[2]04 Dec 2025'!$F$6</c:f>
              <c:strCache>
                <c:ptCount val="1"/>
                <c:pt idx="0">
                  <c:v>Target</c:v>
                </c:pt>
              </c:strCache>
            </c:strRef>
          </c:tx>
          <c:spPr>
            <a:ln w="28575" cap="rnd">
              <a:solidFill>
                <a:schemeClr val="accent4"/>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'[2]04 Dec 2025'!$B$7:$B$13</c:f>
              <c:strCache>
                <c:ptCount val="7"/>
                <c:pt idx="0">
                  <c:v>DT</c:v>
                </c:pt>
                <c:pt idx="1">
                  <c:v>FL</c:v>
                </c:pt>
                <c:pt idx="2">
                  <c:v>HD</c:v>
                </c:pt>
                <c:pt idx="3">
                  <c:v>RT</c:v>
                </c:pt>
                <c:pt idx="4">
                  <c:v>SR - Service Compliance</c:v>
                </c:pt>
                <c:pt idx="5">
                  <c:v>Support Equipment</c:v>
                </c:pt>
                <c:pt idx="6">
                  <c:v>SR - Weekly Inspection </c:v>
                </c:pt>
              </c:strCache>
            </c:strRef>
          </c:cat>
          <c:val>
            <c:numRef>
              <c:f>'[2]04 Dec 2025'!$F$7:$F$13</c:f>
              <c:numCache>
                <c:formatCode>General</c:formatCode>
                <c:ptCount val="7"/>
                <c:pt idx="0">
                  <c:v>1</c:v>
                </c:pt>
                <c:pt idx="1">
                  <c:v>1</c:v>
                </c:pt>
                <c:pt idx="2">
                  <c:v>1</c:v>
                </c:pt>
                <c:pt idx="3">
                  <c:v>1</c:v>
                </c:pt>
                <c:pt idx="4">
                  <c:v>1</c:v>
                </c:pt>
                <c:pt idx="5">
                  <c:v>1</c:v>
                </c:pt>
                <c:pt idx="6">
                  <c:v>1</c:v>
                </c:pt>
              </c:numCache>
            </c:numRef>
          </c:val>
          <c:smooth val="0"/>
          <c:extLst>
            <c:ext xmlns:c16="http://schemas.microsoft.com/office/drawing/2014/chart" uri="{C3380CC4-5D6E-409C-BE32-E72D297353CC}">
              <c16:uniqueId val="{00000003-EBD3-4CB4-AE75-5B62A31F189C}"/>
            </c:ext>
          </c:extLst>
        </c:ser>
        <c:dLbls>
          <c:showLegendKey val="0"/>
          <c:showVal val="0"/>
          <c:showCatName val="0"/>
          <c:showSerName val="0"/>
          <c:showPercent val="0"/>
          <c:showBubbleSize val="0"/>
        </c:dLbls>
        <c:marker val="1"/>
        <c:smooth val="0"/>
        <c:axId val="144219520"/>
        <c:axId val="144237696"/>
      </c:lineChart>
      <c:catAx>
        <c:axId val="144219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237696"/>
        <c:crosses val="autoZero"/>
        <c:auto val="1"/>
        <c:lblAlgn val="ctr"/>
        <c:lblOffset val="100"/>
        <c:noMultiLvlLbl val="0"/>
      </c:catAx>
      <c:valAx>
        <c:axId val="144237696"/>
        <c:scaling>
          <c:orientation val="minMax"/>
        </c:scaling>
        <c:delete val="1"/>
        <c:axPos val="l"/>
        <c:numFmt formatCode="General" sourceLinked="1"/>
        <c:majorTickMark val="none"/>
        <c:minorTickMark val="none"/>
        <c:tickLblPos val="nextTo"/>
        <c:crossAx val="144219520"/>
        <c:crosses val="autoZero"/>
        <c:crossBetween val="between"/>
      </c:valAx>
      <c:spPr>
        <a:noFill/>
        <a:ln>
          <a:noFill/>
        </a:ln>
        <a:effectLst/>
      </c:spPr>
    </c:plotArea>
    <c:legend>
      <c:legendPos val="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Over</a:t>
            </a:r>
            <a:r>
              <a:rPr lang="en-ZA" baseline="0"/>
              <a:t> Inspections</a:t>
            </a:r>
            <a:endParaRPr lang="en-ZA"/>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2.4362565130149581E-2"/>
          <c:y val="0.17890160183066378"/>
          <c:w val="0.75100204411662652"/>
          <c:h val="0.67380637488963768"/>
        </c:manualLayout>
      </c:layout>
      <c:barChart>
        <c:barDir val="col"/>
        <c:grouping val="clustered"/>
        <c:varyColors val="0"/>
        <c:ser>
          <c:idx val="0"/>
          <c:order val="0"/>
          <c:tx>
            <c:strRef>
              <c:f>'[2]04 Dec 2025'!$C$107</c:f>
              <c:strCache>
                <c:ptCount val="1"/>
                <c:pt idx="0">
                  <c:v>Planned Over-Inspections</c:v>
                </c:pt>
              </c:strCache>
            </c:strRef>
          </c:tx>
          <c:spPr>
            <a:solidFill>
              <a:schemeClr val="accent1"/>
            </a:solidFill>
            <a:ln>
              <a:noFill/>
            </a:ln>
            <a:effectLst/>
          </c:spPr>
          <c:invertIfNegative val="0"/>
          <c:cat>
            <c:strRef>
              <c:f>'[2]04 Dec 2025'!$B$108:$B$115</c:f>
              <c:strCache>
                <c:ptCount val="8"/>
                <c:pt idx="0">
                  <c:v>UTILITY FOREMAN</c:v>
                </c:pt>
                <c:pt idx="1">
                  <c:v>MECHANIC FOREMAN</c:v>
                </c:pt>
                <c:pt idx="2">
                  <c:v>DRILLS FOREMAN</c:v>
                </c:pt>
                <c:pt idx="3">
                  <c:v>Engineer</c:v>
                </c:pt>
                <c:pt idx="4">
                  <c:v>Electrical Foreman</c:v>
                </c:pt>
                <c:pt idx="5">
                  <c:v>Plant Foreman</c:v>
                </c:pt>
                <c:pt idx="6">
                  <c:v>GES Plant</c:v>
                </c:pt>
                <c:pt idx="7">
                  <c:v>GES TMM</c:v>
                </c:pt>
              </c:strCache>
            </c:strRef>
          </c:cat>
          <c:val>
            <c:numRef>
              <c:f>'[2]04 Dec 2025'!$C$108:$C$115</c:f>
              <c:numCache>
                <c:formatCode>General</c:formatCode>
                <c:ptCount val="8"/>
                <c:pt idx="0">
                  <c:v>4</c:v>
                </c:pt>
                <c:pt idx="1">
                  <c:v>5</c:v>
                </c:pt>
                <c:pt idx="2">
                  <c:v>6</c:v>
                </c:pt>
                <c:pt idx="3">
                  <c:v>1</c:v>
                </c:pt>
                <c:pt idx="4">
                  <c:v>4</c:v>
                </c:pt>
                <c:pt idx="5">
                  <c:v>4</c:v>
                </c:pt>
                <c:pt idx="6">
                  <c:v>1</c:v>
                </c:pt>
                <c:pt idx="7">
                  <c:v>1</c:v>
                </c:pt>
              </c:numCache>
            </c:numRef>
          </c:val>
          <c:extLst>
            <c:ext xmlns:c16="http://schemas.microsoft.com/office/drawing/2014/chart" uri="{C3380CC4-5D6E-409C-BE32-E72D297353CC}">
              <c16:uniqueId val="{00000000-A820-4516-B65D-6D9F7418D5BE}"/>
            </c:ext>
          </c:extLst>
        </c:ser>
        <c:ser>
          <c:idx val="1"/>
          <c:order val="1"/>
          <c:tx>
            <c:strRef>
              <c:f>'[2]04 Dec 2025'!$D$107</c:f>
              <c:strCache>
                <c:ptCount val="1"/>
                <c:pt idx="0">
                  <c:v>Total Number of Inspections Completed</c:v>
                </c:pt>
              </c:strCache>
            </c:strRef>
          </c:tx>
          <c:spPr>
            <a:solidFill>
              <a:schemeClr val="accent2"/>
            </a:solidFill>
            <a:ln>
              <a:noFill/>
            </a:ln>
            <a:effectLst/>
          </c:spPr>
          <c:invertIfNegative val="0"/>
          <c:cat>
            <c:strRef>
              <c:f>'[2]04 Dec 2025'!$B$108:$B$115</c:f>
              <c:strCache>
                <c:ptCount val="8"/>
                <c:pt idx="0">
                  <c:v>UTILITY FOREMAN</c:v>
                </c:pt>
                <c:pt idx="1">
                  <c:v>MECHANIC FOREMAN</c:v>
                </c:pt>
                <c:pt idx="2">
                  <c:v>DRILLS FOREMAN</c:v>
                </c:pt>
                <c:pt idx="3">
                  <c:v>Engineer</c:v>
                </c:pt>
                <c:pt idx="4">
                  <c:v>Electrical Foreman</c:v>
                </c:pt>
                <c:pt idx="5">
                  <c:v>Plant Foreman</c:v>
                </c:pt>
                <c:pt idx="6">
                  <c:v>GES Plant</c:v>
                </c:pt>
                <c:pt idx="7">
                  <c:v>GES TMM</c:v>
                </c:pt>
              </c:strCache>
            </c:strRef>
          </c:cat>
          <c:val>
            <c:numRef>
              <c:f>'[2]04 Dec 2025'!$D$108:$D$115</c:f>
              <c:numCache>
                <c:formatCode>General</c:formatCode>
                <c:ptCount val="8"/>
                <c:pt idx="0">
                  <c:v>4</c:v>
                </c:pt>
                <c:pt idx="1">
                  <c:v>5</c:v>
                </c:pt>
                <c:pt idx="2">
                  <c:v>6</c:v>
                </c:pt>
                <c:pt idx="3">
                  <c:v>1</c:v>
                </c:pt>
                <c:pt idx="4">
                  <c:v>4</c:v>
                </c:pt>
                <c:pt idx="5">
                  <c:v>4</c:v>
                </c:pt>
                <c:pt idx="6">
                  <c:v>1</c:v>
                </c:pt>
                <c:pt idx="7">
                  <c:v>1</c:v>
                </c:pt>
              </c:numCache>
            </c:numRef>
          </c:val>
          <c:extLst>
            <c:ext xmlns:c16="http://schemas.microsoft.com/office/drawing/2014/chart" uri="{C3380CC4-5D6E-409C-BE32-E72D297353CC}">
              <c16:uniqueId val="{00000001-A820-4516-B65D-6D9F7418D5BE}"/>
            </c:ext>
          </c:extLst>
        </c:ser>
        <c:ser>
          <c:idx val="2"/>
          <c:order val="2"/>
          <c:tx>
            <c:strRef>
              <c:f>'[2]04 Dec 2025'!$E$107</c:f>
              <c:strCache>
                <c:ptCount val="1"/>
                <c:pt idx="0">
                  <c:v>Corrective Work</c:v>
                </c:pt>
              </c:strCache>
            </c:strRef>
          </c:tx>
          <c:spPr>
            <a:solidFill>
              <a:schemeClr val="accent3"/>
            </a:solidFill>
            <a:ln>
              <a:noFill/>
            </a:ln>
            <a:effectLst/>
          </c:spPr>
          <c:invertIfNegative val="0"/>
          <c:cat>
            <c:strRef>
              <c:f>'[2]04 Dec 2025'!$B$108:$B$115</c:f>
              <c:strCache>
                <c:ptCount val="8"/>
                <c:pt idx="0">
                  <c:v>UTILITY FOREMAN</c:v>
                </c:pt>
                <c:pt idx="1">
                  <c:v>MECHANIC FOREMAN</c:v>
                </c:pt>
                <c:pt idx="2">
                  <c:v>DRILLS FOREMAN</c:v>
                </c:pt>
                <c:pt idx="3">
                  <c:v>Engineer</c:v>
                </c:pt>
                <c:pt idx="4">
                  <c:v>Electrical Foreman</c:v>
                </c:pt>
                <c:pt idx="5">
                  <c:v>Plant Foreman</c:v>
                </c:pt>
                <c:pt idx="6">
                  <c:v>GES Plant</c:v>
                </c:pt>
                <c:pt idx="7">
                  <c:v>GES TMM</c:v>
                </c:pt>
              </c:strCache>
            </c:strRef>
          </c:cat>
          <c:val>
            <c:numRef>
              <c:f>'[2]04 Dec 2025'!$E$108:$E$115</c:f>
              <c:numCache>
                <c:formatCode>General</c:formatCode>
                <c:ptCount val="8"/>
              </c:numCache>
            </c:numRef>
          </c:val>
          <c:extLst>
            <c:ext xmlns:c16="http://schemas.microsoft.com/office/drawing/2014/chart" uri="{C3380CC4-5D6E-409C-BE32-E72D297353CC}">
              <c16:uniqueId val="{00000002-A820-4516-B65D-6D9F7418D5BE}"/>
            </c:ext>
          </c:extLst>
        </c:ser>
        <c:dLbls>
          <c:showLegendKey val="0"/>
          <c:showVal val="0"/>
          <c:showCatName val="0"/>
          <c:showSerName val="0"/>
          <c:showPercent val="0"/>
          <c:showBubbleSize val="0"/>
        </c:dLbls>
        <c:gapWidth val="150"/>
        <c:axId val="144013568"/>
        <c:axId val="144015360"/>
      </c:barChart>
      <c:catAx>
        <c:axId val="144013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015360"/>
        <c:crosses val="autoZero"/>
        <c:auto val="1"/>
        <c:lblAlgn val="ctr"/>
        <c:lblOffset val="100"/>
        <c:noMultiLvlLbl val="0"/>
      </c:catAx>
      <c:valAx>
        <c:axId val="144015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01356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65" cy="172227"/>
    <xdr:sp macro="" textlink="">
      <xdr:nvSpPr>
        <xdr:cNvPr id="9" name="TextBox 8">
          <a:extLst>
            <a:ext uri="{FF2B5EF4-FFF2-40B4-BE49-F238E27FC236}">
              <a16:creationId xmlns:a16="http://schemas.microsoft.com/office/drawing/2014/main" id="{00000000-0008-0000-0000-000003000000}"/>
            </a:ext>
          </a:extLst>
        </xdr:cNvPr>
        <xdr:cNvSpPr txBox="1"/>
      </xdr:nvSpPr>
      <xdr:spPr>
        <a:xfrm>
          <a:off x="8321040" y="3557968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0</xdr:row>
      <xdr:rowOff>0</xdr:rowOff>
    </xdr:from>
    <xdr:ext cx="65" cy="172227"/>
    <xdr:sp macro="" textlink="">
      <xdr:nvSpPr>
        <xdr:cNvPr id="19" name="TextBox 18">
          <a:extLst>
            <a:ext uri="{FF2B5EF4-FFF2-40B4-BE49-F238E27FC236}">
              <a16:creationId xmlns:a16="http://schemas.microsoft.com/office/drawing/2014/main" id="{00000000-0008-0000-0000-000003000000}"/>
            </a:ext>
          </a:extLst>
        </xdr:cNvPr>
        <xdr:cNvSpPr txBox="1"/>
      </xdr:nvSpPr>
      <xdr:spPr>
        <a:xfrm>
          <a:off x="8983980" y="3541204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0</xdr:row>
      <xdr:rowOff>0</xdr:rowOff>
    </xdr:from>
    <xdr:ext cx="65" cy="172227"/>
    <xdr:sp macro="" textlink="">
      <xdr:nvSpPr>
        <xdr:cNvPr id="11" name="TextBox 10">
          <a:extLst>
            <a:ext uri="{FF2B5EF4-FFF2-40B4-BE49-F238E27FC236}">
              <a16:creationId xmlns:a16="http://schemas.microsoft.com/office/drawing/2014/main" id="{00000000-0008-0000-0000-000003000000}"/>
            </a:ext>
          </a:extLst>
        </xdr:cNvPr>
        <xdr:cNvSpPr txBox="1"/>
      </xdr:nvSpPr>
      <xdr:spPr>
        <a:xfrm>
          <a:off x="8983980" y="3542728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0</xdr:row>
      <xdr:rowOff>0</xdr:rowOff>
    </xdr:from>
    <xdr:ext cx="65" cy="172227"/>
    <xdr:sp macro="" textlink="">
      <xdr:nvSpPr>
        <xdr:cNvPr id="14" name="TextBox 13">
          <a:extLst>
            <a:ext uri="{FF2B5EF4-FFF2-40B4-BE49-F238E27FC236}">
              <a16:creationId xmlns:a16="http://schemas.microsoft.com/office/drawing/2014/main" id="{00000000-0008-0000-0000-000003000000}"/>
            </a:ext>
          </a:extLst>
        </xdr:cNvPr>
        <xdr:cNvSpPr txBox="1"/>
      </xdr:nvSpPr>
      <xdr:spPr>
        <a:xfrm>
          <a:off x="8983980" y="3538918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0</xdr:row>
      <xdr:rowOff>0</xdr:rowOff>
    </xdr:from>
    <xdr:ext cx="65" cy="172227"/>
    <xdr:sp macro="" textlink="">
      <xdr:nvSpPr>
        <xdr:cNvPr id="25" name="TextBox 24">
          <a:extLst>
            <a:ext uri="{FF2B5EF4-FFF2-40B4-BE49-F238E27FC236}">
              <a16:creationId xmlns:a16="http://schemas.microsoft.com/office/drawing/2014/main" id="{00000000-0008-0000-0000-000003000000}"/>
            </a:ext>
          </a:extLst>
        </xdr:cNvPr>
        <xdr:cNvSpPr txBox="1"/>
      </xdr:nvSpPr>
      <xdr:spPr>
        <a:xfrm>
          <a:off x="8983980" y="3538918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0</xdr:row>
      <xdr:rowOff>0</xdr:rowOff>
    </xdr:from>
    <xdr:ext cx="65" cy="172227"/>
    <xdr:sp macro="" textlink="">
      <xdr:nvSpPr>
        <xdr:cNvPr id="35" name="TextBox 34">
          <a:extLst>
            <a:ext uri="{FF2B5EF4-FFF2-40B4-BE49-F238E27FC236}">
              <a16:creationId xmlns:a16="http://schemas.microsoft.com/office/drawing/2014/main" id="{00000000-0008-0000-0000-000003000000}"/>
            </a:ext>
          </a:extLst>
        </xdr:cNvPr>
        <xdr:cNvSpPr txBox="1"/>
      </xdr:nvSpPr>
      <xdr:spPr>
        <a:xfrm>
          <a:off x="8983980" y="3538918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0</xdr:row>
      <xdr:rowOff>0</xdr:rowOff>
    </xdr:from>
    <xdr:ext cx="65" cy="172227"/>
    <xdr:sp macro="" textlink="">
      <xdr:nvSpPr>
        <xdr:cNvPr id="18" name="TextBox 17">
          <a:extLst>
            <a:ext uri="{FF2B5EF4-FFF2-40B4-BE49-F238E27FC236}">
              <a16:creationId xmlns:a16="http://schemas.microsoft.com/office/drawing/2014/main" id="{00000000-0008-0000-0000-000003000000}"/>
            </a:ext>
          </a:extLst>
        </xdr:cNvPr>
        <xdr:cNvSpPr txBox="1"/>
      </xdr:nvSpPr>
      <xdr:spPr>
        <a:xfrm>
          <a:off x="8983980" y="3539680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0</xdr:row>
      <xdr:rowOff>0</xdr:rowOff>
    </xdr:from>
    <xdr:ext cx="65" cy="172227"/>
    <xdr:sp macro="" textlink="">
      <xdr:nvSpPr>
        <xdr:cNvPr id="30" name="TextBox 29">
          <a:extLst>
            <a:ext uri="{FF2B5EF4-FFF2-40B4-BE49-F238E27FC236}">
              <a16:creationId xmlns:a16="http://schemas.microsoft.com/office/drawing/2014/main" id="{00000000-0008-0000-0000-000003000000}"/>
            </a:ext>
          </a:extLst>
        </xdr:cNvPr>
        <xdr:cNvSpPr txBox="1"/>
      </xdr:nvSpPr>
      <xdr:spPr>
        <a:xfrm>
          <a:off x="8983980" y="3539680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0</xdr:row>
      <xdr:rowOff>0</xdr:rowOff>
    </xdr:from>
    <xdr:ext cx="65" cy="172227"/>
    <xdr:sp macro="" textlink="">
      <xdr:nvSpPr>
        <xdr:cNvPr id="40" name="TextBox 39">
          <a:extLst>
            <a:ext uri="{FF2B5EF4-FFF2-40B4-BE49-F238E27FC236}">
              <a16:creationId xmlns:a16="http://schemas.microsoft.com/office/drawing/2014/main" id="{00000000-0008-0000-0000-000003000000}"/>
            </a:ext>
          </a:extLst>
        </xdr:cNvPr>
        <xdr:cNvSpPr txBox="1"/>
      </xdr:nvSpPr>
      <xdr:spPr>
        <a:xfrm>
          <a:off x="8983980" y="3538918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0</xdr:row>
      <xdr:rowOff>0</xdr:rowOff>
    </xdr:from>
    <xdr:ext cx="65" cy="172227"/>
    <xdr:sp macro="" textlink="">
      <xdr:nvSpPr>
        <xdr:cNvPr id="28" name="TextBox 27">
          <a:extLst>
            <a:ext uri="{FF2B5EF4-FFF2-40B4-BE49-F238E27FC236}">
              <a16:creationId xmlns:a16="http://schemas.microsoft.com/office/drawing/2014/main" id="{00000000-0008-0000-0000-000003000000}"/>
            </a:ext>
          </a:extLst>
        </xdr:cNvPr>
        <xdr:cNvSpPr txBox="1"/>
      </xdr:nvSpPr>
      <xdr:spPr>
        <a:xfrm>
          <a:off x="8983980" y="3538918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0</xdr:row>
      <xdr:rowOff>0</xdr:rowOff>
    </xdr:from>
    <xdr:ext cx="65" cy="172227"/>
    <xdr:sp macro="" textlink="">
      <xdr:nvSpPr>
        <xdr:cNvPr id="24" name="TextBox 23">
          <a:extLst>
            <a:ext uri="{FF2B5EF4-FFF2-40B4-BE49-F238E27FC236}">
              <a16:creationId xmlns:a16="http://schemas.microsoft.com/office/drawing/2014/main" id="{00000000-0008-0000-0000-000003000000}"/>
            </a:ext>
          </a:extLst>
        </xdr:cNvPr>
        <xdr:cNvSpPr txBox="1"/>
      </xdr:nvSpPr>
      <xdr:spPr>
        <a:xfrm>
          <a:off x="8983980" y="3538918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0</xdr:row>
      <xdr:rowOff>0</xdr:rowOff>
    </xdr:from>
    <xdr:ext cx="65" cy="172227"/>
    <xdr:sp macro="" textlink="">
      <xdr:nvSpPr>
        <xdr:cNvPr id="32" name="TextBox 31">
          <a:extLst>
            <a:ext uri="{FF2B5EF4-FFF2-40B4-BE49-F238E27FC236}">
              <a16:creationId xmlns:a16="http://schemas.microsoft.com/office/drawing/2014/main" id="{00000000-0008-0000-0000-000003000000}"/>
            </a:ext>
          </a:extLst>
        </xdr:cNvPr>
        <xdr:cNvSpPr txBox="1"/>
      </xdr:nvSpPr>
      <xdr:spPr>
        <a:xfrm>
          <a:off x="8983980" y="3538918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0</xdr:row>
      <xdr:rowOff>0</xdr:rowOff>
    </xdr:from>
    <xdr:ext cx="65" cy="172227"/>
    <xdr:sp macro="" textlink="">
      <xdr:nvSpPr>
        <xdr:cNvPr id="26" name="TextBox 25">
          <a:extLst>
            <a:ext uri="{FF2B5EF4-FFF2-40B4-BE49-F238E27FC236}">
              <a16:creationId xmlns:a16="http://schemas.microsoft.com/office/drawing/2014/main" id="{00000000-0008-0000-0000-000003000000}"/>
            </a:ext>
          </a:extLst>
        </xdr:cNvPr>
        <xdr:cNvSpPr txBox="1"/>
      </xdr:nvSpPr>
      <xdr:spPr>
        <a:xfrm>
          <a:off x="8983980" y="340156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0</xdr:row>
      <xdr:rowOff>0</xdr:rowOff>
    </xdr:from>
    <xdr:ext cx="65" cy="172227"/>
    <xdr:sp macro="" textlink="">
      <xdr:nvSpPr>
        <xdr:cNvPr id="27" name="TextBox 26">
          <a:extLst>
            <a:ext uri="{FF2B5EF4-FFF2-40B4-BE49-F238E27FC236}">
              <a16:creationId xmlns:a16="http://schemas.microsoft.com/office/drawing/2014/main" id="{00000000-0008-0000-0000-000003000000}"/>
            </a:ext>
          </a:extLst>
        </xdr:cNvPr>
        <xdr:cNvSpPr txBox="1"/>
      </xdr:nvSpPr>
      <xdr:spPr>
        <a:xfrm>
          <a:off x="8983980" y="33825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0</xdr:row>
      <xdr:rowOff>0</xdr:rowOff>
    </xdr:from>
    <xdr:ext cx="65" cy="172227"/>
    <xdr:sp macro="" textlink="">
      <xdr:nvSpPr>
        <xdr:cNvPr id="31" name="TextBox 30">
          <a:extLst>
            <a:ext uri="{FF2B5EF4-FFF2-40B4-BE49-F238E27FC236}">
              <a16:creationId xmlns:a16="http://schemas.microsoft.com/office/drawing/2014/main" id="{00000000-0008-0000-0000-000003000000}"/>
            </a:ext>
          </a:extLst>
        </xdr:cNvPr>
        <xdr:cNvSpPr txBox="1"/>
      </xdr:nvSpPr>
      <xdr:spPr>
        <a:xfrm>
          <a:off x="8983980" y="337870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0</xdr:row>
      <xdr:rowOff>0</xdr:rowOff>
    </xdr:from>
    <xdr:ext cx="65" cy="219852"/>
    <xdr:sp macro="" textlink="">
      <xdr:nvSpPr>
        <xdr:cNvPr id="44" name="TextBox 43"/>
        <xdr:cNvSpPr txBox="1"/>
      </xdr:nvSpPr>
      <xdr:spPr>
        <a:xfrm>
          <a:off x="8983980" y="33726120"/>
          <a:ext cx="65" cy="219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0</xdr:row>
      <xdr:rowOff>0</xdr:rowOff>
    </xdr:from>
    <xdr:ext cx="65" cy="172227"/>
    <xdr:sp macro="" textlink="">
      <xdr:nvSpPr>
        <xdr:cNvPr id="51" name="TextBox 50">
          <a:extLst>
            <a:ext uri="{FF2B5EF4-FFF2-40B4-BE49-F238E27FC236}">
              <a16:creationId xmlns:a16="http://schemas.microsoft.com/office/drawing/2014/main" id="{00000000-0008-0000-0000-000003000000}"/>
            </a:ext>
          </a:extLst>
        </xdr:cNvPr>
        <xdr:cNvSpPr txBox="1"/>
      </xdr:nvSpPr>
      <xdr:spPr>
        <a:xfrm>
          <a:off x="8983980" y="337870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0</xdr:row>
      <xdr:rowOff>0</xdr:rowOff>
    </xdr:from>
    <xdr:ext cx="65" cy="172227"/>
    <xdr:sp macro="" textlink="">
      <xdr:nvSpPr>
        <xdr:cNvPr id="45" name="TextBox 44">
          <a:extLst>
            <a:ext uri="{FF2B5EF4-FFF2-40B4-BE49-F238E27FC236}">
              <a16:creationId xmlns:a16="http://schemas.microsoft.com/office/drawing/2014/main" id="{00000000-0008-0000-0000-000003000000}"/>
            </a:ext>
          </a:extLst>
        </xdr:cNvPr>
        <xdr:cNvSpPr txBox="1"/>
      </xdr:nvSpPr>
      <xdr:spPr>
        <a:xfrm>
          <a:off x="8983980" y="339699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0</xdr:row>
      <xdr:rowOff>0</xdr:rowOff>
    </xdr:from>
    <xdr:ext cx="65" cy="172227"/>
    <xdr:sp macro="" textlink="">
      <xdr:nvSpPr>
        <xdr:cNvPr id="36" name="TextBox 35">
          <a:extLst>
            <a:ext uri="{FF2B5EF4-FFF2-40B4-BE49-F238E27FC236}">
              <a16:creationId xmlns:a16="http://schemas.microsoft.com/office/drawing/2014/main" id="{00000000-0008-0000-0000-000003000000}"/>
            </a:ext>
          </a:extLst>
        </xdr:cNvPr>
        <xdr:cNvSpPr txBox="1"/>
      </xdr:nvSpPr>
      <xdr:spPr>
        <a:xfrm>
          <a:off x="8983980" y="335584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0</xdr:row>
      <xdr:rowOff>0</xdr:rowOff>
    </xdr:from>
    <xdr:ext cx="65" cy="172227"/>
    <xdr:sp macro="" textlink="">
      <xdr:nvSpPr>
        <xdr:cNvPr id="49" name="TextBox 48">
          <a:extLst>
            <a:ext uri="{FF2B5EF4-FFF2-40B4-BE49-F238E27FC236}">
              <a16:creationId xmlns:a16="http://schemas.microsoft.com/office/drawing/2014/main" id="{00000000-0008-0000-0000-000003000000}"/>
            </a:ext>
          </a:extLst>
        </xdr:cNvPr>
        <xdr:cNvSpPr txBox="1"/>
      </xdr:nvSpPr>
      <xdr:spPr>
        <a:xfrm>
          <a:off x="8983980" y="335584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89</xdr:row>
      <xdr:rowOff>47625</xdr:rowOff>
    </xdr:from>
    <xdr:ext cx="65" cy="172227"/>
    <xdr:sp macro="" textlink="">
      <xdr:nvSpPr>
        <xdr:cNvPr id="56" name="TextBox 55">
          <a:extLst>
            <a:ext uri="{FF2B5EF4-FFF2-40B4-BE49-F238E27FC236}">
              <a16:creationId xmlns:a16="http://schemas.microsoft.com/office/drawing/2014/main" id="{00000000-0008-0000-0000-000003000000}"/>
            </a:ext>
          </a:extLst>
        </xdr:cNvPr>
        <xdr:cNvSpPr txBox="1"/>
      </xdr:nvSpPr>
      <xdr:spPr>
        <a:xfrm>
          <a:off x="8983980" y="335584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89</xdr:row>
      <xdr:rowOff>47625</xdr:rowOff>
    </xdr:from>
    <xdr:ext cx="65" cy="172227"/>
    <xdr:sp macro="" textlink="">
      <xdr:nvSpPr>
        <xdr:cNvPr id="41" name="TextBox 40">
          <a:extLst>
            <a:ext uri="{FF2B5EF4-FFF2-40B4-BE49-F238E27FC236}">
              <a16:creationId xmlns:a16="http://schemas.microsoft.com/office/drawing/2014/main" id="{00000000-0008-0000-0000-000003000000}"/>
            </a:ext>
          </a:extLst>
        </xdr:cNvPr>
        <xdr:cNvSpPr txBox="1"/>
      </xdr:nvSpPr>
      <xdr:spPr>
        <a:xfrm>
          <a:off x="898398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82</xdr:row>
      <xdr:rowOff>0</xdr:rowOff>
    </xdr:from>
    <xdr:ext cx="65" cy="172227"/>
    <xdr:sp macro="" textlink="">
      <xdr:nvSpPr>
        <xdr:cNvPr id="37" name="TextBox 36"/>
        <xdr:cNvSpPr txBox="1"/>
      </xdr:nvSpPr>
      <xdr:spPr>
        <a:xfrm>
          <a:off x="8267700" y="331012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82</xdr:row>
      <xdr:rowOff>0</xdr:rowOff>
    </xdr:from>
    <xdr:ext cx="65" cy="172227"/>
    <xdr:sp macro="" textlink="">
      <xdr:nvSpPr>
        <xdr:cNvPr id="39" name="TextBox 38">
          <a:extLst>
            <a:ext uri="{FF2B5EF4-FFF2-40B4-BE49-F238E27FC236}">
              <a16:creationId xmlns:a16="http://schemas.microsoft.com/office/drawing/2014/main" id="{00000000-0008-0000-0000-000007000000}"/>
            </a:ext>
          </a:extLst>
        </xdr:cNvPr>
        <xdr:cNvSpPr txBox="1"/>
      </xdr:nvSpPr>
      <xdr:spPr>
        <a:xfrm>
          <a:off x="8267700" y="329793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81</xdr:row>
      <xdr:rowOff>0</xdr:rowOff>
    </xdr:from>
    <xdr:ext cx="65" cy="172227"/>
    <xdr:sp macro="" textlink="">
      <xdr:nvSpPr>
        <xdr:cNvPr id="42" name="TextBox 41">
          <a:extLst>
            <a:ext uri="{FF2B5EF4-FFF2-40B4-BE49-F238E27FC236}">
              <a16:creationId xmlns:a16="http://schemas.microsoft.com/office/drawing/2014/main" id="{00000000-0008-0000-0000-000007000000}"/>
            </a:ext>
          </a:extLst>
        </xdr:cNvPr>
        <xdr:cNvSpPr txBox="1"/>
      </xdr:nvSpPr>
      <xdr:spPr>
        <a:xfrm>
          <a:off x="8267700" y="32636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82</xdr:row>
      <xdr:rowOff>0</xdr:rowOff>
    </xdr:from>
    <xdr:ext cx="65" cy="172227"/>
    <xdr:sp macro="" textlink="">
      <xdr:nvSpPr>
        <xdr:cNvPr id="48" name="TextBox 47">
          <a:extLst>
            <a:ext uri="{FF2B5EF4-FFF2-40B4-BE49-F238E27FC236}">
              <a16:creationId xmlns:a16="http://schemas.microsoft.com/office/drawing/2014/main" id="{00000000-0008-0000-0000-000007000000}"/>
            </a:ext>
          </a:extLst>
        </xdr:cNvPr>
        <xdr:cNvSpPr txBox="1"/>
      </xdr:nvSpPr>
      <xdr:spPr>
        <a:xfrm>
          <a:off x="8267700" y="32834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81</xdr:row>
      <xdr:rowOff>0</xdr:rowOff>
    </xdr:from>
    <xdr:ext cx="65" cy="172227"/>
    <xdr:sp macro="" textlink="">
      <xdr:nvSpPr>
        <xdr:cNvPr id="54" name="TextBox 53">
          <a:extLst>
            <a:ext uri="{FF2B5EF4-FFF2-40B4-BE49-F238E27FC236}">
              <a16:creationId xmlns:a16="http://schemas.microsoft.com/office/drawing/2014/main" id="{00000000-0008-0000-0000-000007000000}"/>
            </a:ext>
          </a:extLst>
        </xdr:cNvPr>
        <xdr:cNvSpPr txBox="1"/>
      </xdr:nvSpPr>
      <xdr:spPr>
        <a:xfrm>
          <a:off x="8267700" y="32636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82</xdr:row>
      <xdr:rowOff>0</xdr:rowOff>
    </xdr:from>
    <xdr:ext cx="65" cy="172227"/>
    <xdr:sp macro="" textlink="">
      <xdr:nvSpPr>
        <xdr:cNvPr id="59" name="TextBox 58">
          <a:extLst>
            <a:ext uri="{FF2B5EF4-FFF2-40B4-BE49-F238E27FC236}">
              <a16:creationId xmlns:a16="http://schemas.microsoft.com/office/drawing/2014/main" id="{00000000-0008-0000-0000-000007000000}"/>
            </a:ext>
          </a:extLst>
        </xdr:cNvPr>
        <xdr:cNvSpPr txBox="1"/>
      </xdr:nvSpPr>
      <xdr:spPr>
        <a:xfrm>
          <a:off x="8267700" y="32834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82</xdr:row>
      <xdr:rowOff>0</xdr:rowOff>
    </xdr:from>
    <xdr:ext cx="35523" cy="172227"/>
    <xdr:sp macro="" textlink="">
      <xdr:nvSpPr>
        <xdr:cNvPr id="47" name="TextBox 46">
          <a:extLst>
            <a:ext uri="{FF2B5EF4-FFF2-40B4-BE49-F238E27FC236}">
              <a16:creationId xmlns:a16="http://schemas.microsoft.com/office/drawing/2014/main" id="{00000000-0008-0000-0000-000007000000}"/>
            </a:ext>
          </a:extLst>
        </xdr:cNvPr>
        <xdr:cNvSpPr txBox="1"/>
      </xdr:nvSpPr>
      <xdr:spPr>
        <a:xfrm>
          <a:off x="0" y="18228733"/>
          <a:ext cx="35523"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ZA" sz="1100" b="0" i="0" u="none" strike="noStrike">
              <a:solidFill>
                <a:schemeClr val="tx1"/>
              </a:solidFill>
              <a:effectLst/>
              <a:latin typeface="+mn-lt"/>
              <a:ea typeface="+mn-ea"/>
              <a:cs typeface="+mn-cs"/>
            </a:rPr>
            <a:t>I</a:t>
          </a:r>
          <a:endParaRPr lang="en-ZA" sz="1100"/>
        </a:p>
      </xdr:txBody>
    </xdr:sp>
    <xdr:clientData/>
  </xdr:oneCellAnchor>
  <xdr:oneCellAnchor>
    <xdr:from>
      <xdr:col>0</xdr:col>
      <xdr:colOff>0</xdr:colOff>
      <xdr:row>83</xdr:row>
      <xdr:rowOff>0</xdr:rowOff>
    </xdr:from>
    <xdr:ext cx="65" cy="172227"/>
    <xdr:sp macro="" textlink="">
      <xdr:nvSpPr>
        <xdr:cNvPr id="63" name="TextBox 62">
          <a:extLst>
            <a:ext uri="{FF2B5EF4-FFF2-40B4-BE49-F238E27FC236}">
              <a16:creationId xmlns:a16="http://schemas.microsoft.com/office/drawing/2014/main" id="{00000000-0008-0000-0000-000007000000}"/>
            </a:ext>
          </a:extLst>
        </xdr:cNvPr>
        <xdr:cNvSpPr txBox="1"/>
      </xdr:nvSpPr>
      <xdr:spPr>
        <a:xfrm>
          <a:off x="8267700" y="33032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82</xdr:row>
      <xdr:rowOff>0</xdr:rowOff>
    </xdr:from>
    <xdr:ext cx="65" cy="172227"/>
    <xdr:sp macro="" textlink="">
      <xdr:nvSpPr>
        <xdr:cNvPr id="55" name="TextBox 54">
          <a:extLst>
            <a:ext uri="{FF2B5EF4-FFF2-40B4-BE49-F238E27FC236}">
              <a16:creationId xmlns:a16="http://schemas.microsoft.com/office/drawing/2014/main" id="{00000000-0008-0000-0000-000007000000}"/>
            </a:ext>
          </a:extLst>
        </xdr:cNvPr>
        <xdr:cNvSpPr txBox="1"/>
      </xdr:nvSpPr>
      <xdr:spPr>
        <a:xfrm>
          <a:off x="8267700" y="33017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82</xdr:row>
      <xdr:rowOff>0</xdr:rowOff>
    </xdr:from>
    <xdr:ext cx="65" cy="172227"/>
    <xdr:sp macro="" textlink="">
      <xdr:nvSpPr>
        <xdr:cNvPr id="64" name="TextBox 63">
          <a:extLst>
            <a:ext uri="{FF2B5EF4-FFF2-40B4-BE49-F238E27FC236}">
              <a16:creationId xmlns:a16="http://schemas.microsoft.com/office/drawing/2014/main" id="{00000000-0008-0000-0000-000007000000}"/>
            </a:ext>
          </a:extLst>
        </xdr:cNvPr>
        <xdr:cNvSpPr txBox="1"/>
      </xdr:nvSpPr>
      <xdr:spPr>
        <a:xfrm>
          <a:off x="8267700" y="33017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83</xdr:row>
      <xdr:rowOff>0</xdr:rowOff>
    </xdr:from>
    <xdr:ext cx="65" cy="172227"/>
    <xdr:sp macro="" textlink="">
      <xdr:nvSpPr>
        <xdr:cNvPr id="65" name="TextBox 64">
          <a:extLst>
            <a:ext uri="{FF2B5EF4-FFF2-40B4-BE49-F238E27FC236}">
              <a16:creationId xmlns:a16="http://schemas.microsoft.com/office/drawing/2014/main" id="{00000000-0008-0000-0000-000007000000}"/>
            </a:ext>
          </a:extLst>
        </xdr:cNvPr>
        <xdr:cNvSpPr txBox="1"/>
      </xdr:nvSpPr>
      <xdr:spPr>
        <a:xfrm>
          <a:off x="8267700" y="33215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83</xdr:row>
      <xdr:rowOff>0</xdr:rowOff>
    </xdr:from>
    <xdr:ext cx="65" cy="172227"/>
    <xdr:sp macro="" textlink="">
      <xdr:nvSpPr>
        <xdr:cNvPr id="66" name="TextBox 65">
          <a:extLst>
            <a:ext uri="{FF2B5EF4-FFF2-40B4-BE49-F238E27FC236}">
              <a16:creationId xmlns:a16="http://schemas.microsoft.com/office/drawing/2014/main" id="{00000000-0008-0000-0000-000007000000}"/>
            </a:ext>
          </a:extLst>
        </xdr:cNvPr>
        <xdr:cNvSpPr txBox="1"/>
      </xdr:nvSpPr>
      <xdr:spPr>
        <a:xfrm>
          <a:off x="8267700" y="33215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84</xdr:row>
      <xdr:rowOff>0</xdr:rowOff>
    </xdr:from>
    <xdr:ext cx="65" cy="172227"/>
    <xdr:sp macro="" textlink="">
      <xdr:nvSpPr>
        <xdr:cNvPr id="67" name="TextBox 66">
          <a:extLst>
            <a:ext uri="{FF2B5EF4-FFF2-40B4-BE49-F238E27FC236}">
              <a16:creationId xmlns:a16="http://schemas.microsoft.com/office/drawing/2014/main" id="{00000000-0008-0000-0000-000007000000}"/>
            </a:ext>
          </a:extLst>
        </xdr:cNvPr>
        <xdr:cNvSpPr txBox="1"/>
      </xdr:nvSpPr>
      <xdr:spPr>
        <a:xfrm>
          <a:off x="8267700" y="33413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84</xdr:row>
      <xdr:rowOff>0</xdr:rowOff>
    </xdr:from>
    <xdr:ext cx="65" cy="172227"/>
    <xdr:sp macro="" textlink="">
      <xdr:nvSpPr>
        <xdr:cNvPr id="68" name="TextBox 67">
          <a:extLst>
            <a:ext uri="{FF2B5EF4-FFF2-40B4-BE49-F238E27FC236}">
              <a16:creationId xmlns:a16="http://schemas.microsoft.com/office/drawing/2014/main" id="{00000000-0008-0000-0000-000007000000}"/>
            </a:ext>
          </a:extLst>
        </xdr:cNvPr>
        <xdr:cNvSpPr txBox="1"/>
      </xdr:nvSpPr>
      <xdr:spPr>
        <a:xfrm>
          <a:off x="8267700" y="33413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69" name="TextBox 68">
          <a:extLst>
            <a:ext uri="{FF2B5EF4-FFF2-40B4-BE49-F238E27FC236}">
              <a16:creationId xmlns:a16="http://schemas.microsoft.com/office/drawing/2014/main" id="{00000000-0008-0000-0000-000007000000}"/>
            </a:ext>
          </a:extLst>
        </xdr:cNvPr>
        <xdr:cNvSpPr txBox="1"/>
      </xdr:nvSpPr>
      <xdr:spPr>
        <a:xfrm>
          <a:off x="8267700" y="33611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70" name="TextBox 69">
          <a:extLst>
            <a:ext uri="{FF2B5EF4-FFF2-40B4-BE49-F238E27FC236}">
              <a16:creationId xmlns:a16="http://schemas.microsoft.com/office/drawing/2014/main" id="{00000000-0008-0000-0000-000007000000}"/>
            </a:ext>
          </a:extLst>
        </xdr:cNvPr>
        <xdr:cNvSpPr txBox="1"/>
      </xdr:nvSpPr>
      <xdr:spPr>
        <a:xfrm>
          <a:off x="8267700" y="33611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71" name="TextBox 70">
          <a:extLst>
            <a:ext uri="{FF2B5EF4-FFF2-40B4-BE49-F238E27FC236}">
              <a16:creationId xmlns:a16="http://schemas.microsoft.com/office/drawing/2014/main" id="{00000000-0008-0000-0000-000007000000}"/>
            </a:ext>
          </a:extLst>
        </xdr:cNvPr>
        <xdr:cNvSpPr txBox="1"/>
      </xdr:nvSpPr>
      <xdr:spPr>
        <a:xfrm>
          <a:off x="8267700" y="33809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72" name="TextBox 71">
          <a:extLst>
            <a:ext uri="{FF2B5EF4-FFF2-40B4-BE49-F238E27FC236}">
              <a16:creationId xmlns:a16="http://schemas.microsoft.com/office/drawing/2014/main" id="{00000000-0008-0000-0000-000007000000}"/>
            </a:ext>
          </a:extLst>
        </xdr:cNvPr>
        <xdr:cNvSpPr txBox="1"/>
      </xdr:nvSpPr>
      <xdr:spPr>
        <a:xfrm>
          <a:off x="8267700" y="33809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73" name="TextBox 72">
          <a:extLst>
            <a:ext uri="{FF2B5EF4-FFF2-40B4-BE49-F238E27FC236}">
              <a16:creationId xmlns:a16="http://schemas.microsoft.com/office/drawing/2014/main" id="{00000000-0008-0000-0000-000007000000}"/>
            </a:ext>
          </a:extLst>
        </xdr:cNvPr>
        <xdr:cNvSpPr txBox="1"/>
      </xdr:nvSpPr>
      <xdr:spPr>
        <a:xfrm>
          <a:off x="8267700" y="34008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74" name="TextBox 73">
          <a:extLst>
            <a:ext uri="{FF2B5EF4-FFF2-40B4-BE49-F238E27FC236}">
              <a16:creationId xmlns:a16="http://schemas.microsoft.com/office/drawing/2014/main" id="{00000000-0008-0000-0000-000007000000}"/>
            </a:ext>
          </a:extLst>
        </xdr:cNvPr>
        <xdr:cNvSpPr txBox="1"/>
      </xdr:nvSpPr>
      <xdr:spPr>
        <a:xfrm>
          <a:off x="8267700" y="34008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88</xdr:row>
      <xdr:rowOff>0</xdr:rowOff>
    </xdr:from>
    <xdr:ext cx="65" cy="172227"/>
    <xdr:sp macro="" textlink="">
      <xdr:nvSpPr>
        <xdr:cNvPr id="75" name="TextBox 74">
          <a:extLst>
            <a:ext uri="{FF2B5EF4-FFF2-40B4-BE49-F238E27FC236}">
              <a16:creationId xmlns:a16="http://schemas.microsoft.com/office/drawing/2014/main" id="{00000000-0008-0000-0000-000007000000}"/>
            </a:ext>
          </a:extLst>
        </xdr:cNvPr>
        <xdr:cNvSpPr txBox="1"/>
      </xdr:nvSpPr>
      <xdr:spPr>
        <a:xfrm>
          <a:off x="8267700" y="3419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88</xdr:row>
      <xdr:rowOff>0</xdr:rowOff>
    </xdr:from>
    <xdr:ext cx="65" cy="172227"/>
    <xdr:sp macro="" textlink="">
      <xdr:nvSpPr>
        <xdr:cNvPr id="76" name="TextBox 75">
          <a:extLst>
            <a:ext uri="{FF2B5EF4-FFF2-40B4-BE49-F238E27FC236}">
              <a16:creationId xmlns:a16="http://schemas.microsoft.com/office/drawing/2014/main" id="{00000000-0008-0000-0000-000007000000}"/>
            </a:ext>
          </a:extLst>
        </xdr:cNvPr>
        <xdr:cNvSpPr txBox="1"/>
      </xdr:nvSpPr>
      <xdr:spPr>
        <a:xfrm>
          <a:off x="8267700" y="3419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89</xdr:row>
      <xdr:rowOff>0</xdr:rowOff>
    </xdr:from>
    <xdr:ext cx="65" cy="172227"/>
    <xdr:sp macro="" textlink="">
      <xdr:nvSpPr>
        <xdr:cNvPr id="77" name="TextBox 76">
          <a:extLst>
            <a:ext uri="{FF2B5EF4-FFF2-40B4-BE49-F238E27FC236}">
              <a16:creationId xmlns:a16="http://schemas.microsoft.com/office/drawing/2014/main" id="{00000000-0008-0000-0000-000007000000}"/>
            </a:ext>
          </a:extLst>
        </xdr:cNvPr>
        <xdr:cNvSpPr txBox="1"/>
      </xdr:nvSpPr>
      <xdr:spPr>
        <a:xfrm>
          <a:off x="8267700" y="34373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89</xdr:row>
      <xdr:rowOff>0</xdr:rowOff>
    </xdr:from>
    <xdr:ext cx="65" cy="172227"/>
    <xdr:sp macro="" textlink="">
      <xdr:nvSpPr>
        <xdr:cNvPr id="78" name="TextBox 77">
          <a:extLst>
            <a:ext uri="{FF2B5EF4-FFF2-40B4-BE49-F238E27FC236}">
              <a16:creationId xmlns:a16="http://schemas.microsoft.com/office/drawing/2014/main" id="{00000000-0008-0000-0000-000007000000}"/>
            </a:ext>
          </a:extLst>
        </xdr:cNvPr>
        <xdr:cNvSpPr txBox="1"/>
      </xdr:nvSpPr>
      <xdr:spPr>
        <a:xfrm>
          <a:off x="8267700" y="34373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90</xdr:row>
      <xdr:rowOff>0</xdr:rowOff>
    </xdr:from>
    <xdr:ext cx="65" cy="172227"/>
    <xdr:sp macro="" textlink="">
      <xdr:nvSpPr>
        <xdr:cNvPr id="79" name="TextBox 78">
          <a:extLst>
            <a:ext uri="{FF2B5EF4-FFF2-40B4-BE49-F238E27FC236}">
              <a16:creationId xmlns:a16="http://schemas.microsoft.com/office/drawing/2014/main" id="{00000000-0008-0000-0000-000007000000}"/>
            </a:ext>
          </a:extLst>
        </xdr:cNvPr>
        <xdr:cNvSpPr txBox="1"/>
      </xdr:nvSpPr>
      <xdr:spPr>
        <a:xfrm>
          <a:off x="8267700" y="34556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90</xdr:row>
      <xdr:rowOff>0</xdr:rowOff>
    </xdr:from>
    <xdr:ext cx="65" cy="172227"/>
    <xdr:sp macro="" textlink="">
      <xdr:nvSpPr>
        <xdr:cNvPr id="80" name="TextBox 79">
          <a:extLst>
            <a:ext uri="{FF2B5EF4-FFF2-40B4-BE49-F238E27FC236}">
              <a16:creationId xmlns:a16="http://schemas.microsoft.com/office/drawing/2014/main" id="{00000000-0008-0000-0000-000007000000}"/>
            </a:ext>
          </a:extLst>
        </xdr:cNvPr>
        <xdr:cNvSpPr txBox="1"/>
      </xdr:nvSpPr>
      <xdr:spPr>
        <a:xfrm>
          <a:off x="8267700" y="34556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91</xdr:row>
      <xdr:rowOff>0</xdr:rowOff>
    </xdr:from>
    <xdr:ext cx="65" cy="172227"/>
    <xdr:sp macro="" textlink="">
      <xdr:nvSpPr>
        <xdr:cNvPr id="81" name="TextBox 80">
          <a:extLst>
            <a:ext uri="{FF2B5EF4-FFF2-40B4-BE49-F238E27FC236}">
              <a16:creationId xmlns:a16="http://schemas.microsoft.com/office/drawing/2014/main" id="{00000000-0008-0000-0000-000007000000}"/>
            </a:ext>
          </a:extLst>
        </xdr:cNvPr>
        <xdr:cNvSpPr txBox="1"/>
      </xdr:nvSpPr>
      <xdr:spPr>
        <a:xfrm>
          <a:off x="8267700" y="34739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91</xdr:row>
      <xdr:rowOff>0</xdr:rowOff>
    </xdr:from>
    <xdr:ext cx="65" cy="172227"/>
    <xdr:sp macro="" textlink="">
      <xdr:nvSpPr>
        <xdr:cNvPr id="82" name="TextBox 81">
          <a:extLst>
            <a:ext uri="{FF2B5EF4-FFF2-40B4-BE49-F238E27FC236}">
              <a16:creationId xmlns:a16="http://schemas.microsoft.com/office/drawing/2014/main" id="{00000000-0008-0000-0000-000007000000}"/>
            </a:ext>
          </a:extLst>
        </xdr:cNvPr>
        <xdr:cNvSpPr txBox="1"/>
      </xdr:nvSpPr>
      <xdr:spPr>
        <a:xfrm>
          <a:off x="8267700" y="34739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97</xdr:row>
      <xdr:rowOff>0</xdr:rowOff>
    </xdr:from>
    <xdr:ext cx="65" cy="172227"/>
    <xdr:sp macro="" textlink="">
      <xdr:nvSpPr>
        <xdr:cNvPr id="83" name="TextBox 82">
          <a:extLst>
            <a:ext uri="{FF2B5EF4-FFF2-40B4-BE49-F238E27FC236}">
              <a16:creationId xmlns:a16="http://schemas.microsoft.com/office/drawing/2014/main" id="{00000000-0008-0000-0000-000007000000}"/>
            </a:ext>
          </a:extLst>
        </xdr:cNvPr>
        <xdr:cNvSpPr txBox="1"/>
      </xdr:nvSpPr>
      <xdr:spPr>
        <a:xfrm>
          <a:off x="8267700" y="35836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97</xdr:row>
      <xdr:rowOff>0</xdr:rowOff>
    </xdr:from>
    <xdr:ext cx="65" cy="172227"/>
    <xdr:sp macro="" textlink="">
      <xdr:nvSpPr>
        <xdr:cNvPr id="84" name="TextBox 83">
          <a:extLst>
            <a:ext uri="{FF2B5EF4-FFF2-40B4-BE49-F238E27FC236}">
              <a16:creationId xmlns:a16="http://schemas.microsoft.com/office/drawing/2014/main" id="{00000000-0008-0000-0000-000007000000}"/>
            </a:ext>
          </a:extLst>
        </xdr:cNvPr>
        <xdr:cNvSpPr txBox="1"/>
      </xdr:nvSpPr>
      <xdr:spPr>
        <a:xfrm>
          <a:off x="8267700" y="35836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98</xdr:row>
      <xdr:rowOff>0</xdr:rowOff>
    </xdr:from>
    <xdr:ext cx="65" cy="172227"/>
    <xdr:sp macro="" textlink="">
      <xdr:nvSpPr>
        <xdr:cNvPr id="85" name="TextBox 84">
          <a:extLst>
            <a:ext uri="{FF2B5EF4-FFF2-40B4-BE49-F238E27FC236}">
              <a16:creationId xmlns:a16="http://schemas.microsoft.com/office/drawing/2014/main" id="{00000000-0008-0000-0000-000007000000}"/>
            </a:ext>
          </a:extLst>
        </xdr:cNvPr>
        <xdr:cNvSpPr txBox="1"/>
      </xdr:nvSpPr>
      <xdr:spPr>
        <a:xfrm>
          <a:off x="8267700" y="36019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98</xdr:row>
      <xdr:rowOff>0</xdr:rowOff>
    </xdr:from>
    <xdr:ext cx="65" cy="172227"/>
    <xdr:sp macro="" textlink="">
      <xdr:nvSpPr>
        <xdr:cNvPr id="86" name="TextBox 85">
          <a:extLst>
            <a:ext uri="{FF2B5EF4-FFF2-40B4-BE49-F238E27FC236}">
              <a16:creationId xmlns:a16="http://schemas.microsoft.com/office/drawing/2014/main" id="{00000000-0008-0000-0000-000007000000}"/>
            </a:ext>
          </a:extLst>
        </xdr:cNvPr>
        <xdr:cNvSpPr txBox="1"/>
      </xdr:nvSpPr>
      <xdr:spPr>
        <a:xfrm>
          <a:off x="8267700" y="36019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99</xdr:row>
      <xdr:rowOff>0</xdr:rowOff>
    </xdr:from>
    <xdr:ext cx="65" cy="172227"/>
    <xdr:sp macro="" textlink="">
      <xdr:nvSpPr>
        <xdr:cNvPr id="87" name="TextBox 86">
          <a:extLst>
            <a:ext uri="{FF2B5EF4-FFF2-40B4-BE49-F238E27FC236}">
              <a16:creationId xmlns:a16="http://schemas.microsoft.com/office/drawing/2014/main" id="{00000000-0008-0000-0000-000007000000}"/>
            </a:ext>
          </a:extLst>
        </xdr:cNvPr>
        <xdr:cNvSpPr txBox="1"/>
      </xdr:nvSpPr>
      <xdr:spPr>
        <a:xfrm>
          <a:off x="8267700" y="36202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99</xdr:row>
      <xdr:rowOff>0</xdr:rowOff>
    </xdr:from>
    <xdr:ext cx="65" cy="172227"/>
    <xdr:sp macro="" textlink="">
      <xdr:nvSpPr>
        <xdr:cNvPr id="88" name="TextBox 87">
          <a:extLst>
            <a:ext uri="{FF2B5EF4-FFF2-40B4-BE49-F238E27FC236}">
              <a16:creationId xmlns:a16="http://schemas.microsoft.com/office/drawing/2014/main" id="{00000000-0008-0000-0000-000007000000}"/>
            </a:ext>
          </a:extLst>
        </xdr:cNvPr>
        <xdr:cNvSpPr txBox="1"/>
      </xdr:nvSpPr>
      <xdr:spPr>
        <a:xfrm>
          <a:off x="8267700" y="36202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100</xdr:row>
      <xdr:rowOff>0</xdr:rowOff>
    </xdr:from>
    <xdr:ext cx="65" cy="172227"/>
    <xdr:sp macro="" textlink="">
      <xdr:nvSpPr>
        <xdr:cNvPr id="89" name="TextBox 88">
          <a:extLst>
            <a:ext uri="{FF2B5EF4-FFF2-40B4-BE49-F238E27FC236}">
              <a16:creationId xmlns:a16="http://schemas.microsoft.com/office/drawing/2014/main" id="{00000000-0008-0000-0000-000007000000}"/>
            </a:ext>
          </a:extLst>
        </xdr:cNvPr>
        <xdr:cNvSpPr txBox="1"/>
      </xdr:nvSpPr>
      <xdr:spPr>
        <a:xfrm>
          <a:off x="826770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100</xdr:row>
      <xdr:rowOff>0</xdr:rowOff>
    </xdr:from>
    <xdr:ext cx="65" cy="172227"/>
    <xdr:sp macro="" textlink="">
      <xdr:nvSpPr>
        <xdr:cNvPr id="90" name="TextBox 89">
          <a:extLst>
            <a:ext uri="{FF2B5EF4-FFF2-40B4-BE49-F238E27FC236}">
              <a16:creationId xmlns:a16="http://schemas.microsoft.com/office/drawing/2014/main" id="{00000000-0008-0000-0000-000007000000}"/>
            </a:ext>
          </a:extLst>
        </xdr:cNvPr>
        <xdr:cNvSpPr txBox="1"/>
      </xdr:nvSpPr>
      <xdr:spPr>
        <a:xfrm>
          <a:off x="826770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101</xdr:row>
      <xdr:rowOff>0</xdr:rowOff>
    </xdr:from>
    <xdr:ext cx="65" cy="172227"/>
    <xdr:sp macro="" textlink="">
      <xdr:nvSpPr>
        <xdr:cNvPr id="91" name="TextBox 90">
          <a:extLst>
            <a:ext uri="{FF2B5EF4-FFF2-40B4-BE49-F238E27FC236}">
              <a16:creationId xmlns:a16="http://schemas.microsoft.com/office/drawing/2014/main" id="{00000000-0008-0000-0000-000007000000}"/>
            </a:ext>
          </a:extLst>
        </xdr:cNvPr>
        <xdr:cNvSpPr txBox="1"/>
      </xdr:nvSpPr>
      <xdr:spPr>
        <a:xfrm>
          <a:off x="8267700" y="36568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101</xdr:row>
      <xdr:rowOff>0</xdr:rowOff>
    </xdr:from>
    <xdr:ext cx="65" cy="172227"/>
    <xdr:sp macro="" textlink="">
      <xdr:nvSpPr>
        <xdr:cNvPr id="92" name="TextBox 91">
          <a:extLst>
            <a:ext uri="{FF2B5EF4-FFF2-40B4-BE49-F238E27FC236}">
              <a16:creationId xmlns:a16="http://schemas.microsoft.com/office/drawing/2014/main" id="{00000000-0008-0000-0000-000007000000}"/>
            </a:ext>
          </a:extLst>
        </xdr:cNvPr>
        <xdr:cNvSpPr txBox="1"/>
      </xdr:nvSpPr>
      <xdr:spPr>
        <a:xfrm>
          <a:off x="8267700" y="36568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107</xdr:row>
      <xdr:rowOff>0</xdr:rowOff>
    </xdr:from>
    <xdr:ext cx="65" cy="172227"/>
    <xdr:sp macro="" textlink="">
      <xdr:nvSpPr>
        <xdr:cNvPr id="93" name="TextBox 92">
          <a:extLst>
            <a:ext uri="{FF2B5EF4-FFF2-40B4-BE49-F238E27FC236}">
              <a16:creationId xmlns:a16="http://schemas.microsoft.com/office/drawing/2014/main" id="{00000000-0008-0000-0000-000007000000}"/>
            </a:ext>
          </a:extLst>
        </xdr:cNvPr>
        <xdr:cNvSpPr txBox="1"/>
      </xdr:nvSpPr>
      <xdr:spPr>
        <a:xfrm>
          <a:off x="8267700" y="37665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107</xdr:row>
      <xdr:rowOff>0</xdr:rowOff>
    </xdr:from>
    <xdr:ext cx="65" cy="172227"/>
    <xdr:sp macro="" textlink="">
      <xdr:nvSpPr>
        <xdr:cNvPr id="94" name="TextBox 93">
          <a:extLst>
            <a:ext uri="{FF2B5EF4-FFF2-40B4-BE49-F238E27FC236}">
              <a16:creationId xmlns:a16="http://schemas.microsoft.com/office/drawing/2014/main" id="{00000000-0008-0000-0000-000007000000}"/>
            </a:ext>
          </a:extLst>
        </xdr:cNvPr>
        <xdr:cNvSpPr txBox="1"/>
      </xdr:nvSpPr>
      <xdr:spPr>
        <a:xfrm>
          <a:off x="8267700" y="37665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108</xdr:row>
      <xdr:rowOff>0</xdr:rowOff>
    </xdr:from>
    <xdr:ext cx="65" cy="172227"/>
    <xdr:sp macro="" textlink="">
      <xdr:nvSpPr>
        <xdr:cNvPr id="95" name="TextBox 94">
          <a:extLst>
            <a:ext uri="{FF2B5EF4-FFF2-40B4-BE49-F238E27FC236}">
              <a16:creationId xmlns:a16="http://schemas.microsoft.com/office/drawing/2014/main" id="{00000000-0008-0000-0000-000007000000}"/>
            </a:ext>
          </a:extLst>
        </xdr:cNvPr>
        <xdr:cNvSpPr txBox="1"/>
      </xdr:nvSpPr>
      <xdr:spPr>
        <a:xfrm>
          <a:off x="8267700" y="3784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108</xdr:row>
      <xdr:rowOff>0</xdr:rowOff>
    </xdr:from>
    <xdr:ext cx="65" cy="172227"/>
    <xdr:sp macro="" textlink="">
      <xdr:nvSpPr>
        <xdr:cNvPr id="96" name="TextBox 95">
          <a:extLst>
            <a:ext uri="{FF2B5EF4-FFF2-40B4-BE49-F238E27FC236}">
              <a16:creationId xmlns:a16="http://schemas.microsoft.com/office/drawing/2014/main" id="{00000000-0008-0000-0000-000007000000}"/>
            </a:ext>
          </a:extLst>
        </xdr:cNvPr>
        <xdr:cNvSpPr txBox="1"/>
      </xdr:nvSpPr>
      <xdr:spPr>
        <a:xfrm>
          <a:off x="8267700" y="3784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109</xdr:row>
      <xdr:rowOff>0</xdr:rowOff>
    </xdr:from>
    <xdr:ext cx="65" cy="172227"/>
    <xdr:sp macro="" textlink="">
      <xdr:nvSpPr>
        <xdr:cNvPr id="97" name="TextBox 96">
          <a:extLst>
            <a:ext uri="{FF2B5EF4-FFF2-40B4-BE49-F238E27FC236}">
              <a16:creationId xmlns:a16="http://schemas.microsoft.com/office/drawing/2014/main" id="{00000000-0008-0000-0000-000007000000}"/>
            </a:ext>
          </a:extLst>
        </xdr:cNvPr>
        <xdr:cNvSpPr txBox="1"/>
      </xdr:nvSpPr>
      <xdr:spPr>
        <a:xfrm>
          <a:off x="8267700" y="38031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109</xdr:row>
      <xdr:rowOff>0</xdr:rowOff>
    </xdr:from>
    <xdr:ext cx="65" cy="172227"/>
    <xdr:sp macro="" textlink="">
      <xdr:nvSpPr>
        <xdr:cNvPr id="98" name="TextBox 97">
          <a:extLst>
            <a:ext uri="{FF2B5EF4-FFF2-40B4-BE49-F238E27FC236}">
              <a16:creationId xmlns:a16="http://schemas.microsoft.com/office/drawing/2014/main" id="{00000000-0008-0000-0000-000007000000}"/>
            </a:ext>
          </a:extLst>
        </xdr:cNvPr>
        <xdr:cNvSpPr txBox="1"/>
      </xdr:nvSpPr>
      <xdr:spPr>
        <a:xfrm>
          <a:off x="8267700" y="38031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110</xdr:row>
      <xdr:rowOff>0</xdr:rowOff>
    </xdr:from>
    <xdr:ext cx="65" cy="172227"/>
    <xdr:sp macro="" textlink="">
      <xdr:nvSpPr>
        <xdr:cNvPr id="99" name="TextBox 98">
          <a:extLst>
            <a:ext uri="{FF2B5EF4-FFF2-40B4-BE49-F238E27FC236}">
              <a16:creationId xmlns:a16="http://schemas.microsoft.com/office/drawing/2014/main" id="{00000000-0008-0000-0000-000007000000}"/>
            </a:ext>
          </a:extLst>
        </xdr:cNvPr>
        <xdr:cNvSpPr txBox="1"/>
      </xdr:nvSpPr>
      <xdr:spPr>
        <a:xfrm>
          <a:off x="8267700" y="38214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110</xdr:row>
      <xdr:rowOff>0</xdr:rowOff>
    </xdr:from>
    <xdr:ext cx="65" cy="172227"/>
    <xdr:sp macro="" textlink="">
      <xdr:nvSpPr>
        <xdr:cNvPr id="100" name="TextBox 99">
          <a:extLst>
            <a:ext uri="{FF2B5EF4-FFF2-40B4-BE49-F238E27FC236}">
              <a16:creationId xmlns:a16="http://schemas.microsoft.com/office/drawing/2014/main" id="{00000000-0008-0000-0000-000007000000}"/>
            </a:ext>
          </a:extLst>
        </xdr:cNvPr>
        <xdr:cNvSpPr txBox="1"/>
      </xdr:nvSpPr>
      <xdr:spPr>
        <a:xfrm>
          <a:off x="8267700" y="38214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111</xdr:row>
      <xdr:rowOff>0</xdr:rowOff>
    </xdr:from>
    <xdr:ext cx="65" cy="172227"/>
    <xdr:sp macro="" textlink="">
      <xdr:nvSpPr>
        <xdr:cNvPr id="101" name="TextBox 100">
          <a:extLst>
            <a:ext uri="{FF2B5EF4-FFF2-40B4-BE49-F238E27FC236}">
              <a16:creationId xmlns:a16="http://schemas.microsoft.com/office/drawing/2014/main" id="{00000000-0008-0000-0000-000007000000}"/>
            </a:ext>
          </a:extLst>
        </xdr:cNvPr>
        <xdr:cNvSpPr txBox="1"/>
      </xdr:nvSpPr>
      <xdr:spPr>
        <a:xfrm>
          <a:off x="8267700" y="38397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111</xdr:row>
      <xdr:rowOff>0</xdr:rowOff>
    </xdr:from>
    <xdr:ext cx="65" cy="172227"/>
    <xdr:sp macro="" textlink="">
      <xdr:nvSpPr>
        <xdr:cNvPr id="102" name="TextBox 101">
          <a:extLst>
            <a:ext uri="{FF2B5EF4-FFF2-40B4-BE49-F238E27FC236}">
              <a16:creationId xmlns:a16="http://schemas.microsoft.com/office/drawing/2014/main" id="{00000000-0008-0000-0000-000007000000}"/>
            </a:ext>
          </a:extLst>
        </xdr:cNvPr>
        <xdr:cNvSpPr txBox="1"/>
      </xdr:nvSpPr>
      <xdr:spPr>
        <a:xfrm>
          <a:off x="8267700" y="38397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117</xdr:row>
      <xdr:rowOff>0</xdr:rowOff>
    </xdr:from>
    <xdr:ext cx="65" cy="172227"/>
    <xdr:sp macro="" textlink="">
      <xdr:nvSpPr>
        <xdr:cNvPr id="103" name="TextBox 102">
          <a:extLst>
            <a:ext uri="{FF2B5EF4-FFF2-40B4-BE49-F238E27FC236}">
              <a16:creationId xmlns:a16="http://schemas.microsoft.com/office/drawing/2014/main" id="{00000000-0008-0000-0000-000007000000}"/>
            </a:ext>
          </a:extLst>
        </xdr:cNvPr>
        <xdr:cNvSpPr txBox="1"/>
      </xdr:nvSpPr>
      <xdr:spPr>
        <a:xfrm>
          <a:off x="8267700" y="39494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117</xdr:row>
      <xdr:rowOff>0</xdr:rowOff>
    </xdr:from>
    <xdr:ext cx="65" cy="172227"/>
    <xdr:sp macro="" textlink="">
      <xdr:nvSpPr>
        <xdr:cNvPr id="104" name="TextBox 103">
          <a:extLst>
            <a:ext uri="{FF2B5EF4-FFF2-40B4-BE49-F238E27FC236}">
              <a16:creationId xmlns:a16="http://schemas.microsoft.com/office/drawing/2014/main" id="{00000000-0008-0000-0000-000007000000}"/>
            </a:ext>
          </a:extLst>
        </xdr:cNvPr>
        <xdr:cNvSpPr txBox="1"/>
      </xdr:nvSpPr>
      <xdr:spPr>
        <a:xfrm>
          <a:off x="8267700" y="39494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118</xdr:row>
      <xdr:rowOff>0</xdr:rowOff>
    </xdr:from>
    <xdr:ext cx="65" cy="172227"/>
    <xdr:sp macro="" textlink="">
      <xdr:nvSpPr>
        <xdr:cNvPr id="105" name="TextBox 104">
          <a:extLst>
            <a:ext uri="{FF2B5EF4-FFF2-40B4-BE49-F238E27FC236}">
              <a16:creationId xmlns:a16="http://schemas.microsoft.com/office/drawing/2014/main" id="{00000000-0008-0000-0000-000007000000}"/>
            </a:ext>
          </a:extLst>
        </xdr:cNvPr>
        <xdr:cNvSpPr txBox="1"/>
      </xdr:nvSpPr>
      <xdr:spPr>
        <a:xfrm>
          <a:off x="8267700" y="39677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118</xdr:row>
      <xdr:rowOff>0</xdr:rowOff>
    </xdr:from>
    <xdr:ext cx="65" cy="172227"/>
    <xdr:sp macro="" textlink="">
      <xdr:nvSpPr>
        <xdr:cNvPr id="106" name="TextBox 105">
          <a:extLst>
            <a:ext uri="{FF2B5EF4-FFF2-40B4-BE49-F238E27FC236}">
              <a16:creationId xmlns:a16="http://schemas.microsoft.com/office/drawing/2014/main" id="{00000000-0008-0000-0000-000007000000}"/>
            </a:ext>
          </a:extLst>
        </xdr:cNvPr>
        <xdr:cNvSpPr txBox="1"/>
      </xdr:nvSpPr>
      <xdr:spPr>
        <a:xfrm>
          <a:off x="8267700" y="39677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119</xdr:row>
      <xdr:rowOff>0</xdr:rowOff>
    </xdr:from>
    <xdr:ext cx="65" cy="172227"/>
    <xdr:sp macro="" textlink="">
      <xdr:nvSpPr>
        <xdr:cNvPr id="107" name="TextBox 106">
          <a:extLst>
            <a:ext uri="{FF2B5EF4-FFF2-40B4-BE49-F238E27FC236}">
              <a16:creationId xmlns:a16="http://schemas.microsoft.com/office/drawing/2014/main" id="{00000000-0008-0000-0000-000007000000}"/>
            </a:ext>
          </a:extLst>
        </xdr:cNvPr>
        <xdr:cNvSpPr txBox="1"/>
      </xdr:nvSpPr>
      <xdr:spPr>
        <a:xfrm>
          <a:off x="8267700" y="39860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119</xdr:row>
      <xdr:rowOff>0</xdr:rowOff>
    </xdr:from>
    <xdr:ext cx="65" cy="172227"/>
    <xdr:sp macro="" textlink="">
      <xdr:nvSpPr>
        <xdr:cNvPr id="108" name="TextBox 107">
          <a:extLst>
            <a:ext uri="{FF2B5EF4-FFF2-40B4-BE49-F238E27FC236}">
              <a16:creationId xmlns:a16="http://schemas.microsoft.com/office/drawing/2014/main" id="{00000000-0008-0000-0000-000007000000}"/>
            </a:ext>
          </a:extLst>
        </xdr:cNvPr>
        <xdr:cNvSpPr txBox="1"/>
      </xdr:nvSpPr>
      <xdr:spPr>
        <a:xfrm>
          <a:off x="8267700" y="39860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120</xdr:row>
      <xdr:rowOff>0</xdr:rowOff>
    </xdr:from>
    <xdr:ext cx="65" cy="172227"/>
    <xdr:sp macro="" textlink="">
      <xdr:nvSpPr>
        <xdr:cNvPr id="109" name="TextBox 108">
          <a:extLst>
            <a:ext uri="{FF2B5EF4-FFF2-40B4-BE49-F238E27FC236}">
              <a16:creationId xmlns:a16="http://schemas.microsoft.com/office/drawing/2014/main" id="{00000000-0008-0000-0000-000007000000}"/>
            </a:ext>
          </a:extLst>
        </xdr:cNvPr>
        <xdr:cNvSpPr txBox="1"/>
      </xdr:nvSpPr>
      <xdr:spPr>
        <a:xfrm>
          <a:off x="8267700" y="40043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120</xdr:row>
      <xdr:rowOff>0</xdr:rowOff>
    </xdr:from>
    <xdr:ext cx="65" cy="172227"/>
    <xdr:sp macro="" textlink="">
      <xdr:nvSpPr>
        <xdr:cNvPr id="110" name="TextBox 109">
          <a:extLst>
            <a:ext uri="{FF2B5EF4-FFF2-40B4-BE49-F238E27FC236}">
              <a16:creationId xmlns:a16="http://schemas.microsoft.com/office/drawing/2014/main" id="{00000000-0008-0000-0000-000007000000}"/>
            </a:ext>
          </a:extLst>
        </xdr:cNvPr>
        <xdr:cNvSpPr txBox="1"/>
      </xdr:nvSpPr>
      <xdr:spPr>
        <a:xfrm>
          <a:off x="8267700" y="40043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121</xdr:row>
      <xdr:rowOff>0</xdr:rowOff>
    </xdr:from>
    <xdr:ext cx="65" cy="172227"/>
    <xdr:sp macro="" textlink="">
      <xdr:nvSpPr>
        <xdr:cNvPr id="111" name="TextBox 110">
          <a:extLst>
            <a:ext uri="{FF2B5EF4-FFF2-40B4-BE49-F238E27FC236}">
              <a16:creationId xmlns:a16="http://schemas.microsoft.com/office/drawing/2014/main" id="{00000000-0008-0000-0000-000007000000}"/>
            </a:ext>
          </a:extLst>
        </xdr:cNvPr>
        <xdr:cNvSpPr txBox="1"/>
      </xdr:nvSpPr>
      <xdr:spPr>
        <a:xfrm>
          <a:off x="8267700" y="40225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121</xdr:row>
      <xdr:rowOff>0</xdr:rowOff>
    </xdr:from>
    <xdr:ext cx="65" cy="172227"/>
    <xdr:sp macro="" textlink="">
      <xdr:nvSpPr>
        <xdr:cNvPr id="112" name="TextBox 111">
          <a:extLst>
            <a:ext uri="{FF2B5EF4-FFF2-40B4-BE49-F238E27FC236}">
              <a16:creationId xmlns:a16="http://schemas.microsoft.com/office/drawing/2014/main" id="{00000000-0008-0000-0000-000007000000}"/>
            </a:ext>
          </a:extLst>
        </xdr:cNvPr>
        <xdr:cNvSpPr txBox="1"/>
      </xdr:nvSpPr>
      <xdr:spPr>
        <a:xfrm>
          <a:off x="8267700" y="40225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127</xdr:row>
      <xdr:rowOff>0</xdr:rowOff>
    </xdr:from>
    <xdr:ext cx="65" cy="172227"/>
    <xdr:sp macro="" textlink="">
      <xdr:nvSpPr>
        <xdr:cNvPr id="113" name="TextBox 112">
          <a:extLst>
            <a:ext uri="{FF2B5EF4-FFF2-40B4-BE49-F238E27FC236}">
              <a16:creationId xmlns:a16="http://schemas.microsoft.com/office/drawing/2014/main" id="{00000000-0008-0000-0000-000007000000}"/>
            </a:ext>
          </a:extLst>
        </xdr:cNvPr>
        <xdr:cNvSpPr txBox="1"/>
      </xdr:nvSpPr>
      <xdr:spPr>
        <a:xfrm>
          <a:off x="8267700" y="41323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127</xdr:row>
      <xdr:rowOff>0</xdr:rowOff>
    </xdr:from>
    <xdr:ext cx="65" cy="172227"/>
    <xdr:sp macro="" textlink="">
      <xdr:nvSpPr>
        <xdr:cNvPr id="114" name="TextBox 113">
          <a:extLst>
            <a:ext uri="{FF2B5EF4-FFF2-40B4-BE49-F238E27FC236}">
              <a16:creationId xmlns:a16="http://schemas.microsoft.com/office/drawing/2014/main" id="{00000000-0008-0000-0000-000007000000}"/>
            </a:ext>
          </a:extLst>
        </xdr:cNvPr>
        <xdr:cNvSpPr txBox="1"/>
      </xdr:nvSpPr>
      <xdr:spPr>
        <a:xfrm>
          <a:off x="8267700" y="41323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128</xdr:row>
      <xdr:rowOff>0</xdr:rowOff>
    </xdr:from>
    <xdr:ext cx="65" cy="172227"/>
    <xdr:sp macro="" textlink="">
      <xdr:nvSpPr>
        <xdr:cNvPr id="115" name="TextBox 114">
          <a:extLst>
            <a:ext uri="{FF2B5EF4-FFF2-40B4-BE49-F238E27FC236}">
              <a16:creationId xmlns:a16="http://schemas.microsoft.com/office/drawing/2014/main" id="{00000000-0008-0000-0000-000007000000}"/>
            </a:ext>
          </a:extLst>
        </xdr:cNvPr>
        <xdr:cNvSpPr txBox="1"/>
      </xdr:nvSpPr>
      <xdr:spPr>
        <a:xfrm>
          <a:off x="8267700" y="4150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128</xdr:row>
      <xdr:rowOff>0</xdr:rowOff>
    </xdr:from>
    <xdr:ext cx="65" cy="172227"/>
    <xdr:sp macro="" textlink="">
      <xdr:nvSpPr>
        <xdr:cNvPr id="116" name="TextBox 115">
          <a:extLst>
            <a:ext uri="{FF2B5EF4-FFF2-40B4-BE49-F238E27FC236}">
              <a16:creationId xmlns:a16="http://schemas.microsoft.com/office/drawing/2014/main" id="{00000000-0008-0000-0000-000007000000}"/>
            </a:ext>
          </a:extLst>
        </xdr:cNvPr>
        <xdr:cNvSpPr txBox="1"/>
      </xdr:nvSpPr>
      <xdr:spPr>
        <a:xfrm>
          <a:off x="8267700" y="4150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129</xdr:row>
      <xdr:rowOff>0</xdr:rowOff>
    </xdr:from>
    <xdr:ext cx="65" cy="172227"/>
    <xdr:sp macro="" textlink="">
      <xdr:nvSpPr>
        <xdr:cNvPr id="117" name="TextBox 116">
          <a:extLst>
            <a:ext uri="{FF2B5EF4-FFF2-40B4-BE49-F238E27FC236}">
              <a16:creationId xmlns:a16="http://schemas.microsoft.com/office/drawing/2014/main" id="{00000000-0008-0000-0000-000007000000}"/>
            </a:ext>
          </a:extLst>
        </xdr:cNvPr>
        <xdr:cNvSpPr txBox="1"/>
      </xdr:nvSpPr>
      <xdr:spPr>
        <a:xfrm>
          <a:off x="8267700" y="4168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129</xdr:row>
      <xdr:rowOff>0</xdr:rowOff>
    </xdr:from>
    <xdr:ext cx="65" cy="172227"/>
    <xdr:sp macro="" textlink="">
      <xdr:nvSpPr>
        <xdr:cNvPr id="118" name="TextBox 117">
          <a:extLst>
            <a:ext uri="{FF2B5EF4-FFF2-40B4-BE49-F238E27FC236}">
              <a16:creationId xmlns:a16="http://schemas.microsoft.com/office/drawing/2014/main" id="{00000000-0008-0000-0000-000007000000}"/>
            </a:ext>
          </a:extLst>
        </xdr:cNvPr>
        <xdr:cNvSpPr txBox="1"/>
      </xdr:nvSpPr>
      <xdr:spPr>
        <a:xfrm>
          <a:off x="8267700" y="4168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130</xdr:row>
      <xdr:rowOff>0</xdr:rowOff>
    </xdr:from>
    <xdr:ext cx="65" cy="172227"/>
    <xdr:sp macro="" textlink="">
      <xdr:nvSpPr>
        <xdr:cNvPr id="119" name="TextBox 118">
          <a:extLst>
            <a:ext uri="{FF2B5EF4-FFF2-40B4-BE49-F238E27FC236}">
              <a16:creationId xmlns:a16="http://schemas.microsoft.com/office/drawing/2014/main" id="{00000000-0008-0000-0000-000007000000}"/>
            </a:ext>
          </a:extLst>
        </xdr:cNvPr>
        <xdr:cNvSpPr txBox="1"/>
      </xdr:nvSpPr>
      <xdr:spPr>
        <a:xfrm>
          <a:off x="8267700" y="4187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130</xdr:row>
      <xdr:rowOff>0</xdr:rowOff>
    </xdr:from>
    <xdr:ext cx="65" cy="172227"/>
    <xdr:sp macro="" textlink="">
      <xdr:nvSpPr>
        <xdr:cNvPr id="120" name="TextBox 119">
          <a:extLst>
            <a:ext uri="{FF2B5EF4-FFF2-40B4-BE49-F238E27FC236}">
              <a16:creationId xmlns:a16="http://schemas.microsoft.com/office/drawing/2014/main" id="{00000000-0008-0000-0000-000007000000}"/>
            </a:ext>
          </a:extLst>
        </xdr:cNvPr>
        <xdr:cNvSpPr txBox="1"/>
      </xdr:nvSpPr>
      <xdr:spPr>
        <a:xfrm>
          <a:off x="8267700" y="4187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131</xdr:row>
      <xdr:rowOff>0</xdr:rowOff>
    </xdr:from>
    <xdr:ext cx="65" cy="172227"/>
    <xdr:sp macro="" textlink="">
      <xdr:nvSpPr>
        <xdr:cNvPr id="121" name="TextBox 120">
          <a:extLst>
            <a:ext uri="{FF2B5EF4-FFF2-40B4-BE49-F238E27FC236}">
              <a16:creationId xmlns:a16="http://schemas.microsoft.com/office/drawing/2014/main" id="{00000000-0008-0000-0000-000007000000}"/>
            </a:ext>
          </a:extLst>
        </xdr:cNvPr>
        <xdr:cNvSpPr txBox="1"/>
      </xdr:nvSpPr>
      <xdr:spPr>
        <a:xfrm>
          <a:off x="8267700" y="42054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131</xdr:row>
      <xdr:rowOff>0</xdr:rowOff>
    </xdr:from>
    <xdr:ext cx="65" cy="172227"/>
    <xdr:sp macro="" textlink="">
      <xdr:nvSpPr>
        <xdr:cNvPr id="122" name="TextBox 121">
          <a:extLst>
            <a:ext uri="{FF2B5EF4-FFF2-40B4-BE49-F238E27FC236}">
              <a16:creationId xmlns:a16="http://schemas.microsoft.com/office/drawing/2014/main" id="{00000000-0008-0000-0000-000007000000}"/>
            </a:ext>
          </a:extLst>
        </xdr:cNvPr>
        <xdr:cNvSpPr txBox="1"/>
      </xdr:nvSpPr>
      <xdr:spPr>
        <a:xfrm>
          <a:off x="8267700" y="42054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82</xdr:row>
      <xdr:rowOff>0</xdr:rowOff>
    </xdr:from>
    <xdr:ext cx="65" cy="172227"/>
    <xdr:sp macro="" textlink="">
      <xdr:nvSpPr>
        <xdr:cNvPr id="126" name="TextBox 125">
          <a:extLst>
            <a:ext uri="{FF2B5EF4-FFF2-40B4-BE49-F238E27FC236}">
              <a16:creationId xmlns:a16="http://schemas.microsoft.com/office/drawing/2014/main" id="{00000000-0008-0000-0000-000007000000}"/>
            </a:ext>
          </a:extLst>
        </xdr:cNvPr>
        <xdr:cNvSpPr txBox="1"/>
      </xdr:nvSpPr>
      <xdr:spPr>
        <a:xfrm>
          <a:off x="8267700" y="33017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82</xdr:row>
      <xdr:rowOff>0</xdr:rowOff>
    </xdr:from>
    <xdr:ext cx="65" cy="172227"/>
    <xdr:sp macro="" textlink="">
      <xdr:nvSpPr>
        <xdr:cNvPr id="130" name="TextBox 129">
          <a:extLst>
            <a:ext uri="{FF2B5EF4-FFF2-40B4-BE49-F238E27FC236}">
              <a16:creationId xmlns:a16="http://schemas.microsoft.com/office/drawing/2014/main" id="{00000000-0008-0000-0000-000007000000}"/>
            </a:ext>
          </a:extLst>
        </xdr:cNvPr>
        <xdr:cNvSpPr txBox="1"/>
      </xdr:nvSpPr>
      <xdr:spPr>
        <a:xfrm>
          <a:off x="8267700" y="33017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83</xdr:row>
      <xdr:rowOff>0</xdr:rowOff>
    </xdr:from>
    <xdr:ext cx="65" cy="172227"/>
    <xdr:sp macro="" textlink="">
      <xdr:nvSpPr>
        <xdr:cNvPr id="131" name="TextBox 130">
          <a:extLst>
            <a:ext uri="{FF2B5EF4-FFF2-40B4-BE49-F238E27FC236}">
              <a16:creationId xmlns:a16="http://schemas.microsoft.com/office/drawing/2014/main" id="{00000000-0008-0000-0000-000007000000}"/>
            </a:ext>
          </a:extLst>
        </xdr:cNvPr>
        <xdr:cNvSpPr txBox="1"/>
      </xdr:nvSpPr>
      <xdr:spPr>
        <a:xfrm>
          <a:off x="8267700" y="33215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83</xdr:row>
      <xdr:rowOff>0</xdr:rowOff>
    </xdr:from>
    <xdr:ext cx="65" cy="172227"/>
    <xdr:sp macro="" textlink="">
      <xdr:nvSpPr>
        <xdr:cNvPr id="132" name="TextBox 131">
          <a:extLst>
            <a:ext uri="{FF2B5EF4-FFF2-40B4-BE49-F238E27FC236}">
              <a16:creationId xmlns:a16="http://schemas.microsoft.com/office/drawing/2014/main" id="{00000000-0008-0000-0000-000007000000}"/>
            </a:ext>
          </a:extLst>
        </xdr:cNvPr>
        <xdr:cNvSpPr txBox="1"/>
      </xdr:nvSpPr>
      <xdr:spPr>
        <a:xfrm>
          <a:off x="8267700" y="33215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84</xdr:row>
      <xdr:rowOff>0</xdr:rowOff>
    </xdr:from>
    <xdr:ext cx="65" cy="172227"/>
    <xdr:sp macro="" textlink="">
      <xdr:nvSpPr>
        <xdr:cNvPr id="133" name="TextBox 132">
          <a:extLst>
            <a:ext uri="{FF2B5EF4-FFF2-40B4-BE49-F238E27FC236}">
              <a16:creationId xmlns:a16="http://schemas.microsoft.com/office/drawing/2014/main" id="{00000000-0008-0000-0000-000007000000}"/>
            </a:ext>
          </a:extLst>
        </xdr:cNvPr>
        <xdr:cNvSpPr txBox="1"/>
      </xdr:nvSpPr>
      <xdr:spPr>
        <a:xfrm>
          <a:off x="8267700" y="33413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84</xdr:row>
      <xdr:rowOff>0</xdr:rowOff>
    </xdr:from>
    <xdr:ext cx="65" cy="172227"/>
    <xdr:sp macro="" textlink="">
      <xdr:nvSpPr>
        <xdr:cNvPr id="134" name="TextBox 133">
          <a:extLst>
            <a:ext uri="{FF2B5EF4-FFF2-40B4-BE49-F238E27FC236}">
              <a16:creationId xmlns:a16="http://schemas.microsoft.com/office/drawing/2014/main" id="{00000000-0008-0000-0000-000007000000}"/>
            </a:ext>
          </a:extLst>
        </xdr:cNvPr>
        <xdr:cNvSpPr txBox="1"/>
      </xdr:nvSpPr>
      <xdr:spPr>
        <a:xfrm>
          <a:off x="8267700" y="33413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135" name="TextBox 134">
          <a:extLst>
            <a:ext uri="{FF2B5EF4-FFF2-40B4-BE49-F238E27FC236}">
              <a16:creationId xmlns:a16="http://schemas.microsoft.com/office/drawing/2014/main" id="{00000000-0008-0000-0000-000007000000}"/>
            </a:ext>
          </a:extLst>
        </xdr:cNvPr>
        <xdr:cNvSpPr txBox="1"/>
      </xdr:nvSpPr>
      <xdr:spPr>
        <a:xfrm>
          <a:off x="8267700" y="33611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136" name="TextBox 135">
          <a:extLst>
            <a:ext uri="{FF2B5EF4-FFF2-40B4-BE49-F238E27FC236}">
              <a16:creationId xmlns:a16="http://schemas.microsoft.com/office/drawing/2014/main" id="{00000000-0008-0000-0000-000007000000}"/>
            </a:ext>
          </a:extLst>
        </xdr:cNvPr>
        <xdr:cNvSpPr txBox="1"/>
      </xdr:nvSpPr>
      <xdr:spPr>
        <a:xfrm>
          <a:off x="8267700" y="33611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37" name="TextBox 136">
          <a:extLst>
            <a:ext uri="{FF2B5EF4-FFF2-40B4-BE49-F238E27FC236}">
              <a16:creationId xmlns:a16="http://schemas.microsoft.com/office/drawing/2014/main" id="{00000000-0008-0000-0000-000007000000}"/>
            </a:ext>
          </a:extLst>
        </xdr:cNvPr>
        <xdr:cNvSpPr txBox="1"/>
      </xdr:nvSpPr>
      <xdr:spPr>
        <a:xfrm>
          <a:off x="8267700" y="33809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38" name="TextBox 137">
          <a:extLst>
            <a:ext uri="{FF2B5EF4-FFF2-40B4-BE49-F238E27FC236}">
              <a16:creationId xmlns:a16="http://schemas.microsoft.com/office/drawing/2014/main" id="{00000000-0008-0000-0000-000007000000}"/>
            </a:ext>
          </a:extLst>
        </xdr:cNvPr>
        <xdr:cNvSpPr txBox="1"/>
      </xdr:nvSpPr>
      <xdr:spPr>
        <a:xfrm>
          <a:off x="8267700" y="33809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139" name="TextBox 138">
          <a:extLst>
            <a:ext uri="{FF2B5EF4-FFF2-40B4-BE49-F238E27FC236}">
              <a16:creationId xmlns:a16="http://schemas.microsoft.com/office/drawing/2014/main" id="{00000000-0008-0000-0000-000007000000}"/>
            </a:ext>
          </a:extLst>
        </xdr:cNvPr>
        <xdr:cNvSpPr txBox="1"/>
      </xdr:nvSpPr>
      <xdr:spPr>
        <a:xfrm>
          <a:off x="8267700" y="34008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140" name="TextBox 139">
          <a:extLst>
            <a:ext uri="{FF2B5EF4-FFF2-40B4-BE49-F238E27FC236}">
              <a16:creationId xmlns:a16="http://schemas.microsoft.com/office/drawing/2014/main" id="{00000000-0008-0000-0000-000007000000}"/>
            </a:ext>
          </a:extLst>
        </xdr:cNvPr>
        <xdr:cNvSpPr txBox="1"/>
      </xdr:nvSpPr>
      <xdr:spPr>
        <a:xfrm>
          <a:off x="8267700" y="34008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88</xdr:row>
      <xdr:rowOff>0</xdr:rowOff>
    </xdr:from>
    <xdr:ext cx="65" cy="172227"/>
    <xdr:sp macro="" textlink="">
      <xdr:nvSpPr>
        <xdr:cNvPr id="141" name="TextBox 140">
          <a:extLst>
            <a:ext uri="{FF2B5EF4-FFF2-40B4-BE49-F238E27FC236}">
              <a16:creationId xmlns:a16="http://schemas.microsoft.com/office/drawing/2014/main" id="{00000000-0008-0000-0000-000007000000}"/>
            </a:ext>
          </a:extLst>
        </xdr:cNvPr>
        <xdr:cNvSpPr txBox="1"/>
      </xdr:nvSpPr>
      <xdr:spPr>
        <a:xfrm>
          <a:off x="8267700" y="3419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88</xdr:row>
      <xdr:rowOff>0</xdr:rowOff>
    </xdr:from>
    <xdr:ext cx="65" cy="172227"/>
    <xdr:sp macro="" textlink="">
      <xdr:nvSpPr>
        <xdr:cNvPr id="142" name="TextBox 141">
          <a:extLst>
            <a:ext uri="{FF2B5EF4-FFF2-40B4-BE49-F238E27FC236}">
              <a16:creationId xmlns:a16="http://schemas.microsoft.com/office/drawing/2014/main" id="{00000000-0008-0000-0000-000007000000}"/>
            </a:ext>
          </a:extLst>
        </xdr:cNvPr>
        <xdr:cNvSpPr txBox="1"/>
      </xdr:nvSpPr>
      <xdr:spPr>
        <a:xfrm>
          <a:off x="8267700" y="3419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89</xdr:row>
      <xdr:rowOff>0</xdr:rowOff>
    </xdr:from>
    <xdr:ext cx="65" cy="172227"/>
    <xdr:sp macro="" textlink="">
      <xdr:nvSpPr>
        <xdr:cNvPr id="143" name="TextBox 142">
          <a:extLst>
            <a:ext uri="{FF2B5EF4-FFF2-40B4-BE49-F238E27FC236}">
              <a16:creationId xmlns:a16="http://schemas.microsoft.com/office/drawing/2014/main" id="{00000000-0008-0000-0000-000007000000}"/>
            </a:ext>
          </a:extLst>
        </xdr:cNvPr>
        <xdr:cNvSpPr txBox="1"/>
      </xdr:nvSpPr>
      <xdr:spPr>
        <a:xfrm>
          <a:off x="8267700" y="34373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89</xdr:row>
      <xdr:rowOff>0</xdr:rowOff>
    </xdr:from>
    <xdr:ext cx="65" cy="172227"/>
    <xdr:sp macro="" textlink="">
      <xdr:nvSpPr>
        <xdr:cNvPr id="144" name="TextBox 143">
          <a:extLst>
            <a:ext uri="{FF2B5EF4-FFF2-40B4-BE49-F238E27FC236}">
              <a16:creationId xmlns:a16="http://schemas.microsoft.com/office/drawing/2014/main" id="{00000000-0008-0000-0000-000007000000}"/>
            </a:ext>
          </a:extLst>
        </xdr:cNvPr>
        <xdr:cNvSpPr txBox="1"/>
      </xdr:nvSpPr>
      <xdr:spPr>
        <a:xfrm>
          <a:off x="8267700" y="34373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90</xdr:row>
      <xdr:rowOff>0</xdr:rowOff>
    </xdr:from>
    <xdr:ext cx="65" cy="172227"/>
    <xdr:sp macro="" textlink="">
      <xdr:nvSpPr>
        <xdr:cNvPr id="145" name="TextBox 144">
          <a:extLst>
            <a:ext uri="{FF2B5EF4-FFF2-40B4-BE49-F238E27FC236}">
              <a16:creationId xmlns:a16="http://schemas.microsoft.com/office/drawing/2014/main" id="{00000000-0008-0000-0000-000007000000}"/>
            </a:ext>
          </a:extLst>
        </xdr:cNvPr>
        <xdr:cNvSpPr txBox="1"/>
      </xdr:nvSpPr>
      <xdr:spPr>
        <a:xfrm>
          <a:off x="8267700" y="34556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90</xdr:row>
      <xdr:rowOff>0</xdr:rowOff>
    </xdr:from>
    <xdr:ext cx="65" cy="172227"/>
    <xdr:sp macro="" textlink="">
      <xdr:nvSpPr>
        <xdr:cNvPr id="146" name="TextBox 145">
          <a:extLst>
            <a:ext uri="{FF2B5EF4-FFF2-40B4-BE49-F238E27FC236}">
              <a16:creationId xmlns:a16="http://schemas.microsoft.com/office/drawing/2014/main" id="{00000000-0008-0000-0000-000007000000}"/>
            </a:ext>
          </a:extLst>
        </xdr:cNvPr>
        <xdr:cNvSpPr txBox="1"/>
      </xdr:nvSpPr>
      <xdr:spPr>
        <a:xfrm>
          <a:off x="8267700" y="34556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91</xdr:row>
      <xdr:rowOff>0</xdr:rowOff>
    </xdr:from>
    <xdr:ext cx="65" cy="172227"/>
    <xdr:sp macro="" textlink="">
      <xdr:nvSpPr>
        <xdr:cNvPr id="147" name="TextBox 146">
          <a:extLst>
            <a:ext uri="{FF2B5EF4-FFF2-40B4-BE49-F238E27FC236}">
              <a16:creationId xmlns:a16="http://schemas.microsoft.com/office/drawing/2014/main" id="{00000000-0008-0000-0000-000007000000}"/>
            </a:ext>
          </a:extLst>
        </xdr:cNvPr>
        <xdr:cNvSpPr txBox="1"/>
      </xdr:nvSpPr>
      <xdr:spPr>
        <a:xfrm>
          <a:off x="8267700" y="34739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91</xdr:row>
      <xdr:rowOff>0</xdr:rowOff>
    </xdr:from>
    <xdr:ext cx="65" cy="172227"/>
    <xdr:sp macro="" textlink="">
      <xdr:nvSpPr>
        <xdr:cNvPr id="148" name="TextBox 147">
          <a:extLst>
            <a:ext uri="{FF2B5EF4-FFF2-40B4-BE49-F238E27FC236}">
              <a16:creationId xmlns:a16="http://schemas.microsoft.com/office/drawing/2014/main" id="{00000000-0008-0000-0000-000007000000}"/>
            </a:ext>
          </a:extLst>
        </xdr:cNvPr>
        <xdr:cNvSpPr txBox="1"/>
      </xdr:nvSpPr>
      <xdr:spPr>
        <a:xfrm>
          <a:off x="8267700" y="34739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97</xdr:row>
      <xdr:rowOff>0</xdr:rowOff>
    </xdr:from>
    <xdr:ext cx="65" cy="172227"/>
    <xdr:sp macro="" textlink="">
      <xdr:nvSpPr>
        <xdr:cNvPr id="149" name="TextBox 148">
          <a:extLst>
            <a:ext uri="{FF2B5EF4-FFF2-40B4-BE49-F238E27FC236}">
              <a16:creationId xmlns:a16="http://schemas.microsoft.com/office/drawing/2014/main" id="{00000000-0008-0000-0000-000007000000}"/>
            </a:ext>
          </a:extLst>
        </xdr:cNvPr>
        <xdr:cNvSpPr txBox="1"/>
      </xdr:nvSpPr>
      <xdr:spPr>
        <a:xfrm>
          <a:off x="8267700" y="35836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97</xdr:row>
      <xdr:rowOff>0</xdr:rowOff>
    </xdr:from>
    <xdr:ext cx="65" cy="172227"/>
    <xdr:sp macro="" textlink="">
      <xdr:nvSpPr>
        <xdr:cNvPr id="150" name="TextBox 149">
          <a:extLst>
            <a:ext uri="{FF2B5EF4-FFF2-40B4-BE49-F238E27FC236}">
              <a16:creationId xmlns:a16="http://schemas.microsoft.com/office/drawing/2014/main" id="{00000000-0008-0000-0000-000007000000}"/>
            </a:ext>
          </a:extLst>
        </xdr:cNvPr>
        <xdr:cNvSpPr txBox="1"/>
      </xdr:nvSpPr>
      <xdr:spPr>
        <a:xfrm>
          <a:off x="8267700" y="35836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98</xdr:row>
      <xdr:rowOff>0</xdr:rowOff>
    </xdr:from>
    <xdr:ext cx="65" cy="172227"/>
    <xdr:sp macro="" textlink="">
      <xdr:nvSpPr>
        <xdr:cNvPr id="151" name="TextBox 150">
          <a:extLst>
            <a:ext uri="{FF2B5EF4-FFF2-40B4-BE49-F238E27FC236}">
              <a16:creationId xmlns:a16="http://schemas.microsoft.com/office/drawing/2014/main" id="{00000000-0008-0000-0000-000007000000}"/>
            </a:ext>
          </a:extLst>
        </xdr:cNvPr>
        <xdr:cNvSpPr txBox="1"/>
      </xdr:nvSpPr>
      <xdr:spPr>
        <a:xfrm>
          <a:off x="8267700" y="36019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98</xdr:row>
      <xdr:rowOff>0</xdr:rowOff>
    </xdr:from>
    <xdr:ext cx="65" cy="172227"/>
    <xdr:sp macro="" textlink="">
      <xdr:nvSpPr>
        <xdr:cNvPr id="152" name="TextBox 151">
          <a:extLst>
            <a:ext uri="{FF2B5EF4-FFF2-40B4-BE49-F238E27FC236}">
              <a16:creationId xmlns:a16="http://schemas.microsoft.com/office/drawing/2014/main" id="{00000000-0008-0000-0000-000007000000}"/>
            </a:ext>
          </a:extLst>
        </xdr:cNvPr>
        <xdr:cNvSpPr txBox="1"/>
      </xdr:nvSpPr>
      <xdr:spPr>
        <a:xfrm>
          <a:off x="8267700" y="36019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99</xdr:row>
      <xdr:rowOff>0</xdr:rowOff>
    </xdr:from>
    <xdr:ext cx="65" cy="172227"/>
    <xdr:sp macro="" textlink="">
      <xdr:nvSpPr>
        <xdr:cNvPr id="153" name="TextBox 152">
          <a:extLst>
            <a:ext uri="{FF2B5EF4-FFF2-40B4-BE49-F238E27FC236}">
              <a16:creationId xmlns:a16="http://schemas.microsoft.com/office/drawing/2014/main" id="{00000000-0008-0000-0000-000007000000}"/>
            </a:ext>
          </a:extLst>
        </xdr:cNvPr>
        <xdr:cNvSpPr txBox="1"/>
      </xdr:nvSpPr>
      <xdr:spPr>
        <a:xfrm>
          <a:off x="8267700" y="36202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99</xdr:row>
      <xdr:rowOff>0</xdr:rowOff>
    </xdr:from>
    <xdr:ext cx="65" cy="172227"/>
    <xdr:sp macro="" textlink="">
      <xdr:nvSpPr>
        <xdr:cNvPr id="154" name="TextBox 153">
          <a:extLst>
            <a:ext uri="{FF2B5EF4-FFF2-40B4-BE49-F238E27FC236}">
              <a16:creationId xmlns:a16="http://schemas.microsoft.com/office/drawing/2014/main" id="{00000000-0008-0000-0000-000007000000}"/>
            </a:ext>
          </a:extLst>
        </xdr:cNvPr>
        <xdr:cNvSpPr txBox="1"/>
      </xdr:nvSpPr>
      <xdr:spPr>
        <a:xfrm>
          <a:off x="8267700" y="36202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100</xdr:row>
      <xdr:rowOff>0</xdr:rowOff>
    </xdr:from>
    <xdr:ext cx="65" cy="172227"/>
    <xdr:sp macro="" textlink="">
      <xdr:nvSpPr>
        <xdr:cNvPr id="155" name="TextBox 154">
          <a:extLst>
            <a:ext uri="{FF2B5EF4-FFF2-40B4-BE49-F238E27FC236}">
              <a16:creationId xmlns:a16="http://schemas.microsoft.com/office/drawing/2014/main" id="{00000000-0008-0000-0000-000007000000}"/>
            </a:ext>
          </a:extLst>
        </xdr:cNvPr>
        <xdr:cNvSpPr txBox="1"/>
      </xdr:nvSpPr>
      <xdr:spPr>
        <a:xfrm>
          <a:off x="826770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100</xdr:row>
      <xdr:rowOff>0</xdr:rowOff>
    </xdr:from>
    <xdr:ext cx="65" cy="172227"/>
    <xdr:sp macro="" textlink="">
      <xdr:nvSpPr>
        <xdr:cNvPr id="156" name="TextBox 155">
          <a:extLst>
            <a:ext uri="{FF2B5EF4-FFF2-40B4-BE49-F238E27FC236}">
              <a16:creationId xmlns:a16="http://schemas.microsoft.com/office/drawing/2014/main" id="{00000000-0008-0000-0000-000007000000}"/>
            </a:ext>
          </a:extLst>
        </xdr:cNvPr>
        <xdr:cNvSpPr txBox="1"/>
      </xdr:nvSpPr>
      <xdr:spPr>
        <a:xfrm>
          <a:off x="826770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101</xdr:row>
      <xdr:rowOff>0</xdr:rowOff>
    </xdr:from>
    <xdr:ext cx="65" cy="172227"/>
    <xdr:sp macro="" textlink="">
      <xdr:nvSpPr>
        <xdr:cNvPr id="157" name="TextBox 156">
          <a:extLst>
            <a:ext uri="{FF2B5EF4-FFF2-40B4-BE49-F238E27FC236}">
              <a16:creationId xmlns:a16="http://schemas.microsoft.com/office/drawing/2014/main" id="{00000000-0008-0000-0000-000007000000}"/>
            </a:ext>
          </a:extLst>
        </xdr:cNvPr>
        <xdr:cNvSpPr txBox="1"/>
      </xdr:nvSpPr>
      <xdr:spPr>
        <a:xfrm>
          <a:off x="8267700" y="36568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101</xdr:row>
      <xdr:rowOff>0</xdr:rowOff>
    </xdr:from>
    <xdr:ext cx="65" cy="172227"/>
    <xdr:sp macro="" textlink="">
      <xdr:nvSpPr>
        <xdr:cNvPr id="158" name="TextBox 157">
          <a:extLst>
            <a:ext uri="{FF2B5EF4-FFF2-40B4-BE49-F238E27FC236}">
              <a16:creationId xmlns:a16="http://schemas.microsoft.com/office/drawing/2014/main" id="{00000000-0008-0000-0000-000007000000}"/>
            </a:ext>
          </a:extLst>
        </xdr:cNvPr>
        <xdr:cNvSpPr txBox="1"/>
      </xdr:nvSpPr>
      <xdr:spPr>
        <a:xfrm>
          <a:off x="8267700" y="36568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107</xdr:row>
      <xdr:rowOff>0</xdr:rowOff>
    </xdr:from>
    <xdr:ext cx="65" cy="172227"/>
    <xdr:sp macro="" textlink="">
      <xdr:nvSpPr>
        <xdr:cNvPr id="159" name="TextBox 158">
          <a:extLst>
            <a:ext uri="{FF2B5EF4-FFF2-40B4-BE49-F238E27FC236}">
              <a16:creationId xmlns:a16="http://schemas.microsoft.com/office/drawing/2014/main" id="{00000000-0008-0000-0000-000007000000}"/>
            </a:ext>
          </a:extLst>
        </xdr:cNvPr>
        <xdr:cNvSpPr txBox="1"/>
      </xdr:nvSpPr>
      <xdr:spPr>
        <a:xfrm>
          <a:off x="8267700" y="37665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107</xdr:row>
      <xdr:rowOff>0</xdr:rowOff>
    </xdr:from>
    <xdr:ext cx="65" cy="172227"/>
    <xdr:sp macro="" textlink="">
      <xdr:nvSpPr>
        <xdr:cNvPr id="160" name="TextBox 159">
          <a:extLst>
            <a:ext uri="{FF2B5EF4-FFF2-40B4-BE49-F238E27FC236}">
              <a16:creationId xmlns:a16="http://schemas.microsoft.com/office/drawing/2014/main" id="{00000000-0008-0000-0000-000007000000}"/>
            </a:ext>
          </a:extLst>
        </xdr:cNvPr>
        <xdr:cNvSpPr txBox="1"/>
      </xdr:nvSpPr>
      <xdr:spPr>
        <a:xfrm>
          <a:off x="8267700" y="37665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108</xdr:row>
      <xdr:rowOff>0</xdr:rowOff>
    </xdr:from>
    <xdr:ext cx="65" cy="172227"/>
    <xdr:sp macro="" textlink="">
      <xdr:nvSpPr>
        <xdr:cNvPr id="161" name="TextBox 160">
          <a:extLst>
            <a:ext uri="{FF2B5EF4-FFF2-40B4-BE49-F238E27FC236}">
              <a16:creationId xmlns:a16="http://schemas.microsoft.com/office/drawing/2014/main" id="{00000000-0008-0000-0000-000007000000}"/>
            </a:ext>
          </a:extLst>
        </xdr:cNvPr>
        <xdr:cNvSpPr txBox="1"/>
      </xdr:nvSpPr>
      <xdr:spPr>
        <a:xfrm>
          <a:off x="8267700" y="3784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108</xdr:row>
      <xdr:rowOff>0</xdr:rowOff>
    </xdr:from>
    <xdr:ext cx="65" cy="172227"/>
    <xdr:sp macro="" textlink="">
      <xdr:nvSpPr>
        <xdr:cNvPr id="162" name="TextBox 161">
          <a:extLst>
            <a:ext uri="{FF2B5EF4-FFF2-40B4-BE49-F238E27FC236}">
              <a16:creationId xmlns:a16="http://schemas.microsoft.com/office/drawing/2014/main" id="{00000000-0008-0000-0000-000007000000}"/>
            </a:ext>
          </a:extLst>
        </xdr:cNvPr>
        <xdr:cNvSpPr txBox="1"/>
      </xdr:nvSpPr>
      <xdr:spPr>
        <a:xfrm>
          <a:off x="8267700" y="3784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109</xdr:row>
      <xdr:rowOff>0</xdr:rowOff>
    </xdr:from>
    <xdr:ext cx="65" cy="172227"/>
    <xdr:sp macro="" textlink="">
      <xdr:nvSpPr>
        <xdr:cNvPr id="163" name="TextBox 162">
          <a:extLst>
            <a:ext uri="{FF2B5EF4-FFF2-40B4-BE49-F238E27FC236}">
              <a16:creationId xmlns:a16="http://schemas.microsoft.com/office/drawing/2014/main" id="{00000000-0008-0000-0000-000007000000}"/>
            </a:ext>
          </a:extLst>
        </xdr:cNvPr>
        <xdr:cNvSpPr txBox="1"/>
      </xdr:nvSpPr>
      <xdr:spPr>
        <a:xfrm>
          <a:off x="8267700" y="38031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109</xdr:row>
      <xdr:rowOff>0</xdr:rowOff>
    </xdr:from>
    <xdr:ext cx="65" cy="172227"/>
    <xdr:sp macro="" textlink="">
      <xdr:nvSpPr>
        <xdr:cNvPr id="164" name="TextBox 163">
          <a:extLst>
            <a:ext uri="{FF2B5EF4-FFF2-40B4-BE49-F238E27FC236}">
              <a16:creationId xmlns:a16="http://schemas.microsoft.com/office/drawing/2014/main" id="{00000000-0008-0000-0000-000007000000}"/>
            </a:ext>
          </a:extLst>
        </xdr:cNvPr>
        <xdr:cNvSpPr txBox="1"/>
      </xdr:nvSpPr>
      <xdr:spPr>
        <a:xfrm>
          <a:off x="8267700" y="38031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110</xdr:row>
      <xdr:rowOff>0</xdr:rowOff>
    </xdr:from>
    <xdr:ext cx="65" cy="172227"/>
    <xdr:sp macro="" textlink="">
      <xdr:nvSpPr>
        <xdr:cNvPr id="165" name="TextBox 164">
          <a:extLst>
            <a:ext uri="{FF2B5EF4-FFF2-40B4-BE49-F238E27FC236}">
              <a16:creationId xmlns:a16="http://schemas.microsoft.com/office/drawing/2014/main" id="{00000000-0008-0000-0000-000007000000}"/>
            </a:ext>
          </a:extLst>
        </xdr:cNvPr>
        <xdr:cNvSpPr txBox="1"/>
      </xdr:nvSpPr>
      <xdr:spPr>
        <a:xfrm>
          <a:off x="8267700" y="38214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110</xdr:row>
      <xdr:rowOff>0</xdr:rowOff>
    </xdr:from>
    <xdr:ext cx="65" cy="172227"/>
    <xdr:sp macro="" textlink="">
      <xdr:nvSpPr>
        <xdr:cNvPr id="166" name="TextBox 165">
          <a:extLst>
            <a:ext uri="{FF2B5EF4-FFF2-40B4-BE49-F238E27FC236}">
              <a16:creationId xmlns:a16="http://schemas.microsoft.com/office/drawing/2014/main" id="{00000000-0008-0000-0000-000007000000}"/>
            </a:ext>
          </a:extLst>
        </xdr:cNvPr>
        <xdr:cNvSpPr txBox="1"/>
      </xdr:nvSpPr>
      <xdr:spPr>
        <a:xfrm>
          <a:off x="8267700" y="38214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111</xdr:row>
      <xdr:rowOff>0</xdr:rowOff>
    </xdr:from>
    <xdr:ext cx="65" cy="172227"/>
    <xdr:sp macro="" textlink="">
      <xdr:nvSpPr>
        <xdr:cNvPr id="167" name="TextBox 166">
          <a:extLst>
            <a:ext uri="{FF2B5EF4-FFF2-40B4-BE49-F238E27FC236}">
              <a16:creationId xmlns:a16="http://schemas.microsoft.com/office/drawing/2014/main" id="{00000000-0008-0000-0000-000007000000}"/>
            </a:ext>
          </a:extLst>
        </xdr:cNvPr>
        <xdr:cNvSpPr txBox="1"/>
      </xdr:nvSpPr>
      <xdr:spPr>
        <a:xfrm>
          <a:off x="8267700" y="38397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111</xdr:row>
      <xdr:rowOff>0</xdr:rowOff>
    </xdr:from>
    <xdr:ext cx="65" cy="172227"/>
    <xdr:sp macro="" textlink="">
      <xdr:nvSpPr>
        <xdr:cNvPr id="168" name="TextBox 167">
          <a:extLst>
            <a:ext uri="{FF2B5EF4-FFF2-40B4-BE49-F238E27FC236}">
              <a16:creationId xmlns:a16="http://schemas.microsoft.com/office/drawing/2014/main" id="{00000000-0008-0000-0000-000007000000}"/>
            </a:ext>
          </a:extLst>
        </xdr:cNvPr>
        <xdr:cNvSpPr txBox="1"/>
      </xdr:nvSpPr>
      <xdr:spPr>
        <a:xfrm>
          <a:off x="8267700" y="38397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117</xdr:row>
      <xdr:rowOff>0</xdr:rowOff>
    </xdr:from>
    <xdr:ext cx="65" cy="172227"/>
    <xdr:sp macro="" textlink="">
      <xdr:nvSpPr>
        <xdr:cNvPr id="169" name="TextBox 168">
          <a:extLst>
            <a:ext uri="{FF2B5EF4-FFF2-40B4-BE49-F238E27FC236}">
              <a16:creationId xmlns:a16="http://schemas.microsoft.com/office/drawing/2014/main" id="{00000000-0008-0000-0000-000007000000}"/>
            </a:ext>
          </a:extLst>
        </xdr:cNvPr>
        <xdr:cNvSpPr txBox="1"/>
      </xdr:nvSpPr>
      <xdr:spPr>
        <a:xfrm>
          <a:off x="8267700" y="39494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117</xdr:row>
      <xdr:rowOff>0</xdr:rowOff>
    </xdr:from>
    <xdr:ext cx="65" cy="172227"/>
    <xdr:sp macro="" textlink="">
      <xdr:nvSpPr>
        <xdr:cNvPr id="170" name="TextBox 169">
          <a:extLst>
            <a:ext uri="{FF2B5EF4-FFF2-40B4-BE49-F238E27FC236}">
              <a16:creationId xmlns:a16="http://schemas.microsoft.com/office/drawing/2014/main" id="{00000000-0008-0000-0000-000007000000}"/>
            </a:ext>
          </a:extLst>
        </xdr:cNvPr>
        <xdr:cNvSpPr txBox="1"/>
      </xdr:nvSpPr>
      <xdr:spPr>
        <a:xfrm>
          <a:off x="8267700" y="39494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118</xdr:row>
      <xdr:rowOff>0</xdr:rowOff>
    </xdr:from>
    <xdr:ext cx="65" cy="172227"/>
    <xdr:sp macro="" textlink="">
      <xdr:nvSpPr>
        <xdr:cNvPr id="171" name="TextBox 170">
          <a:extLst>
            <a:ext uri="{FF2B5EF4-FFF2-40B4-BE49-F238E27FC236}">
              <a16:creationId xmlns:a16="http://schemas.microsoft.com/office/drawing/2014/main" id="{00000000-0008-0000-0000-000007000000}"/>
            </a:ext>
          </a:extLst>
        </xdr:cNvPr>
        <xdr:cNvSpPr txBox="1"/>
      </xdr:nvSpPr>
      <xdr:spPr>
        <a:xfrm>
          <a:off x="8267700" y="39677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118</xdr:row>
      <xdr:rowOff>0</xdr:rowOff>
    </xdr:from>
    <xdr:ext cx="65" cy="172227"/>
    <xdr:sp macro="" textlink="">
      <xdr:nvSpPr>
        <xdr:cNvPr id="172" name="TextBox 171">
          <a:extLst>
            <a:ext uri="{FF2B5EF4-FFF2-40B4-BE49-F238E27FC236}">
              <a16:creationId xmlns:a16="http://schemas.microsoft.com/office/drawing/2014/main" id="{00000000-0008-0000-0000-000007000000}"/>
            </a:ext>
          </a:extLst>
        </xdr:cNvPr>
        <xdr:cNvSpPr txBox="1"/>
      </xdr:nvSpPr>
      <xdr:spPr>
        <a:xfrm>
          <a:off x="8267700" y="39677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119</xdr:row>
      <xdr:rowOff>0</xdr:rowOff>
    </xdr:from>
    <xdr:ext cx="65" cy="172227"/>
    <xdr:sp macro="" textlink="">
      <xdr:nvSpPr>
        <xdr:cNvPr id="173" name="TextBox 172">
          <a:extLst>
            <a:ext uri="{FF2B5EF4-FFF2-40B4-BE49-F238E27FC236}">
              <a16:creationId xmlns:a16="http://schemas.microsoft.com/office/drawing/2014/main" id="{00000000-0008-0000-0000-000007000000}"/>
            </a:ext>
          </a:extLst>
        </xdr:cNvPr>
        <xdr:cNvSpPr txBox="1"/>
      </xdr:nvSpPr>
      <xdr:spPr>
        <a:xfrm>
          <a:off x="8267700" y="39860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119</xdr:row>
      <xdr:rowOff>0</xdr:rowOff>
    </xdr:from>
    <xdr:ext cx="65" cy="172227"/>
    <xdr:sp macro="" textlink="">
      <xdr:nvSpPr>
        <xdr:cNvPr id="174" name="TextBox 173">
          <a:extLst>
            <a:ext uri="{FF2B5EF4-FFF2-40B4-BE49-F238E27FC236}">
              <a16:creationId xmlns:a16="http://schemas.microsoft.com/office/drawing/2014/main" id="{00000000-0008-0000-0000-000007000000}"/>
            </a:ext>
          </a:extLst>
        </xdr:cNvPr>
        <xdr:cNvSpPr txBox="1"/>
      </xdr:nvSpPr>
      <xdr:spPr>
        <a:xfrm>
          <a:off x="8267700" y="39860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120</xdr:row>
      <xdr:rowOff>0</xdr:rowOff>
    </xdr:from>
    <xdr:ext cx="65" cy="172227"/>
    <xdr:sp macro="" textlink="">
      <xdr:nvSpPr>
        <xdr:cNvPr id="175" name="TextBox 174">
          <a:extLst>
            <a:ext uri="{FF2B5EF4-FFF2-40B4-BE49-F238E27FC236}">
              <a16:creationId xmlns:a16="http://schemas.microsoft.com/office/drawing/2014/main" id="{00000000-0008-0000-0000-000007000000}"/>
            </a:ext>
          </a:extLst>
        </xdr:cNvPr>
        <xdr:cNvSpPr txBox="1"/>
      </xdr:nvSpPr>
      <xdr:spPr>
        <a:xfrm>
          <a:off x="8267700" y="40043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120</xdr:row>
      <xdr:rowOff>0</xdr:rowOff>
    </xdr:from>
    <xdr:ext cx="65" cy="172227"/>
    <xdr:sp macro="" textlink="">
      <xdr:nvSpPr>
        <xdr:cNvPr id="176" name="TextBox 175">
          <a:extLst>
            <a:ext uri="{FF2B5EF4-FFF2-40B4-BE49-F238E27FC236}">
              <a16:creationId xmlns:a16="http://schemas.microsoft.com/office/drawing/2014/main" id="{00000000-0008-0000-0000-000007000000}"/>
            </a:ext>
          </a:extLst>
        </xdr:cNvPr>
        <xdr:cNvSpPr txBox="1"/>
      </xdr:nvSpPr>
      <xdr:spPr>
        <a:xfrm>
          <a:off x="8267700" y="40043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121</xdr:row>
      <xdr:rowOff>0</xdr:rowOff>
    </xdr:from>
    <xdr:ext cx="65" cy="172227"/>
    <xdr:sp macro="" textlink="">
      <xdr:nvSpPr>
        <xdr:cNvPr id="177" name="TextBox 176">
          <a:extLst>
            <a:ext uri="{FF2B5EF4-FFF2-40B4-BE49-F238E27FC236}">
              <a16:creationId xmlns:a16="http://schemas.microsoft.com/office/drawing/2014/main" id="{00000000-0008-0000-0000-000007000000}"/>
            </a:ext>
          </a:extLst>
        </xdr:cNvPr>
        <xdr:cNvSpPr txBox="1"/>
      </xdr:nvSpPr>
      <xdr:spPr>
        <a:xfrm>
          <a:off x="8267700" y="40225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121</xdr:row>
      <xdr:rowOff>0</xdr:rowOff>
    </xdr:from>
    <xdr:ext cx="65" cy="172227"/>
    <xdr:sp macro="" textlink="">
      <xdr:nvSpPr>
        <xdr:cNvPr id="178" name="TextBox 177">
          <a:extLst>
            <a:ext uri="{FF2B5EF4-FFF2-40B4-BE49-F238E27FC236}">
              <a16:creationId xmlns:a16="http://schemas.microsoft.com/office/drawing/2014/main" id="{00000000-0008-0000-0000-000007000000}"/>
            </a:ext>
          </a:extLst>
        </xdr:cNvPr>
        <xdr:cNvSpPr txBox="1"/>
      </xdr:nvSpPr>
      <xdr:spPr>
        <a:xfrm>
          <a:off x="8267700" y="40225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127</xdr:row>
      <xdr:rowOff>0</xdr:rowOff>
    </xdr:from>
    <xdr:ext cx="65" cy="172227"/>
    <xdr:sp macro="" textlink="">
      <xdr:nvSpPr>
        <xdr:cNvPr id="179" name="TextBox 178">
          <a:extLst>
            <a:ext uri="{FF2B5EF4-FFF2-40B4-BE49-F238E27FC236}">
              <a16:creationId xmlns:a16="http://schemas.microsoft.com/office/drawing/2014/main" id="{00000000-0008-0000-0000-000007000000}"/>
            </a:ext>
          </a:extLst>
        </xdr:cNvPr>
        <xdr:cNvSpPr txBox="1"/>
      </xdr:nvSpPr>
      <xdr:spPr>
        <a:xfrm>
          <a:off x="8267700" y="41323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127</xdr:row>
      <xdr:rowOff>0</xdr:rowOff>
    </xdr:from>
    <xdr:ext cx="65" cy="172227"/>
    <xdr:sp macro="" textlink="">
      <xdr:nvSpPr>
        <xdr:cNvPr id="180" name="TextBox 179">
          <a:extLst>
            <a:ext uri="{FF2B5EF4-FFF2-40B4-BE49-F238E27FC236}">
              <a16:creationId xmlns:a16="http://schemas.microsoft.com/office/drawing/2014/main" id="{00000000-0008-0000-0000-000007000000}"/>
            </a:ext>
          </a:extLst>
        </xdr:cNvPr>
        <xdr:cNvSpPr txBox="1"/>
      </xdr:nvSpPr>
      <xdr:spPr>
        <a:xfrm>
          <a:off x="8267700" y="41323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128</xdr:row>
      <xdr:rowOff>0</xdr:rowOff>
    </xdr:from>
    <xdr:ext cx="65" cy="172227"/>
    <xdr:sp macro="" textlink="">
      <xdr:nvSpPr>
        <xdr:cNvPr id="181" name="TextBox 180">
          <a:extLst>
            <a:ext uri="{FF2B5EF4-FFF2-40B4-BE49-F238E27FC236}">
              <a16:creationId xmlns:a16="http://schemas.microsoft.com/office/drawing/2014/main" id="{00000000-0008-0000-0000-000007000000}"/>
            </a:ext>
          </a:extLst>
        </xdr:cNvPr>
        <xdr:cNvSpPr txBox="1"/>
      </xdr:nvSpPr>
      <xdr:spPr>
        <a:xfrm>
          <a:off x="8267700" y="4150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128</xdr:row>
      <xdr:rowOff>0</xdr:rowOff>
    </xdr:from>
    <xdr:ext cx="65" cy="172227"/>
    <xdr:sp macro="" textlink="">
      <xdr:nvSpPr>
        <xdr:cNvPr id="182" name="TextBox 181">
          <a:extLst>
            <a:ext uri="{FF2B5EF4-FFF2-40B4-BE49-F238E27FC236}">
              <a16:creationId xmlns:a16="http://schemas.microsoft.com/office/drawing/2014/main" id="{00000000-0008-0000-0000-000007000000}"/>
            </a:ext>
          </a:extLst>
        </xdr:cNvPr>
        <xdr:cNvSpPr txBox="1"/>
      </xdr:nvSpPr>
      <xdr:spPr>
        <a:xfrm>
          <a:off x="8267700" y="4150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129</xdr:row>
      <xdr:rowOff>0</xdr:rowOff>
    </xdr:from>
    <xdr:ext cx="65" cy="172227"/>
    <xdr:sp macro="" textlink="">
      <xdr:nvSpPr>
        <xdr:cNvPr id="183" name="TextBox 182">
          <a:extLst>
            <a:ext uri="{FF2B5EF4-FFF2-40B4-BE49-F238E27FC236}">
              <a16:creationId xmlns:a16="http://schemas.microsoft.com/office/drawing/2014/main" id="{00000000-0008-0000-0000-000007000000}"/>
            </a:ext>
          </a:extLst>
        </xdr:cNvPr>
        <xdr:cNvSpPr txBox="1"/>
      </xdr:nvSpPr>
      <xdr:spPr>
        <a:xfrm>
          <a:off x="8267700" y="4168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129</xdr:row>
      <xdr:rowOff>0</xdr:rowOff>
    </xdr:from>
    <xdr:ext cx="65" cy="172227"/>
    <xdr:sp macro="" textlink="">
      <xdr:nvSpPr>
        <xdr:cNvPr id="184" name="TextBox 183">
          <a:extLst>
            <a:ext uri="{FF2B5EF4-FFF2-40B4-BE49-F238E27FC236}">
              <a16:creationId xmlns:a16="http://schemas.microsoft.com/office/drawing/2014/main" id="{00000000-0008-0000-0000-000007000000}"/>
            </a:ext>
          </a:extLst>
        </xdr:cNvPr>
        <xdr:cNvSpPr txBox="1"/>
      </xdr:nvSpPr>
      <xdr:spPr>
        <a:xfrm>
          <a:off x="8267700" y="4168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130</xdr:row>
      <xdr:rowOff>0</xdr:rowOff>
    </xdr:from>
    <xdr:ext cx="65" cy="172227"/>
    <xdr:sp macro="" textlink="">
      <xdr:nvSpPr>
        <xdr:cNvPr id="185" name="TextBox 184">
          <a:extLst>
            <a:ext uri="{FF2B5EF4-FFF2-40B4-BE49-F238E27FC236}">
              <a16:creationId xmlns:a16="http://schemas.microsoft.com/office/drawing/2014/main" id="{00000000-0008-0000-0000-000007000000}"/>
            </a:ext>
          </a:extLst>
        </xdr:cNvPr>
        <xdr:cNvSpPr txBox="1"/>
      </xdr:nvSpPr>
      <xdr:spPr>
        <a:xfrm>
          <a:off x="8267700" y="4187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130</xdr:row>
      <xdr:rowOff>0</xdr:rowOff>
    </xdr:from>
    <xdr:ext cx="65" cy="172227"/>
    <xdr:sp macro="" textlink="">
      <xdr:nvSpPr>
        <xdr:cNvPr id="186" name="TextBox 185">
          <a:extLst>
            <a:ext uri="{FF2B5EF4-FFF2-40B4-BE49-F238E27FC236}">
              <a16:creationId xmlns:a16="http://schemas.microsoft.com/office/drawing/2014/main" id="{00000000-0008-0000-0000-000007000000}"/>
            </a:ext>
          </a:extLst>
        </xdr:cNvPr>
        <xdr:cNvSpPr txBox="1"/>
      </xdr:nvSpPr>
      <xdr:spPr>
        <a:xfrm>
          <a:off x="8267700" y="4187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131</xdr:row>
      <xdr:rowOff>0</xdr:rowOff>
    </xdr:from>
    <xdr:ext cx="65" cy="172227"/>
    <xdr:sp macro="" textlink="">
      <xdr:nvSpPr>
        <xdr:cNvPr id="187" name="TextBox 186">
          <a:extLst>
            <a:ext uri="{FF2B5EF4-FFF2-40B4-BE49-F238E27FC236}">
              <a16:creationId xmlns:a16="http://schemas.microsoft.com/office/drawing/2014/main" id="{00000000-0008-0000-0000-000007000000}"/>
            </a:ext>
          </a:extLst>
        </xdr:cNvPr>
        <xdr:cNvSpPr txBox="1"/>
      </xdr:nvSpPr>
      <xdr:spPr>
        <a:xfrm>
          <a:off x="8267700" y="42054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131</xdr:row>
      <xdr:rowOff>0</xdr:rowOff>
    </xdr:from>
    <xdr:ext cx="65" cy="172227"/>
    <xdr:sp macro="" textlink="">
      <xdr:nvSpPr>
        <xdr:cNvPr id="188" name="TextBox 187">
          <a:extLst>
            <a:ext uri="{FF2B5EF4-FFF2-40B4-BE49-F238E27FC236}">
              <a16:creationId xmlns:a16="http://schemas.microsoft.com/office/drawing/2014/main" id="{00000000-0008-0000-0000-000007000000}"/>
            </a:ext>
          </a:extLst>
        </xdr:cNvPr>
        <xdr:cNvSpPr txBox="1"/>
      </xdr:nvSpPr>
      <xdr:spPr>
        <a:xfrm>
          <a:off x="8267700" y="42054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82</xdr:row>
      <xdr:rowOff>0</xdr:rowOff>
    </xdr:from>
    <xdr:ext cx="65" cy="172227"/>
    <xdr:sp macro="" textlink="">
      <xdr:nvSpPr>
        <xdr:cNvPr id="192" name="TextBox 191">
          <a:extLst>
            <a:ext uri="{FF2B5EF4-FFF2-40B4-BE49-F238E27FC236}">
              <a16:creationId xmlns:a16="http://schemas.microsoft.com/office/drawing/2014/main" id="{00000000-0008-0000-0000-000007000000}"/>
            </a:ext>
          </a:extLst>
        </xdr:cNvPr>
        <xdr:cNvSpPr txBox="1"/>
      </xdr:nvSpPr>
      <xdr:spPr>
        <a:xfrm>
          <a:off x="8267700" y="32834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82</xdr:row>
      <xdr:rowOff>0</xdr:rowOff>
    </xdr:from>
    <xdr:ext cx="65" cy="172227"/>
    <xdr:sp macro="" textlink="">
      <xdr:nvSpPr>
        <xdr:cNvPr id="196" name="TextBox 195">
          <a:extLst>
            <a:ext uri="{FF2B5EF4-FFF2-40B4-BE49-F238E27FC236}">
              <a16:creationId xmlns:a16="http://schemas.microsoft.com/office/drawing/2014/main" id="{00000000-0008-0000-0000-000007000000}"/>
            </a:ext>
          </a:extLst>
        </xdr:cNvPr>
        <xdr:cNvSpPr txBox="1"/>
      </xdr:nvSpPr>
      <xdr:spPr>
        <a:xfrm>
          <a:off x="8267700" y="32834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83</xdr:row>
      <xdr:rowOff>0</xdr:rowOff>
    </xdr:from>
    <xdr:ext cx="65" cy="172227"/>
    <xdr:sp macro="" textlink="">
      <xdr:nvSpPr>
        <xdr:cNvPr id="197" name="TextBox 196">
          <a:extLst>
            <a:ext uri="{FF2B5EF4-FFF2-40B4-BE49-F238E27FC236}">
              <a16:creationId xmlns:a16="http://schemas.microsoft.com/office/drawing/2014/main" id="{00000000-0008-0000-0000-000007000000}"/>
            </a:ext>
          </a:extLst>
        </xdr:cNvPr>
        <xdr:cNvSpPr txBox="1"/>
      </xdr:nvSpPr>
      <xdr:spPr>
        <a:xfrm>
          <a:off x="8267700" y="33032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83</xdr:row>
      <xdr:rowOff>0</xdr:rowOff>
    </xdr:from>
    <xdr:ext cx="65" cy="172227"/>
    <xdr:sp macro="" textlink="">
      <xdr:nvSpPr>
        <xdr:cNvPr id="198" name="TextBox 197">
          <a:extLst>
            <a:ext uri="{FF2B5EF4-FFF2-40B4-BE49-F238E27FC236}">
              <a16:creationId xmlns:a16="http://schemas.microsoft.com/office/drawing/2014/main" id="{00000000-0008-0000-0000-000007000000}"/>
            </a:ext>
          </a:extLst>
        </xdr:cNvPr>
        <xdr:cNvSpPr txBox="1"/>
      </xdr:nvSpPr>
      <xdr:spPr>
        <a:xfrm>
          <a:off x="8267700" y="33032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84</xdr:row>
      <xdr:rowOff>0</xdr:rowOff>
    </xdr:from>
    <xdr:ext cx="65" cy="172227"/>
    <xdr:sp macro="" textlink="">
      <xdr:nvSpPr>
        <xdr:cNvPr id="199" name="TextBox 198">
          <a:extLst>
            <a:ext uri="{FF2B5EF4-FFF2-40B4-BE49-F238E27FC236}">
              <a16:creationId xmlns:a16="http://schemas.microsoft.com/office/drawing/2014/main" id="{00000000-0008-0000-0000-000007000000}"/>
            </a:ext>
          </a:extLst>
        </xdr:cNvPr>
        <xdr:cNvSpPr txBox="1"/>
      </xdr:nvSpPr>
      <xdr:spPr>
        <a:xfrm>
          <a:off x="8267700" y="33230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84</xdr:row>
      <xdr:rowOff>0</xdr:rowOff>
    </xdr:from>
    <xdr:ext cx="65" cy="172227"/>
    <xdr:sp macro="" textlink="">
      <xdr:nvSpPr>
        <xdr:cNvPr id="200" name="TextBox 199">
          <a:extLst>
            <a:ext uri="{FF2B5EF4-FFF2-40B4-BE49-F238E27FC236}">
              <a16:creationId xmlns:a16="http://schemas.microsoft.com/office/drawing/2014/main" id="{00000000-0008-0000-0000-000007000000}"/>
            </a:ext>
          </a:extLst>
        </xdr:cNvPr>
        <xdr:cNvSpPr txBox="1"/>
      </xdr:nvSpPr>
      <xdr:spPr>
        <a:xfrm>
          <a:off x="8267700" y="33230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201" name="TextBox 200">
          <a:extLst>
            <a:ext uri="{FF2B5EF4-FFF2-40B4-BE49-F238E27FC236}">
              <a16:creationId xmlns:a16="http://schemas.microsoft.com/office/drawing/2014/main" id="{00000000-0008-0000-0000-000007000000}"/>
            </a:ext>
          </a:extLst>
        </xdr:cNvPr>
        <xdr:cNvSpPr txBox="1"/>
      </xdr:nvSpPr>
      <xdr:spPr>
        <a:xfrm>
          <a:off x="8267700" y="33428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202" name="TextBox 201">
          <a:extLst>
            <a:ext uri="{FF2B5EF4-FFF2-40B4-BE49-F238E27FC236}">
              <a16:creationId xmlns:a16="http://schemas.microsoft.com/office/drawing/2014/main" id="{00000000-0008-0000-0000-000007000000}"/>
            </a:ext>
          </a:extLst>
        </xdr:cNvPr>
        <xdr:cNvSpPr txBox="1"/>
      </xdr:nvSpPr>
      <xdr:spPr>
        <a:xfrm>
          <a:off x="8267700" y="33428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203" name="TextBox 202">
          <a:extLst>
            <a:ext uri="{FF2B5EF4-FFF2-40B4-BE49-F238E27FC236}">
              <a16:creationId xmlns:a16="http://schemas.microsoft.com/office/drawing/2014/main" id="{00000000-0008-0000-0000-000007000000}"/>
            </a:ext>
          </a:extLst>
        </xdr:cNvPr>
        <xdr:cNvSpPr txBox="1"/>
      </xdr:nvSpPr>
      <xdr:spPr>
        <a:xfrm>
          <a:off x="8267700" y="33627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204" name="TextBox 203">
          <a:extLst>
            <a:ext uri="{FF2B5EF4-FFF2-40B4-BE49-F238E27FC236}">
              <a16:creationId xmlns:a16="http://schemas.microsoft.com/office/drawing/2014/main" id="{00000000-0008-0000-0000-000007000000}"/>
            </a:ext>
          </a:extLst>
        </xdr:cNvPr>
        <xdr:cNvSpPr txBox="1"/>
      </xdr:nvSpPr>
      <xdr:spPr>
        <a:xfrm>
          <a:off x="8267700" y="33627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205" name="TextBox 204">
          <a:extLst>
            <a:ext uri="{FF2B5EF4-FFF2-40B4-BE49-F238E27FC236}">
              <a16:creationId xmlns:a16="http://schemas.microsoft.com/office/drawing/2014/main" id="{00000000-0008-0000-0000-000007000000}"/>
            </a:ext>
          </a:extLst>
        </xdr:cNvPr>
        <xdr:cNvSpPr txBox="1"/>
      </xdr:nvSpPr>
      <xdr:spPr>
        <a:xfrm>
          <a:off x="8267700" y="33825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206" name="TextBox 205">
          <a:extLst>
            <a:ext uri="{FF2B5EF4-FFF2-40B4-BE49-F238E27FC236}">
              <a16:creationId xmlns:a16="http://schemas.microsoft.com/office/drawing/2014/main" id="{00000000-0008-0000-0000-000007000000}"/>
            </a:ext>
          </a:extLst>
        </xdr:cNvPr>
        <xdr:cNvSpPr txBox="1"/>
      </xdr:nvSpPr>
      <xdr:spPr>
        <a:xfrm>
          <a:off x="8267700" y="33825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88</xdr:row>
      <xdr:rowOff>0</xdr:rowOff>
    </xdr:from>
    <xdr:ext cx="65" cy="172227"/>
    <xdr:sp macro="" textlink="">
      <xdr:nvSpPr>
        <xdr:cNvPr id="207" name="TextBox 206">
          <a:extLst>
            <a:ext uri="{FF2B5EF4-FFF2-40B4-BE49-F238E27FC236}">
              <a16:creationId xmlns:a16="http://schemas.microsoft.com/office/drawing/2014/main" id="{00000000-0008-0000-0000-000007000000}"/>
            </a:ext>
          </a:extLst>
        </xdr:cNvPr>
        <xdr:cNvSpPr txBox="1"/>
      </xdr:nvSpPr>
      <xdr:spPr>
        <a:xfrm>
          <a:off x="8267700" y="34008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88</xdr:row>
      <xdr:rowOff>0</xdr:rowOff>
    </xdr:from>
    <xdr:ext cx="65" cy="172227"/>
    <xdr:sp macro="" textlink="">
      <xdr:nvSpPr>
        <xdr:cNvPr id="208" name="TextBox 207">
          <a:extLst>
            <a:ext uri="{FF2B5EF4-FFF2-40B4-BE49-F238E27FC236}">
              <a16:creationId xmlns:a16="http://schemas.microsoft.com/office/drawing/2014/main" id="{00000000-0008-0000-0000-000007000000}"/>
            </a:ext>
          </a:extLst>
        </xdr:cNvPr>
        <xdr:cNvSpPr txBox="1"/>
      </xdr:nvSpPr>
      <xdr:spPr>
        <a:xfrm>
          <a:off x="8267700" y="34008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89</xdr:row>
      <xdr:rowOff>0</xdr:rowOff>
    </xdr:from>
    <xdr:ext cx="65" cy="172227"/>
    <xdr:sp macro="" textlink="">
      <xdr:nvSpPr>
        <xdr:cNvPr id="209" name="TextBox 208">
          <a:extLst>
            <a:ext uri="{FF2B5EF4-FFF2-40B4-BE49-F238E27FC236}">
              <a16:creationId xmlns:a16="http://schemas.microsoft.com/office/drawing/2014/main" id="{00000000-0008-0000-0000-000007000000}"/>
            </a:ext>
          </a:extLst>
        </xdr:cNvPr>
        <xdr:cNvSpPr txBox="1"/>
      </xdr:nvSpPr>
      <xdr:spPr>
        <a:xfrm>
          <a:off x="8267700" y="3419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89</xdr:row>
      <xdr:rowOff>0</xdr:rowOff>
    </xdr:from>
    <xdr:ext cx="65" cy="172227"/>
    <xdr:sp macro="" textlink="">
      <xdr:nvSpPr>
        <xdr:cNvPr id="210" name="TextBox 209">
          <a:extLst>
            <a:ext uri="{FF2B5EF4-FFF2-40B4-BE49-F238E27FC236}">
              <a16:creationId xmlns:a16="http://schemas.microsoft.com/office/drawing/2014/main" id="{00000000-0008-0000-0000-000007000000}"/>
            </a:ext>
          </a:extLst>
        </xdr:cNvPr>
        <xdr:cNvSpPr txBox="1"/>
      </xdr:nvSpPr>
      <xdr:spPr>
        <a:xfrm>
          <a:off x="8267700" y="3419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90</xdr:row>
      <xdr:rowOff>0</xdr:rowOff>
    </xdr:from>
    <xdr:ext cx="65" cy="172227"/>
    <xdr:sp macro="" textlink="">
      <xdr:nvSpPr>
        <xdr:cNvPr id="211" name="TextBox 210">
          <a:extLst>
            <a:ext uri="{FF2B5EF4-FFF2-40B4-BE49-F238E27FC236}">
              <a16:creationId xmlns:a16="http://schemas.microsoft.com/office/drawing/2014/main" id="{00000000-0008-0000-0000-000007000000}"/>
            </a:ext>
          </a:extLst>
        </xdr:cNvPr>
        <xdr:cNvSpPr txBox="1"/>
      </xdr:nvSpPr>
      <xdr:spPr>
        <a:xfrm>
          <a:off x="8267700" y="34373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90</xdr:row>
      <xdr:rowOff>0</xdr:rowOff>
    </xdr:from>
    <xdr:ext cx="65" cy="172227"/>
    <xdr:sp macro="" textlink="">
      <xdr:nvSpPr>
        <xdr:cNvPr id="212" name="TextBox 211">
          <a:extLst>
            <a:ext uri="{FF2B5EF4-FFF2-40B4-BE49-F238E27FC236}">
              <a16:creationId xmlns:a16="http://schemas.microsoft.com/office/drawing/2014/main" id="{00000000-0008-0000-0000-000007000000}"/>
            </a:ext>
          </a:extLst>
        </xdr:cNvPr>
        <xdr:cNvSpPr txBox="1"/>
      </xdr:nvSpPr>
      <xdr:spPr>
        <a:xfrm>
          <a:off x="8267700" y="34373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91</xdr:row>
      <xdr:rowOff>0</xdr:rowOff>
    </xdr:from>
    <xdr:ext cx="65" cy="172227"/>
    <xdr:sp macro="" textlink="">
      <xdr:nvSpPr>
        <xdr:cNvPr id="213" name="TextBox 212">
          <a:extLst>
            <a:ext uri="{FF2B5EF4-FFF2-40B4-BE49-F238E27FC236}">
              <a16:creationId xmlns:a16="http://schemas.microsoft.com/office/drawing/2014/main" id="{00000000-0008-0000-0000-000007000000}"/>
            </a:ext>
          </a:extLst>
        </xdr:cNvPr>
        <xdr:cNvSpPr txBox="1"/>
      </xdr:nvSpPr>
      <xdr:spPr>
        <a:xfrm>
          <a:off x="8267700" y="34556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91</xdr:row>
      <xdr:rowOff>0</xdr:rowOff>
    </xdr:from>
    <xdr:ext cx="65" cy="172227"/>
    <xdr:sp macro="" textlink="">
      <xdr:nvSpPr>
        <xdr:cNvPr id="214" name="TextBox 213">
          <a:extLst>
            <a:ext uri="{FF2B5EF4-FFF2-40B4-BE49-F238E27FC236}">
              <a16:creationId xmlns:a16="http://schemas.microsoft.com/office/drawing/2014/main" id="{00000000-0008-0000-0000-000007000000}"/>
            </a:ext>
          </a:extLst>
        </xdr:cNvPr>
        <xdr:cNvSpPr txBox="1"/>
      </xdr:nvSpPr>
      <xdr:spPr>
        <a:xfrm>
          <a:off x="8267700" y="34556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97</xdr:row>
      <xdr:rowOff>0</xdr:rowOff>
    </xdr:from>
    <xdr:ext cx="65" cy="172227"/>
    <xdr:sp macro="" textlink="">
      <xdr:nvSpPr>
        <xdr:cNvPr id="215" name="TextBox 214">
          <a:extLst>
            <a:ext uri="{FF2B5EF4-FFF2-40B4-BE49-F238E27FC236}">
              <a16:creationId xmlns:a16="http://schemas.microsoft.com/office/drawing/2014/main" id="{00000000-0008-0000-0000-000007000000}"/>
            </a:ext>
          </a:extLst>
        </xdr:cNvPr>
        <xdr:cNvSpPr txBox="1"/>
      </xdr:nvSpPr>
      <xdr:spPr>
        <a:xfrm>
          <a:off x="8267700" y="35653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97</xdr:row>
      <xdr:rowOff>0</xdr:rowOff>
    </xdr:from>
    <xdr:ext cx="65" cy="172227"/>
    <xdr:sp macro="" textlink="">
      <xdr:nvSpPr>
        <xdr:cNvPr id="216" name="TextBox 215">
          <a:extLst>
            <a:ext uri="{FF2B5EF4-FFF2-40B4-BE49-F238E27FC236}">
              <a16:creationId xmlns:a16="http://schemas.microsoft.com/office/drawing/2014/main" id="{00000000-0008-0000-0000-000007000000}"/>
            </a:ext>
          </a:extLst>
        </xdr:cNvPr>
        <xdr:cNvSpPr txBox="1"/>
      </xdr:nvSpPr>
      <xdr:spPr>
        <a:xfrm>
          <a:off x="8267700" y="35653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98</xdr:row>
      <xdr:rowOff>0</xdr:rowOff>
    </xdr:from>
    <xdr:ext cx="65" cy="172227"/>
    <xdr:sp macro="" textlink="">
      <xdr:nvSpPr>
        <xdr:cNvPr id="217" name="TextBox 216">
          <a:extLst>
            <a:ext uri="{FF2B5EF4-FFF2-40B4-BE49-F238E27FC236}">
              <a16:creationId xmlns:a16="http://schemas.microsoft.com/office/drawing/2014/main" id="{00000000-0008-0000-0000-000007000000}"/>
            </a:ext>
          </a:extLst>
        </xdr:cNvPr>
        <xdr:cNvSpPr txBox="1"/>
      </xdr:nvSpPr>
      <xdr:spPr>
        <a:xfrm>
          <a:off x="8267700" y="35836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98</xdr:row>
      <xdr:rowOff>0</xdr:rowOff>
    </xdr:from>
    <xdr:ext cx="65" cy="172227"/>
    <xdr:sp macro="" textlink="">
      <xdr:nvSpPr>
        <xdr:cNvPr id="218" name="TextBox 217">
          <a:extLst>
            <a:ext uri="{FF2B5EF4-FFF2-40B4-BE49-F238E27FC236}">
              <a16:creationId xmlns:a16="http://schemas.microsoft.com/office/drawing/2014/main" id="{00000000-0008-0000-0000-000007000000}"/>
            </a:ext>
          </a:extLst>
        </xdr:cNvPr>
        <xdr:cNvSpPr txBox="1"/>
      </xdr:nvSpPr>
      <xdr:spPr>
        <a:xfrm>
          <a:off x="8267700" y="35836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99</xdr:row>
      <xdr:rowOff>0</xdr:rowOff>
    </xdr:from>
    <xdr:ext cx="65" cy="172227"/>
    <xdr:sp macro="" textlink="">
      <xdr:nvSpPr>
        <xdr:cNvPr id="219" name="TextBox 218">
          <a:extLst>
            <a:ext uri="{FF2B5EF4-FFF2-40B4-BE49-F238E27FC236}">
              <a16:creationId xmlns:a16="http://schemas.microsoft.com/office/drawing/2014/main" id="{00000000-0008-0000-0000-000007000000}"/>
            </a:ext>
          </a:extLst>
        </xdr:cNvPr>
        <xdr:cNvSpPr txBox="1"/>
      </xdr:nvSpPr>
      <xdr:spPr>
        <a:xfrm>
          <a:off x="8267700" y="36019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99</xdr:row>
      <xdr:rowOff>0</xdr:rowOff>
    </xdr:from>
    <xdr:ext cx="65" cy="172227"/>
    <xdr:sp macro="" textlink="">
      <xdr:nvSpPr>
        <xdr:cNvPr id="220" name="TextBox 219">
          <a:extLst>
            <a:ext uri="{FF2B5EF4-FFF2-40B4-BE49-F238E27FC236}">
              <a16:creationId xmlns:a16="http://schemas.microsoft.com/office/drawing/2014/main" id="{00000000-0008-0000-0000-000007000000}"/>
            </a:ext>
          </a:extLst>
        </xdr:cNvPr>
        <xdr:cNvSpPr txBox="1"/>
      </xdr:nvSpPr>
      <xdr:spPr>
        <a:xfrm>
          <a:off x="8267700" y="36019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100</xdr:row>
      <xdr:rowOff>0</xdr:rowOff>
    </xdr:from>
    <xdr:ext cx="65" cy="172227"/>
    <xdr:sp macro="" textlink="">
      <xdr:nvSpPr>
        <xdr:cNvPr id="221" name="TextBox 220">
          <a:extLst>
            <a:ext uri="{FF2B5EF4-FFF2-40B4-BE49-F238E27FC236}">
              <a16:creationId xmlns:a16="http://schemas.microsoft.com/office/drawing/2014/main" id="{00000000-0008-0000-0000-000007000000}"/>
            </a:ext>
          </a:extLst>
        </xdr:cNvPr>
        <xdr:cNvSpPr txBox="1"/>
      </xdr:nvSpPr>
      <xdr:spPr>
        <a:xfrm>
          <a:off x="8267700" y="36202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100</xdr:row>
      <xdr:rowOff>0</xdr:rowOff>
    </xdr:from>
    <xdr:ext cx="65" cy="172227"/>
    <xdr:sp macro="" textlink="">
      <xdr:nvSpPr>
        <xdr:cNvPr id="222" name="TextBox 221">
          <a:extLst>
            <a:ext uri="{FF2B5EF4-FFF2-40B4-BE49-F238E27FC236}">
              <a16:creationId xmlns:a16="http://schemas.microsoft.com/office/drawing/2014/main" id="{00000000-0008-0000-0000-000007000000}"/>
            </a:ext>
          </a:extLst>
        </xdr:cNvPr>
        <xdr:cNvSpPr txBox="1"/>
      </xdr:nvSpPr>
      <xdr:spPr>
        <a:xfrm>
          <a:off x="8267700" y="36202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101</xdr:row>
      <xdr:rowOff>0</xdr:rowOff>
    </xdr:from>
    <xdr:ext cx="65" cy="172227"/>
    <xdr:sp macro="" textlink="">
      <xdr:nvSpPr>
        <xdr:cNvPr id="223" name="TextBox 222">
          <a:extLst>
            <a:ext uri="{FF2B5EF4-FFF2-40B4-BE49-F238E27FC236}">
              <a16:creationId xmlns:a16="http://schemas.microsoft.com/office/drawing/2014/main" id="{00000000-0008-0000-0000-000007000000}"/>
            </a:ext>
          </a:extLst>
        </xdr:cNvPr>
        <xdr:cNvSpPr txBox="1"/>
      </xdr:nvSpPr>
      <xdr:spPr>
        <a:xfrm>
          <a:off x="826770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101</xdr:row>
      <xdr:rowOff>0</xdr:rowOff>
    </xdr:from>
    <xdr:ext cx="65" cy="172227"/>
    <xdr:sp macro="" textlink="">
      <xdr:nvSpPr>
        <xdr:cNvPr id="224" name="TextBox 223">
          <a:extLst>
            <a:ext uri="{FF2B5EF4-FFF2-40B4-BE49-F238E27FC236}">
              <a16:creationId xmlns:a16="http://schemas.microsoft.com/office/drawing/2014/main" id="{00000000-0008-0000-0000-000007000000}"/>
            </a:ext>
          </a:extLst>
        </xdr:cNvPr>
        <xdr:cNvSpPr txBox="1"/>
      </xdr:nvSpPr>
      <xdr:spPr>
        <a:xfrm>
          <a:off x="826770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107</xdr:row>
      <xdr:rowOff>0</xdr:rowOff>
    </xdr:from>
    <xdr:ext cx="65" cy="172227"/>
    <xdr:sp macro="" textlink="">
      <xdr:nvSpPr>
        <xdr:cNvPr id="225" name="TextBox 224">
          <a:extLst>
            <a:ext uri="{FF2B5EF4-FFF2-40B4-BE49-F238E27FC236}">
              <a16:creationId xmlns:a16="http://schemas.microsoft.com/office/drawing/2014/main" id="{00000000-0008-0000-0000-000007000000}"/>
            </a:ext>
          </a:extLst>
        </xdr:cNvPr>
        <xdr:cNvSpPr txBox="1"/>
      </xdr:nvSpPr>
      <xdr:spPr>
        <a:xfrm>
          <a:off x="8267700" y="3748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107</xdr:row>
      <xdr:rowOff>0</xdr:rowOff>
    </xdr:from>
    <xdr:ext cx="65" cy="172227"/>
    <xdr:sp macro="" textlink="">
      <xdr:nvSpPr>
        <xdr:cNvPr id="226" name="TextBox 225">
          <a:extLst>
            <a:ext uri="{FF2B5EF4-FFF2-40B4-BE49-F238E27FC236}">
              <a16:creationId xmlns:a16="http://schemas.microsoft.com/office/drawing/2014/main" id="{00000000-0008-0000-0000-000007000000}"/>
            </a:ext>
          </a:extLst>
        </xdr:cNvPr>
        <xdr:cNvSpPr txBox="1"/>
      </xdr:nvSpPr>
      <xdr:spPr>
        <a:xfrm>
          <a:off x="8267700" y="3748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108</xdr:row>
      <xdr:rowOff>0</xdr:rowOff>
    </xdr:from>
    <xdr:ext cx="65" cy="172227"/>
    <xdr:sp macro="" textlink="">
      <xdr:nvSpPr>
        <xdr:cNvPr id="227" name="TextBox 226">
          <a:extLst>
            <a:ext uri="{FF2B5EF4-FFF2-40B4-BE49-F238E27FC236}">
              <a16:creationId xmlns:a16="http://schemas.microsoft.com/office/drawing/2014/main" id="{00000000-0008-0000-0000-000007000000}"/>
            </a:ext>
          </a:extLst>
        </xdr:cNvPr>
        <xdr:cNvSpPr txBox="1"/>
      </xdr:nvSpPr>
      <xdr:spPr>
        <a:xfrm>
          <a:off x="8267700" y="37665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108</xdr:row>
      <xdr:rowOff>0</xdr:rowOff>
    </xdr:from>
    <xdr:ext cx="65" cy="172227"/>
    <xdr:sp macro="" textlink="">
      <xdr:nvSpPr>
        <xdr:cNvPr id="228" name="TextBox 227">
          <a:extLst>
            <a:ext uri="{FF2B5EF4-FFF2-40B4-BE49-F238E27FC236}">
              <a16:creationId xmlns:a16="http://schemas.microsoft.com/office/drawing/2014/main" id="{00000000-0008-0000-0000-000007000000}"/>
            </a:ext>
          </a:extLst>
        </xdr:cNvPr>
        <xdr:cNvSpPr txBox="1"/>
      </xdr:nvSpPr>
      <xdr:spPr>
        <a:xfrm>
          <a:off x="8267700" y="37665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109</xdr:row>
      <xdr:rowOff>0</xdr:rowOff>
    </xdr:from>
    <xdr:ext cx="65" cy="172227"/>
    <xdr:sp macro="" textlink="">
      <xdr:nvSpPr>
        <xdr:cNvPr id="229" name="TextBox 228">
          <a:extLst>
            <a:ext uri="{FF2B5EF4-FFF2-40B4-BE49-F238E27FC236}">
              <a16:creationId xmlns:a16="http://schemas.microsoft.com/office/drawing/2014/main" id="{00000000-0008-0000-0000-000007000000}"/>
            </a:ext>
          </a:extLst>
        </xdr:cNvPr>
        <xdr:cNvSpPr txBox="1"/>
      </xdr:nvSpPr>
      <xdr:spPr>
        <a:xfrm>
          <a:off x="8267700" y="3784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109</xdr:row>
      <xdr:rowOff>0</xdr:rowOff>
    </xdr:from>
    <xdr:ext cx="65" cy="172227"/>
    <xdr:sp macro="" textlink="">
      <xdr:nvSpPr>
        <xdr:cNvPr id="230" name="TextBox 229">
          <a:extLst>
            <a:ext uri="{FF2B5EF4-FFF2-40B4-BE49-F238E27FC236}">
              <a16:creationId xmlns:a16="http://schemas.microsoft.com/office/drawing/2014/main" id="{00000000-0008-0000-0000-000007000000}"/>
            </a:ext>
          </a:extLst>
        </xdr:cNvPr>
        <xdr:cNvSpPr txBox="1"/>
      </xdr:nvSpPr>
      <xdr:spPr>
        <a:xfrm>
          <a:off x="8267700" y="3784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110</xdr:row>
      <xdr:rowOff>0</xdr:rowOff>
    </xdr:from>
    <xdr:ext cx="65" cy="172227"/>
    <xdr:sp macro="" textlink="">
      <xdr:nvSpPr>
        <xdr:cNvPr id="231" name="TextBox 230">
          <a:extLst>
            <a:ext uri="{FF2B5EF4-FFF2-40B4-BE49-F238E27FC236}">
              <a16:creationId xmlns:a16="http://schemas.microsoft.com/office/drawing/2014/main" id="{00000000-0008-0000-0000-000007000000}"/>
            </a:ext>
          </a:extLst>
        </xdr:cNvPr>
        <xdr:cNvSpPr txBox="1"/>
      </xdr:nvSpPr>
      <xdr:spPr>
        <a:xfrm>
          <a:off x="8267700" y="38031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110</xdr:row>
      <xdr:rowOff>0</xdr:rowOff>
    </xdr:from>
    <xdr:ext cx="65" cy="172227"/>
    <xdr:sp macro="" textlink="">
      <xdr:nvSpPr>
        <xdr:cNvPr id="232" name="TextBox 231">
          <a:extLst>
            <a:ext uri="{FF2B5EF4-FFF2-40B4-BE49-F238E27FC236}">
              <a16:creationId xmlns:a16="http://schemas.microsoft.com/office/drawing/2014/main" id="{00000000-0008-0000-0000-000007000000}"/>
            </a:ext>
          </a:extLst>
        </xdr:cNvPr>
        <xdr:cNvSpPr txBox="1"/>
      </xdr:nvSpPr>
      <xdr:spPr>
        <a:xfrm>
          <a:off x="8267700" y="38031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111</xdr:row>
      <xdr:rowOff>0</xdr:rowOff>
    </xdr:from>
    <xdr:ext cx="65" cy="172227"/>
    <xdr:sp macro="" textlink="">
      <xdr:nvSpPr>
        <xdr:cNvPr id="233" name="TextBox 232">
          <a:extLst>
            <a:ext uri="{FF2B5EF4-FFF2-40B4-BE49-F238E27FC236}">
              <a16:creationId xmlns:a16="http://schemas.microsoft.com/office/drawing/2014/main" id="{00000000-0008-0000-0000-000007000000}"/>
            </a:ext>
          </a:extLst>
        </xdr:cNvPr>
        <xdr:cNvSpPr txBox="1"/>
      </xdr:nvSpPr>
      <xdr:spPr>
        <a:xfrm>
          <a:off x="8267700" y="38214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111</xdr:row>
      <xdr:rowOff>0</xdr:rowOff>
    </xdr:from>
    <xdr:ext cx="65" cy="172227"/>
    <xdr:sp macro="" textlink="">
      <xdr:nvSpPr>
        <xdr:cNvPr id="234" name="TextBox 233">
          <a:extLst>
            <a:ext uri="{FF2B5EF4-FFF2-40B4-BE49-F238E27FC236}">
              <a16:creationId xmlns:a16="http://schemas.microsoft.com/office/drawing/2014/main" id="{00000000-0008-0000-0000-000007000000}"/>
            </a:ext>
          </a:extLst>
        </xdr:cNvPr>
        <xdr:cNvSpPr txBox="1"/>
      </xdr:nvSpPr>
      <xdr:spPr>
        <a:xfrm>
          <a:off x="8267700" y="38214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117</xdr:row>
      <xdr:rowOff>0</xdr:rowOff>
    </xdr:from>
    <xdr:ext cx="65" cy="172227"/>
    <xdr:sp macro="" textlink="">
      <xdr:nvSpPr>
        <xdr:cNvPr id="235" name="TextBox 234">
          <a:extLst>
            <a:ext uri="{FF2B5EF4-FFF2-40B4-BE49-F238E27FC236}">
              <a16:creationId xmlns:a16="http://schemas.microsoft.com/office/drawing/2014/main" id="{00000000-0008-0000-0000-000007000000}"/>
            </a:ext>
          </a:extLst>
        </xdr:cNvPr>
        <xdr:cNvSpPr txBox="1"/>
      </xdr:nvSpPr>
      <xdr:spPr>
        <a:xfrm>
          <a:off x="8267700" y="39311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117</xdr:row>
      <xdr:rowOff>0</xdr:rowOff>
    </xdr:from>
    <xdr:ext cx="65" cy="172227"/>
    <xdr:sp macro="" textlink="">
      <xdr:nvSpPr>
        <xdr:cNvPr id="236" name="TextBox 235">
          <a:extLst>
            <a:ext uri="{FF2B5EF4-FFF2-40B4-BE49-F238E27FC236}">
              <a16:creationId xmlns:a16="http://schemas.microsoft.com/office/drawing/2014/main" id="{00000000-0008-0000-0000-000007000000}"/>
            </a:ext>
          </a:extLst>
        </xdr:cNvPr>
        <xdr:cNvSpPr txBox="1"/>
      </xdr:nvSpPr>
      <xdr:spPr>
        <a:xfrm>
          <a:off x="8267700" y="39311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118</xdr:row>
      <xdr:rowOff>0</xdr:rowOff>
    </xdr:from>
    <xdr:ext cx="65" cy="172227"/>
    <xdr:sp macro="" textlink="">
      <xdr:nvSpPr>
        <xdr:cNvPr id="237" name="TextBox 236">
          <a:extLst>
            <a:ext uri="{FF2B5EF4-FFF2-40B4-BE49-F238E27FC236}">
              <a16:creationId xmlns:a16="http://schemas.microsoft.com/office/drawing/2014/main" id="{00000000-0008-0000-0000-000007000000}"/>
            </a:ext>
          </a:extLst>
        </xdr:cNvPr>
        <xdr:cNvSpPr txBox="1"/>
      </xdr:nvSpPr>
      <xdr:spPr>
        <a:xfrm>
          <a:off x="8267700" y="39494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118</xdr:row>
      <xdr:rowOff>0</xdr:rowOff>
    </xdr:from>
    <xdr:ext cx="65" cy="172227"/>
    <xdr:sp macro="" textlink="">
      <xdr:nvSpPr>
        <xdr:cNvPr id="238" name="TextBox 237">
          <a:extLst>
            <a:ext uri="{FF2B5EF4-FFF2-40B4-BE49-F238E27FC236}">
              <a16:creationId xmlns:a16="http://schemas.microsoft.com/office/drawing/2014/main" id="{00000000-0008-0000-0000-000007000000}"/>
            </a:ext>
          </a:extLst>
        </xdr:cNvPr>
        <xdr:cNvSpPr txBox="1"/>
      </xdr:nvSpPr>
      <xdr:spPr>
        <a:xfrm>
          <a:off x="8267700" y="39494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119</xdr:row>
      <xdr:rowOff>0</xdr:rowOff>
    </xdr:from>
    <xdr:ext cx="65" cy="172227"/>
    <xdr:sp macro="" textlink="">
      <xdr:nvSpPr>
        <xdr:cNvPr id="239" name="TextBox 238">
          <a:extLst>
            <a:ext uri="{FF2B5EF4-FFF2-40B4-BE49-F238E27FC236}">
              <a16:creationId xmlns:a16="http://schemas.microsoft.com/office/drawing/2014/main" id="{00000000-0008-0000-0000-000007000000}"/>
            </a:ext>
          </a:extLst>
        </xdr:cNvPr>
        <xdr:cNvSpPr txBox="1"/>
      </xdr:nvSpPr>
      <xdr:spPr>
        <a:xfrm>
          <a:off x="8267700" y="39677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119</xdr:row>
      <xdr:rowOff>0</xdr:rowOff>
    </xdr:from>
    <xdr:ext cx="65" cy="172227"/>
    <xdr:sp macro="" textlink="">
      <xdr:nvSpPr>
        <xdr:cNvPr id="240" name="TextBox 239">
          <a:extLst>
            <a:ext uri="{FF2B5EF4-FFF2-40B4-BE49-F238E27FC236}">
              <a16:creationId xmlns:a16="http://schemas.microsoft.com/office/drawing/2014/main" id="{00000000-0008-0000-0000-000007000000}"/>
            </a:ext>
          </a:extLst>
        </xdr:cNvPr>
        <xdr:cNvSpPr txBox="1"/>
      </xdr:nvSpPr>
      <xdr:spPr>
        <a:xfrm>
          <a:off x="8267700" y="39677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120</xdr:row>
      <xdr:rowOff>0</xdr:rowOff>
    </xdr:from>
    <xdr:ext cx="65" cy="172227"/>
    <xdr:sp macro="" textlink="">
      <xdr:nvSpPr>
        <xdr:cNvPr id="241" name="TextBox 240">
          <a:extLst>
            <a:ext uri="{FF2B5EF4-FFF2-40B4-BE49-F238E27FC236}">
              <a16:creationId xmlns:a16="http://schemas.microsoft.com/office/drawing/2014/main" id="{00000000-0008-0000-0000-000007000000}"/>
            </a:ext>
          </a:extLst>
        </xdr:cNvPr>
        <xdr:cNvSpPr txBox="1"/>
      </xdr:nvSpPr>
      <xdr:spPr>
        <a:xfrm>
          <a:off x="8267700" y="39860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120</xdr:row>
      <xdr:rowOff>0</xdr:rowOff>
    </xdr:from>
    <xdr:ext cx="65" cy="172227"/>
    <xdr:sp macro="" textlink="">
      <xdr:nvSpPr>
        <xdr:cNvPr id="242" name="TextBox 241">
          <a:extLst>
            <a:ext uri="{FF2B5EF4-FFF2-40B4-BE49-F238E27FC236}">
              <a16:creationId xmlns:a16="http://schemas.microsoft.com/office/drawing/2014/main" id="{00000000-0008-0000-0000-000007000000}"/>
            </a:ext>
          </a:extLst>
        </xdr:cNvPr>
        <xdr:cNvSpPr txBox="1"/>
      </xdr:nvSpPr>
      <xdr:spPr>
        <a:xfrm>
          <a:off x="8267700" y="39860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121</xdr:row>
      <xdr:rowOff>0</xdr:rowOff>
    </xdr:from>
    <xdr:ext cx="65" cy="172227"/>
    <xdr:sp macro="" textlink="">
      <xdr:nvSpPr>
        <xdr:cNvPr id="243" name="TextBox 242">
          <a:extLst>
            <a:ext uri="{FF2B5EF4-FFF2-40B4-BE49-F238E27FC236}">
              <a16:creationId xmlns:a16="http://schemas.microsoft.com/office/drawing/2014/main" id="{00000000-0008-0000-0000-000007000000}"/>
            </a:ext>
          </a:extLst>
        </xdr:cNvPr>
        <xdr:cNvSpPr txBox="1"/>
      </xdr:nvSpPr>
      <xdr:spPr>
        <a:xfrm>
          <a:off x="8267700" y="40043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121</xdr:row>
      <xdr:rowOff>0</xdr:rowOff>
    </xdr:from>
    <xdr:ext cx="65" cy="172227"/>
    <xdr:sp macro="" textlink="">
      <xdr:nvSpPr>
        <xdr:cNvPr id="244" name="TextBox 243">
          <a:extLst>
            <a:ext uri="{FF2B5EF4-FFF2-40B4-BE49-F238E27FC236}">
              <a16:creationId xmlns:a16="http://schemas.microsoft.com/office/drawing/2014/main" id="{00000000-0008-0000-0000-000007000000}"/>
            </a:ext>
          </a:extLst>
        </xdr:cNvPr>
        <xdr:cNvSpPr txBox="1"/>
      </xdr:nvSpPr>
      <xdr:spPr>
        <a:xfrm>
          <a:off x="8267700" y="40043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127</xdr:row>
      <xdr:rowOff>0</xdr:rowOff>
    </xdr:from>
    <xdr:ext cx="65" cy="172227"/>
    <xdr:sp macro="" textlink="">
      <xdr:nvSpPr>
        <xdr:cNvPr id="245" name="TextBox 244">
          <a:extLst>
            <a:ext uri="{FF2B5EF4-FFF2-40B4-BE49-F238E27FC236}">
              <a16:creationId xmlns:a16="http://schemas.microsoft.com/office/drawing/2014/main" id="{00000000-0008-0000-0000-000007000000}"/>
            </a:ext>
          </a:extLst>
        </xdr:cNvPr>
        <xdr:cNvSpPr txBox="1"/>
      </xdr:nvSpPr>
      <xdr:spPr>
        <a:xfrm>
          <a:off x="8267700" y="41140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127</xdr:row>
      <xdr:rowOff>0</xdr:rowOff>
    </xdr:from>
    <xdr:ext cx="65" cy="172227"/>
    <xdr:sp macro="" textlink="">
      <xdr:nvSpPr>
        <xdr:cNvPr id="246" name="TextBox 245">
          <a:extLst>
            <a:ext uri="{FF2B5EF4-FFF2-40B4-BE49-F238E27FC236}">
              <a16:creationId xmlns:a16="http://schemas.microsoft.com/office/drawing/2014/main" id="{00000000-0008-0000-0000-000007000000}"/>
            </a:ext>
          </a:extLst>
        </xdr:cNvPr>
        <xdr:cNvSpPr txBox="1"/>
      </xdr:nvSpPr>
      <xdr:spPr>
        <a:xfrm>
          <a:off x="8267700" y="41140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128</xdr:row>
      <xdr:rowOff>0</xdr:rowOff>
    </xdr:from>
    <xdr:ext cx="65" cy="172227"/>
    <xdr:sp macro="" textlink="">
      <xdr:nvSpPr>
        <xdr:cNvPr id="247" name="TextBox 246">
          <a:extLst>
            <a:ext uri="{FF2B5EF4-FFF2-40B4-BE49-F238E27FC236}">
              <a16:creationId xmlns:a16="http://schemas.microsoft.com/office/drawing/2014/main" id="{00000000-0008-0000-0000-000007000000}"/>
            </a:ext>
          </a:extLst>
        </xdr:cNvPr>
        <xdr:cNvSpPr txBox="1"/>
      </xdr:nvSpPr>
      <xdr:spPr>
        <a:xfrm>
          <a:off x="8267700" y="41323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128</xdr:row>
      <xdr:rowOff>0</xdr:rowOff>
    </xdr:from>
    <xdr:ext cx="65" cy="172227"/>
    <xdr:sp macro="" textlink="">
      <xdr:nvSpPr>
        <xdr:cNvPr id="248" name="TextBox 247">
          <a:extLst>
            <a:ext uri="{FF2B5EF4-FFF2-40B4-BE49-F238E27FC236}">
              <a16:creationId xmlns:a16="http://schemas.microsoft.com/office/drawing/2014/main" id="{00000000-0008-0000-0000-000007000000}"/>
            </a:ext>
          </a:extLst>
        </xdr:cNvPr>
        <xdr:cNvSpPr txBox="1"/>
      </xdr:nvSpPr>
      <xdr:spPr>
        <a:xfrm>
          <a:off x="8267700" y="41323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129</xdr:row>
      <xdr:rowOff>0</xdr:rowOff>
    </xdr:from>
    <xdr:ext cx="65" cy="172227"/>
    <xdr:sp macro="" textlink="">
      <xdr:nvSpPr>
        <xdr:cNvPr id="249" name="TextBox 248">
          <a:extLst>
            <a:ext uri="{FF2B5EF4-FFF2-40B4-BE49-F238E27FC236}">
              <a16:creationId xmlns:a16="http://schemas.microsoft.com/office/drawing/2014/main" id="{00000000-0008-0000-0000-000007000000}"/>
            </a:ext>
          </a:extLst>
        </xdr:cNvPr>
        <xdr:cNvSpPr txBox="1"/>
      </xdr:nvSpPr>
      <xdr:spPr>
        <a:xfrm>
          <a:off x="8267700" y="4150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129</xdr:row>
      <xdr:rowOff>0</xdr:rowOff>
    </xdr:from>
    <xdr:ext cx="65" cy="172227"/>
    <xdr:sp macro="" textlink="">
      <xdr:nvSpPr>
        <xdr:cNvPr id="250" name="TextBox 249">
          <a:extLst>
            <a:ext uri="{FF2B5EF4-FFF2-40B4-BE49-F238E27FC236}">
              <a16:creationId xmlns:a16="http://schemas.microsoft.com/office/drawing/2014/main" id="{00000000-0008-0000-0000-000007000000}"/>
            </a:ext>
          </a:extLst>
        </xdr:cNvPr>
        <xdr:cNvSpPr txBox="1"/>
      </xdr:nvSpPr>
      <xdr:spPr>
        <a:xfrm>
          <a:off x="8267700" y="4150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130</xdr:row>
      <xdr:rowOff>0</xdr:rowOff>
    </xdr:from>
    <xdr:ext cx="65" cy="172227"/>
    <xdr:sp macro="" textlink="">
      <xdr:nvSpPr>
        <xdr:cNvPr id="251" name="TextBox 250">
          <a:extLst>
            <a:ext uri="{FF2B5EF4-FFF2-40B4-BE49-F238E27FC236}">
              <a16:creationId xmlns:a16="http://schemas.microsoft.com/office/drawing/2014/main" id="{00000000-0008-0000-0000-000007000000}"/>
            </a:ext>
          </a:extLst>
        </xdr:cNvPr>
        <xdr:cNvSpPr txBox="1"/>
      </xdr:nvSpPr>
      <xdr:spPr>
        <a:xfrm>
          <a:off x="8267700" y="4168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130</xdr:row>
      <xdr:rowOff>0</xdr:rowOff>
    </xdr:from>
    <xdr:ext cx="65" cy="172227"/>
    <xdr:sp macro="" textlink="">
      <xdr:nvSpPr>
        <xdr:cNvPr id="252" name="TextBox 251">
          <a:extLst>
            <a:ext uri="{FF2B5EF4-FFF2-40B4-BE49-F238E27FC236}">
              <a16:creationId xmlns:a16="http://schemas.microsoft.com/office/drawing/2014/main" id="{00000000-0008-0000-0000-000007000000}"/>
            </a:ext>
          </a:extLst>
        </xdr:cNvPr>
        <xdr:cNvSpPr txBox="1"/>
      </xdr:nvSpPr>
      <xdr:spPr>
        <a:xfrm>
          <a:off x="8267700" y="4168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131</xdr:row>
      <xdr:rowOff>0</xdr:rowOff>
    </xdr:from>
    <xdr:ext cx="65" cy="172227"/>
    <xdr:sp macro="" textlink="">
      <xdr:nvSpPr>
        <xdr:cNvPr id="253" name="TextBox 252">
          <a:extLst>
            <a:ext uri="{FF2B5EF4-FFF2-40B4-BE49-F238E27FC236}">
              <a16:creationId xmlns:a16="http://schemas.microsoft.com/office/drawing/2014/main" id="{00000000-0008-0000-0000-000007000000}"/>
            </a:ext>
          </a:extLst>
        </xdr:cNvPr>
        <xdr:cNvSpPr txBox="1"/>
      </xdr:nvSpPr>
      <xdr:spPr>
        <a:xfrm>
          <a:off x="8267700" y="4187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131</xdr:row>
      <xdr:rowOff>0</xdr:rowOff>
    </xdr:from>
    <xdr:ext cx="65" cy="172227"/>
    <xdr:sp macro="" textlink="">
      <xdr:nvSpPr>
        <xdr:cNvPr id="254" name="TextBox 253">
          <a:extLst>
            <a:ext uri="{FF2B5EF4-FFF2-40B4-BE49-F238E27FC236}">
              <a16:creationId xmlns:a16="http://schemas.microsoft.com/office/drawing/2014/main" id="{00000000-0008-0000-0000-000007000000}"/>
            </a:ext>
          </a:extLst>
        </xdr:cNvPr>
        <xdr:cNvSpPr txBox="1"/>
      </xdr:nvSpPr>
      <xdr:spPr>
        <a:xfrm>
          <a:off x="8267700" y="4187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82</xdr:row>
      <xdr:rowOff>0</xdr:rowOff>
    </xdr:from>
    <xdr:ext cx="65" cy="172227"/>
    <xdr:sp macro="" textlink="">
      <xdr:nvSpPr>
        <xdr:cNvPr id="258" name="TextBox 257">
          <a:extLst>
            <a:ext uri="{FF2B5EF4-FFF2-40B4-BE49-F238E27FC236}">
              <a16:creationId xmlns:a16="http://schemas.microsoft.com/office/drawing/2014/main" id="{00000000-0008-0000-0000-000007000000}"/>
            </a:ext>
          </a:extLst>
        </xdr:cNvPr>
        <xdr:cNvSpPr txBox="1"/>
      </xdr:nvSpPr>
      <xdr:spPr>
        <a:xfrm>
          <a:off x="8267700" y="32834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82</xdr:row>
      <xdr:rowOff>0</xdr:rowOff>
    </xdr:from>
    <xdr:ext cx="65" cy="172227"/>
    <xdr:sp macro="" textlink="">
      <xdr:nvSpPr>
        <xdr:cNvPr id="262" name="TextBox 261">
          <a:extLst>
            <a:ext uri="{FF2B5EF4-FFF2-40B4-BE49-F238E27FC236}">
              <a16:creationId xmlns:a16="http://schemas.microsoft.com/office/drawing/2014/main" id="{00000000-0008-0000-0000-000007000000}"/>
            </a:ext>
          </a:extLst>
        </xdr:cNvPr>
        <xdr:cNvSpPr txBox="1"/>
      </xdr:nvSpPr>
      <xdr:spPr>
        <a:xfrm>
          <a:off x="8267700" y="32834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83</xdr:row>
      <xdr:rowOff>0</xdr:rowOff>
    </xdr:from>
    <xdr:ext cx="65" cy="172227"/>
    <xdr:sp macro="" textlink="">
      <xdr:nvSpPr>
        <xdr:cNvPr id="263" name="TextBox 262">
          <a:extLst>
            <a:ext uri="{FF2B5EF4-FFF2-40B4-BE49-F238E27FC236}">
              <a16:creationId xmlns:a16="http://schemas.microsoft.com/office/drawing/2014/main" id="{00000000-0008-0000-0000-000007000000}"/>
            </a:ext>
          </a:extLst>
        </xdr:cNvPr>
        <xdr:cNvSpPr txBox="1"/>
      </xdr:nvSpPr>
      <xdr:spPr>
        <a:xfrm>
          <a:off x="8267700" y="33032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83</xdr:row>
      <xdr:rowOff>0</xdr:rowOff>
    </xdr:from>
    <xdr:ext cx="65" cy="172227"/>
    <xdr:sp macro="" textlink="">
      <xdr:nvSpPr>
        <xdr:cNvPr id="264" name="TextBox 263">
          <a:extLst>
            <a:ext uri="{FF2B5EF4-FFF2-40B4-BE49-F238E27FC236}">
              <a16:creationId xmlns:a16="http://schemas.microsoft.com/office/drawing/2014/main" id="{00000000-0008-0000-0000-000007000000}"/>
            </a:ext>
          </a:extLst>
        </xdr:cNvPr>
        <xdr:cNvSpPr txBox="1"/>
      </xdr:nvSpPr>
      <xdr:spPr>
        <a:xfrm>
          <a:off x="8267700" y="33032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84</xdr:row>
      <xdr:rowOff>0</xdr:rowOff>
    </xdr:from>
    <xdr:ext cx="65" cy="172227"/>
    <xdr:sp macro="" textlink="">
      <xdr:nvSpPr>
        <xdr:cNvPr id="265" name="TextBox 264">
          <a:extLst>
            <a:ext uri="{FF2B5EF4-FFF2-40B4-BE49-F238E27FC236}">
              <a16:creationId xmlns:a16="http://schemas.microsoft.com/office/drawing/2014/main" id="{00000000-0008-0000-0000-000007000000}"/>
            </a:ext>
          </a:extLst>
        </xdr:cNvPr>
        <xdr:cNvSpPr txBox="1"/>
      </xdr:nvSpPr>
      <xdr:spPr>
        <a:xfrm>
          <a:off x="8267700" y="33230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84</xdr:row>
      <xdr:rowOff>0</xdr:rowOff>
    </xdr:from>
    <xdr:ext cx="65" cy="172227"/>
    <xdr:sp macro="" textlink="">
      <xdr:nvSpPr>
        <xdr:cNvPr id="266" name="TextBox 265">
          <a:extLst>
            <a:ext uri="{FF2B5EF4-FFF2-40B4-BE49-F238E27FC236}">
              <a16:creationId xmlns:a16="http://schemas.microsoft.com/office/drawing/2014/main" id="{00000000-0008-0000-0000-000007000000}"/>
            </a:ext>
          </a:extLst>
        </xdr:cNvPr>
        <xdr:cNvSpPr txBox="1"/>
      </xdr:nvSpPr>
      <xdr:spPr>
        <a:xfrm>
          <a:off x="8267700" y="33230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267" name="TextBox 266">
          <a:extLst>
            <a:ext uri="{FF2B5EF4-FFF2-40B4-BE49-F238E27FC236}">
              <a16:creationId xmlns:a16="http://schemas.microsoft.com/office/drawing/2014/main" id="{00000000-0008-0000-0000-000007000000}"/>
            </a:ext>
          </a:extLst>
        </xdr:cNvPr>
        <xdr:cNvSpPr txBox="1"/>
      </xdr:nvSpPr>
      <xdr:spPr>
        <a:xfrm>
          <a:off x="8267700" y="33428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268" name="TextBox 267">
          <a:extLst>
            <a:ext uri="{FF2B5EF4-FFF2-40B4-BE49-F238E27FC236}">
              <a16:creationId xmlns:a16="http://schemas.microsoft.com/office/drawing/2014/main" id="{00000000-0008-0000-0000-000007000000}"/>
            </a:ext>
          </a:extLst>
        </xdr:cNvPr>
        <xdr:cNvSpPr txBox="1"/>
      </xdr:nvSpPr>
      <xdr:spPr>
        <a:xfrm>
          <a:off x="8267700" y="33428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269" name="TextBox 268">
          <a:extLst>
            <a:ext uri="{FF2B5EF4-FFF2-40B4-BE49-F238E27FC236}">
              <a16:creationId xmlns:a16="http://schemas.microsoft.com/office/drawing/2014/main" id="{00000000-0008-0000-0000-000007000000}"/>
            </a:ext>
          </a:extLst>
        </xdr:cNvPr>
        <xdr:cNvSpPr txBox="1"/>
      </xdr:nvSpPr>
      <xdr:spPr>
        <a:xfrm>
          <a:off x="8267700" y="33627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270" name="TextBox 269">
          <a:extLst>
            <a:ext uri="{FF2B5EF4-FFF2-40B4-BE49-F238E27FC236}">
              <a16:creationId xmlns:a16="http://schemas.microsoft.com/office/drawing/2014/main" id="{00000000-0008-0000-0000-000007000000}"/>
            </a:ext>
          </a:extLst>
        </xdr:cNvPr>
        <xdr:cNvSpPr txBox="1"/>
      </xdr:nvSpPr>
      <xdr:spPr>
        <a:xfrm>
          <a:off x="8267700" y="33627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271" name="TextBox 270">
          <a:extLst>
            <a:ext uri="{FF2B5EF4-FFF2-40B4-BE49-F238E27FC236}">
              <a16:creationId xmlns:a16="http://schemas.microsoft.com/office/drawing/2014/main" id="{00000000-0008-0000-0000-000007000000}"/>
            </a:ext>
          </a:extLst>
        </xdr:cNvPr>
        <xdr:cNvSpPr txBox="1"/>
      </xdr:nvSpPr>
      <xdr:spPr>
        <a:xfrm>
          <a:off x="8267700" y="33825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272" name="TextBox 271">
          <a:extLst>
            <a:ext uri="{FF2B5EF4-FFF2-40B4-BE49-F238E27FC236}">
              <a16:creationId xmlns:a16="http://schemas.microsoft.com/office/drawing/2014/main" id="{00000000-0008-0000-0000-000007000000}"/>
            </a:ext>
          </a:extLst>
        </xdr:cNvPr>
        <xdr:cNvSpPr txBox="1"/>
      </xdr:nvSpPr>
      <xdr:spPr>
        <a:xfrm>
          <a:off x="8267700" y="33825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88</xdr:row>
      <xdr:rowOff>0</xdr:rowOff>
    </xdr:from>
    <xdr:ext cx="65" cy="172227"/>
    <xdr:sp macro="" textlink="">
      <xdr:nvSpPr>
        <xdr:cNvPr id="273" name="TextBox 272">
          <a:extLst>
            <a:ext uri="{FF2B5EF4-FFF2-40B4-BE49-F238E27FC236}">
              <a16:creationId xmlns:a16="http://schemas.microsoft.com/office/drawing/2014/main" id="{00000000-0008-0000-0000-000007000000}"/>
            </a:ext>
          </a:extLst>
        </xdr:cNvPr>
        <xdr:cNvSpPr txBox="1"/>
      </xdr:nvSpPr>
      <xdr:spPr>
        <a:xfrm>
          <a:off x="8267700" y="34008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88</xdr:row>
      <xdr:rowOff>0</xdr:rowOff>
    </xdr:from>
    <xdr:ext cx="65" cy="172227"/>
    <xdr:sp macro="" textlink="">
      <xdr:nvSpPr>
        <xdr:cNvPr id="274" name="TextBox 273">
          <a:extLst>
            <a:ext uri="{FF2B5EF4-FFF2-40B4-BE49-F238E27FC236}">
              <a16:creationId xmlns:a16="http://schemas.microsoft.com/office/drawing/2014/main" id="{00000000-0008-0000-0000-000007000000}"/>
            </a:ext>
          </a:extLst>
        </xdr:cNvPr>
        <xdr:cNvSpPr txBox="1"/>
      </xdr:nvSpPr>
      <xdr:spPr>
        <a:xfrm>
          <a:off x="8267700" y="34008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89</xdr:row>
      <xdr:rowOff>0</xdr:rowOff>
    </xdr:from>
    <xdr:ext cx="65" cy="172227"/>
    <xdr:sp macro="" textlink="">
      <xdr:nvSpPr>
        <xdr:cNvPr id="275" name="TextBox 274">
          <a:extLst>
            <a:ext uri="{FF2B5EF4-FFF2-40B4-BE49-F238E27FC236}">
              <a16:creationId xmlns:a16="http://schemas.microsoft.com/office/drawing/2014/main" id="{00000000-0008-0000-0000-000007000000}"/>
            </a:ext>
          </a:extLst>
        </xdr:cNvPr>
        <xdr:cNvSpPr txBox="1"/>
      </xdr:nvSpPr>
      <xdr:spPr>
        <a:xfrm>
          <a:off x="8267700" y="3419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89</xdr:row>
      <xdr:rowOff>0</xdr:rowOff>
    </xdr:from>
    <xdr:ext cx="65" cy="172227"/>
    <xdr:sp macro="" textlink="">
      <xdr:nvSpPr>
        <xdr:cNvPr id="276" name="TextBox 275">
          <a:extLst>
            <a:ext uri="{FF2B5EF4-FFF2-40B4-BE49-F238E27FC236}">
              <a16:creationId xmlns:a16="http://schemas.microsoft.com/office/drawing/2014/main" id="{00000000-0008-0000-0000-000007000000}"/>
            </a:ext>
          </a:extLst>
        </xdr:cNvPr>
        <xdr:cNvSpPr txBox="1"/>
      </xdr:nvSpPr>
      <xdr:spPr>
        <a:xfrm>
          <a:off x="8267700" y="3419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90</xdr:row>
      <xdr:rowOff>0</xdr:rowOff>
    </xdr:from>
    <xdr:ext cx="65" cy="172227"/>
    <xdr:sp macro="" textlink="">
      <xdr:nvSpPr>
        <xdr:cNvPr id="277" name="TextBox 276">
          <a:extLst>
            <a:ext uri="{FF2B5EF4-FFF2-40B4-BE49-F238E27FC236}">
              <a16:creationId xmlns:a16="http://schemas.microsoft.com/office/drawing/2014/main" id="{00000000-0008-0000-0000-000007000000}"/>
            </a:ext>
          </a:extLst>
        </xdr:cNvPr>
        <xdr:cNvSpPr txBox="1"/>
      </xdr:nvSpPr>
      <xdr:spPr>
        <a:xfrm>
          <a:off x="8267700" y="34373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90</xdr:row>
      <xdr:rowOff>0</xdr:rowOff>
    </xdr:from>
    <xdr:ext cx="65" cy="172227"/>
    <xdr:sp macro="" textlink="">
      <xdr:nvSpPr>
        <xdr:cNvPr id="278" name="TextBox 277">
          <a:extLst>
            <a:ext uri="{FF2B5EF4-FFF2-40B4-BE49-F238E27FC236}">
              <a16:creationId xmlns:a16="http://schemas.microsoft.com/office/drawing/2014/main" id="{00000000-0008-0000-0000-000007000000}"/>
            </a:ext>
          </a:extLst>
        </xdr:cNvPr>
        <xdr:cNvSpPr txBox="1"/>
      </xdr:nvSpPr>
      <xdr:spPr>
        <a:xfrm>
          <a:off x="8267700" y="34373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91</xdr:row>
      <xdr:rowOff>0</xdr:rowOff>
    </xdr:from>
    <xdr:ext cx="65" cy="172227"/>
    <xdr:sp macro="" textlink="">
      <xdr:nvSpPr>
        <xdr:cNvPr id="279" name="TextBox 278">
          <a:extLst>
            <a:ext uri="{FF2B5EF4-FFF2-40B4-BE49-F238E27FC236}">
              <a16:creationId xmlns:a16="http://schemas.microsoft.com/office/drawing/2014/main" id="{00000000-0008-0000-0000-000007000000}"/>
            </a:ext>
          </a:extLst>
        </xdr:cNvPr>
        <xdr:cNvSpPr txBox="1"/>
      </xdr:nvSpPr>
      <xdr:spPr>
        <a:xfrm>
          <a:off x="8267700" y="34556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91</xdr:row>
      <xdr:rowOff>0</xdr:rowOff>
    </xdr:from>
    <xdr:ext cx="65" cy="172227"/>
    <xdr:sp macro="" textlink="">
      <xdr:nvSpPr>
        <xdr:cNvPr id="280" name="TextBox 279">
          <a:extLst>
            <a:ext uri="{FF2B5EF4-FFF2-40B4-BE49-F238E27FC236}">
              <a16:creationId xmlns:a16="http://schemas.microsoft.com/office/drawing/2014/main" id="{00000000-0008-0000-0000-000007000000}"/>
            </a:ext>
          </a:extLst>
        </xdr:cNvPr>
        <xdr:cNvSpPr txBox="1"/>
      </xdr:nvSpPr>
      <xdr:spPr>
        <a:xfrm>
          <a:off x="8267700" y="34556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97</xdr:row>
      <xdr:rowOff>0</xdr:rowOff>
    </xdr:from>
    <xdr:ext cx="65" cy="172227"/>
    <xdr:sp macro="" textlink="">
      <xdr:nvSpPr>
        <xdr:cNvPr id="281" name="TextBox 280">
          <a:extLst>
            <a:ext uri="{FF2B5EF4-FFF2-40B4-BE49-F238E27FC236}">
              <a16:creationId xmlns:a16="http://schemas.microsoft.com/office/drawing/2014/main" id="{00000000-0008-0000-0000-000007000000}"/>
            </a:ext>
          </a:extLst>
        </xdr:cNvPr>
        <xdr:cNvSpPr txBox="1"/>
      </xdr:nvSpPr>
      <xdr:spPr>
        <a:xfrm>
          <a:off x="8267700" y="35653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97</xdr:row>
      <xdr:rowOff>0</xdr:rowOff>
    </xdr:from>
    <xdr:ext cx="65" cy="172227"/>
    <xdr:sp macro="" textlink="">
      <xdr:nvSpPr>
        <xdr:cNvPr id="282" name="TextBox 281">
          <a:extLst>
            <a:ext uri="{FF2B5EF4-FFF2-40B4-BE49-F238E27FC236}">
              <a16:creationId xmlns:a16="http://schemas.microsoft.com/office/drawing/2014/main" id="{00000000-0008-0000-0000-000007000000}"/>
            </a:ext>
          </a:extLst>
        </xdr:cNvPr>
        <xdr:cNvSpPr txBox="1"/>
      </xdr:nvSpPr>
      <xdr:spPr>
        <a:xfrm>
          <a:off x="8267700" y="35653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98</xdr:row>
      <xdr:rowOff>0</xdr:rowOff>
    </xdr:from>
    <xdr:ext cx="65" cy="172227"/>
    <xdr:sp macro="" textlink="">
      <xdr:nvSpPr>
        <xdr:cNvPr id="283" name="TextBox 282">
          <a:extLst>
            <a:ext uri="{FF2B5EF4-FFF2-40B4-BE49-F238E27FC236}">
              <a16:creationId xmlns:a16="http://schemas.microsoft.com/office/drawing/2014/main" id="{00000000-0008-0000-0000-000007000000}"/>
            </a:ext>
          </a:extLst>
        </xdr:cNvPr>
        <xdr:cNvSpPr txBox="1"/>
      </xdr:nvSpPr>
      <xdr:spPr>
        <a:xfrm>
          <a:off x="8267700" y="35836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98</xdr:row>
      <xdr:rowOff>0</xdr:rowOff>
    </xdr:from>
    <xdr:ext cx="65" cy="172227"/>
    <xdr:sp macro="" textlink="">
      <xdr:nvSpPr>
        <xdr:cNvPr id="284" name="TextBox 283">
          <a:extLst>
            <a:ext uri="{FF2B5EF4-FFF2-40B4-BE49-F238E27FC236}">
              <a16:creationId xmlns:a16="http://schemas.microsoft.com/office/drawing/2014/main" id="{00000000-0008-0000-0000-000007000000}"/>
            </a:ext>
          </a:extLst>
        </xdr:cNvPr>
        <xdr:cNvSpPr txBox="1"/>
      </xdr:nvSpPr>
      <xdr:spPr>
        <a:xfrm>
          <a:off x="8267700" y="35836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99</xdr:row>
      <xdr:rowOff>0</xdr:rowOff>
    </xdr:from>
    <xdr:ext cx="65" cy="172227"/>
    <xdr:sp macro="" textlink="">
      <xdr:nvSpPr>
        <xdr:cNvPr id="285" name="TextBox 284">
          <a:extLst>
            <a:ext uri="{FF2B5EF4-FFF2-40B4-BE49-F238E27FC236}">
              <a16:creationId xmlns:a16="http://schemas.microsoft.com/office/drawing/2014/main" id="{00000000-0008-0000-0000-000007000000}"/>
            </a:ext>
          </a:extLst>
        </xdr:cNvPr>
        <xdr:cNvSpPr txBox="1"/>
      </xdr:nvSpPr>
      <xdr:spPr>
        <a:xfrm>
          <a:off x="8267700" y="36019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99</xdr:row>
      <xdr:rowOff>0</xdr:rowOff>
    </xdr:from>
    <xdr:ext cx="65" cy="172227"/>
    <xdr:sp macro="" textlink="">
      <xdr:nvSpPr>
        <xdr:cNvPr id="286" name="TextBox 285">
          <a:extLst>
            <a:ext uri="{FF2B5EF4-FFF2-40B4-BE49-F238E27FC236}">
              <a16:creationId xmlns:a16="http://schemas.microsoft.com/office/drawing/2014/main" id="{00000000-0008-0000-0000-000007000000}"/>
            </a:ext>
          </a:extLst>
        </xdr:cNvPr>
        <xdr:cNvSpPr txBox="1"/>
      </xdr:nvSpPr>
      <xdr:spPr>
        <a:xfrm>
          <a:off x="8267700" y="36019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100</xdr:row>
      <xdr:rowOff>0</xdr:rowOff>
    </xdr:from>
    <xdr:ext cx="65" cy="172227"/>
    <xdr:sp macro="" textlink="">
      <xdr:nvSpPr>
        <xdr:cNvPr id="287" name="TextBox 286">
          <a:extLst>
            <a:ext uri="{FF2B5EF4-FFF2-40B4-BE49-F238E27FC236}">
              <a16:creationId xmlns:a16="http://schemas.microsoft.com/office/drawing/2014/main" id="{00000000-0008-0000-0000-000007000000}"/>
            </a:ext>
          </a:extLst>
        </xdr:cNvPr>
        <xdr:cNvSpPr txBox="1"/>
      </xdr:nvSpPr>
      <xdr:spPr>
        <a:xfrm>
          <a:off x="8267700" y="36202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100</xdr:row>
      <xdr:rowOff>0</xdr:rowOff>
    </xdr:from>
    <xdr:ext cx="65" cy="172227"/>
    <xdr:sp macro="" textlink="">
      <xdr:nvSpPr>
        <xdr:cNvPr id="288" name="TextBox 287">
          <a:extLst>
            <a:ext uri="{FF2B5EF4-FFF2-40B4-BE49-F238E27FC236}">
              <a16:creationId xmlns:a16="http://schemas.microsoft.com/office/drawing/2014/main" id="{00000000-0008-0000-0000-000007000000}"/>
            </a:ext>
          </a:extLst>
        </xdr:cNvPr>
        <xdr:cNvSpPr txBox="1"/>
      </xdr:nvSpPr>
      <xdr:spPr>
        <a:xfrm>
          <a:off x="8267700" y="36202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101</xdr:row>
      <xdr:rowOff>0</xdr:rowOff>
    </xdr:from>
    <xdr:ext cx="65" cy="172227"/>
    <xdr:sp macro="" textlink="">
      <xdr:nvSpPr>
        <xdr:cNvPr id="289" name="TextBox 288">
          <a:extLst>
            <a:ext uri="{FF2B5EF4-FFF2-40B4-BE49-F238E27FC236}">
              <a16:creationId xmlns:a16="http://schemas.microsoft.com/office/drawing/2014/main" id="{00000000-0008-0000-0000-000007000000}"/>
            </a:ext>
          </a:extLst>
        </xdr:cNvPr>
        <xdr:cNvSpPr txBox="1"/>
      </xdr:nvSpPr>
      <xdr:spPr>
        <a:xfrm>
          <a:off x="826770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101</xdr:row>
      <xdr:rowOff>0</xdr:rowOff>
    </xdr:from>
    <xdr:ext cx="65" cy="172227"/>
    <xdr:sp macro="" textlink="">
      <xdr:nvSpPr>
        <xdr:cNvPr id="290" name="TextBox 289">
          <a:extLst>
            <a:ext uri="{FF2B5EF4-FFF2-40B4-BE49-F238E27FC236}">
              <a16:creationId xmlns:a16="http://schemas.microsoft.com/office/drawing/2014/main" id="{00000000-0008-0000-0000-000007000000}"/>
            </a:ext>
          </a:extLst>
        </xdr:cNvPr>
        <xdr:cNvSpPr txBox="1"/>
      </xdr:nvSpPr>
      <xdr:spPr>
        <a:xfrm>
          <a:off x="826770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107</xdr:row>
      <xdr:rowOff>0</xdr:rowOff>
    </xdr:from>
    <xdr:ext cx="65" cy="172227"/>
    <xdr:sp macro="" textlink="">
      <xdr:nvSpPr>
        <xdr:cNvPr id="291" name="TextBox 290">
          <a:extLst>
            <a:ext uri="{FF2B5EF4-FFF2-40B4-BE49-F238E27FC236}">
              <a16:creationId xmlns:a16="http://schemas.microsoft.com/office/drawing/2014/main" id="{00000000-0008-0000-0000-000007000000}"/>
            </a:ext>
          </a:extLst>
        </xdr:cNvPr>
        <xdr:cNvSpPr txBox="1"/>
      </xdr:nvSpPr>
      <xdr:spPr>
        <a:xfrm>
          <a:off x="8267700" y="3748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107</xdr:row>
      <xdr:rowOff>0</xdr:rowOff>
    </xdr:from>
    <xdr:ext cx="65" cy="172227"/>
    <xdr:sp macro="" textlink="">
      <xdr:nvSpPr>
        <xdr:cNvPr id="292" name="TextBox 291">
          <a:extLst>
            <a:ext uri="{FF2B5EF4-FFF2-40B4-BE49-F238E27FC236}">
              <a16:creationId xmlns:a16="http://schemas.microsoft.com/office/drawing/2014/main" id="{00000000-0008-0000-0000-000007000000}"/>
            </a:ext>
          </a:extLst>
        </xdr:cNvPr>
        <xdr:cNvSpPr txBox="1"/>
      </xdr:nvSpPr>
      <xdr:spPr>
        <a:xfrm>
          <a:off x="8267700" y="3748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108</xdr:row>
      <xdr:rowOff>0</xdr:rowOff>
    </xdr:from>
    <xdr:ext cx="65" cy="172227"/>
    <xdr:sp macro="" textlink="">
      <xdr:nvSpPr>
        <xdr:cNvPr id="293" name="TextBox 292">
          <a:extLst>
            <a:ext uri="{FF2B5EF4-FFF2-40B4-BE49-F238E27FC236}">
              <a16:creationId xmlns:a16="http://schemas.microsoft.com/office/drawing/2014/main" id="{00000000-0008-0000-0000-000007000000}"/>
            </a:ext>
          </a:extLst>
        </xdr:cNvPr>
        <xdr:cNvSpPr txBox="1"/>
      </xdr:nvSpPr>
      <xdr:spPr>
        <a:xfrm>
          <a:off x="8267700" y="37665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108</xdr:row>
      <xdr:rowOff>0</xdr:rowOff>
    </xdr:from>
    <xdr:ext cx="65" cy="172227"/>
    <xdr:sp macro="" textlink="">
      <xdr:nvSpPr>
        <xdr:cNvPr id="294" name="TextBox 293">
          <a:extLst>
            <a:ext uri="{FF2B5EF4-FFF2-40B4-BE49-F238E27FC236}">
              <a16:creationId xmlns:a16="http://schemas.microsoft.com/office/drawing/2014/main" id="{00000000-0008-0000-0000-000007000000}"/>
            </a:ext>
          </a:extLst>
        </xdr:cNvPr>
        <xdr:cNvSpPr txBox="1"/>
      </xdr:nvSpPr>
      <xdr:spPr>
        <a:xfrm>
          <a:off x="8267700" y="37665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109</xdr:row>
      <xdr:rowOff>0</xdr:rowOff>
    </xdr:from>
    <xdr:ext cx="65" cy="172227"/>
    <xdr:sp macro="" textlink="">
      <xdr:nvSpPr>
        <xdr:cNvPr id="295" name="TextBox 294">
          <a:extLst>
            <a:ext uri="{FF2B5EF4-FFF2-40B4-BE49-F238E27FC236}">
              <a16:creationId xmlns:a16="http://schemas.microsoft.com/office/drawing/2014/main" id="{00000000-0008-0000-0000-000007000000}"/>
            </a:ext>
          </a:extLst>
        </xdr:cNvPr>
        <xdr:cNvSpPr txBox="1"/>
      </xdr:nvSpPr>
      <xdr:spPr>
        <a:xfrm>
          <a:off x="8267700" y="3784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109</xdr:row>
      <xdr:rowOff>0</xdr:rowOff>
    </xdr:from>
    <xdr:ext cx="65" cy="172227"/>
    <xdr:sp macro="" textlink="">
      <xdr:nvSpPr>
        <xdr:cNvPr id="296" name="TextBox 295">
          <a:extLst>
            <a:ext uri="{FF2B5EF4-FFF2-40B4-BE49-F238E27FC236}">
              <a16:creationId xmlns:a16="http://schemas.microsoft.com/office/drawing/2014/main" id="{00000000-0008-0000-0000-000007000000}"/>
            </a:ext>
          </a:extLst>
        </xdr:cNvPr>
        <xdr:cNvSpPr txBox="1"/>
      </xdr:nvSpPr>
      <xdr:spPr>
        <a:xfrm>
          <a:off x="8267700" y="3784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110</xdr:row>
      <xdr:rowOff>0</xdr:rowOff>
    </xdr:from>
    <xdr:ext cx="65" cy="172227"/>
    <xdr:sp macro="" textlink="">
      <xdr:nvSpPr>
        <xdr:cNvPr id="297" name="TextBox 296">
          <a:extLst>
            <a:ext uri="{FF2B5EF4-FFF2-40B4-BE49-F238E27FC236}">
              <a16:creationId xmlns:a16="http://schemas.microsoft.com/office/drawing/2014/main" id="{00000000-0008-0000-0000-000007000000}"/>
            </a:ext>
          </a:extLst>
        </xdr:cNvPr>
        <xdr:cNvSpPr txBox="1"/>
      </xdr:nvSpPr>
      <xdr:spPr>
        <a:xfrm>
          <a:off x="8267700" y="38031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110</xdr:row>
      <xdr:rowOff>0</xdr:rowOff>
    </xdr:from>
    <xdr:ext cx="65" cy="172227"/>
    <xdr:sp macro="" textlink="">
      <xdr:nvSpPr>
        <xdr:cNvPr id="298" name="TextBox 297">
          <a:extLst>
            <a:ext uri="{FF2B5EF4-FFF2-40B4-BE49-F238E27FC236}">
              <a16:creationId xmlns:a16="http://schemas.microsoft.com/office/drawing/2014/main" id="{00000000-0008-0000-0000-000007000000}"/>
            </a:ext>
          </a:extLst>
        </xdr:cNvPr>
        <xdr:cNvSpPr txBox="1"/>
      </xdr:nvSpPr>
      <xdr:spPr>
        <a:xfrm>
          <a:off x="8267700" y="38031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111</xdr:row>
      <xdr:rowOff>0</xdr:rowOff>
    </xdr:from>
    <xdr:ext cx="65" cy="172227"/>
    <xdr:sp macro="" textlink="">
      <xdr:nvSpPr>
        <xdr:cNvPr id="299" name="TextBox 298">
          <a:extLst>
            <a:ext uri="{FF2B5EF4-FFF2-40B4-BE49-F238E27FC236}">
              <a16:creationId xmlns:a16="http://schemas.microsoft.com/office/drawing/2014/main" id="{00000000-0008-0000-0000-000007000000}"/>
            </a:ext>
          </a:extLst>
        </xdr:cNvPr>
        <xdr:cNvSpPr txBox="1"/>
      </xdr:nvSpPr>
      <xdr:spPr>
        <a:xfrm>
          <a:off x="8267700" y="38214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111</xdr:row>
      <xdr:rowOff>0</xdr:rowOff>
    </xdr:from>
    <xdr:ext cx="65" cy="172227"/>
    <xdr:sp macro="" textlink="">
      <xdr:nvSpPr>
        <xdr:cNvPr id="300" name="TextBox 299">
          <a:extLst>
            <a:ext uri="{FF2B5EF4-FFF2-40B4-BE49-F238E27FC236}">
              <a16:creationId xmlns:a16="http://schemas.microsoft.com/office/drawing/2014/main" id="{00000000-0008-0000-0000-000007000000}"/>
            </a:ext>
          </a:extLst>
        </xdr:cNvPr>
        <xdr:cNvSpPr txBox="1"/>
      </xdr:nvSpPr>
      <xdr:spPr>
        <a:xfrm>
          <a:off x="8267700" y="38214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117</xdr:row>
      <xdr:rowOff>0</xdr:rowOff>
    </xdr:from>
    <xdr:ext cx="65" cy="172227"/>
    <xdr:sp macro="" textlink="">
      <xdr:nvSpPr>
        <xdr:cNvPr id="301" name="TextBox 300">
          <a:extLst>
            <a:ext uri="{FF2B5EF4-FFF2-40B4-BE49-F238E27FC236}">
              <a16:creationId xmlns:a16="http://schemas.microsoft.com/office/drawing/2014/main" id="{00000000-0008-0000-0000-000007000000}"/>
            </a:ext>
          </a:extLst>
        </xdr:cNvPr>
        <xdr:cNvSpPr txBox="1"/>
      </xdr:nvSpPr>
      <xdr:spPr>
        <a:xfrm>
          <a:off x="8267700" y="39311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117</xdr:row>
      <xdr:rowOff>0</xdr:rowOff>
    </xdr:from>
    <xdr:ext cx="65" cy="172227"/>
    <xdr:sp macro="" textlink="">
      <xdr:nvSpPr>
        <xdr:cNvPr id="302" name="TextBox 301">
          <a:extLst>
            <a:ext uri="{FF2B5EF4-FFF2-40B4-BE49-F238E27FC236}">
              <a16:creationId xmlns:a16="http://schemas.microsoft.com/office/drawing/2014/main" id="{00000000-0008-0000-0000-000007000000}"/>
            </a:ext>
          </a:extLst>
        </xdr:cNvPr>
        <xdr:cNvSpPr txBox="1"/>
      </xdr:nvSpPr>
      <xdr:spPr>
        <a:xfrm>
          <a:off x="8267700" y="39311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118</xdr:row>
      <xdr:rowOff>0</xdr:rowOff>
    </xdr:from>
    <xdr:ext cx="65" cy="172227"/>
    <xdr:sp macro="" textlink="">
      <xdr:nvSpPr>
        <xdr:cNvPr id="303" name="TextBox 302">
          <a:extLst>
            <a:ext uri="{FF2B5EF4-FFF2-40B4-BE49-F238E27FC236}">
              <a16:creationId xmlns:a16="http://schemas.microsoft.com/office/drawing/2014/main" id="{00000000-0008-0000-0000-000007000000}"/>
            </a:ext>
          </a:extLst>
        </xdr:cNvPr>
        <xdr:cNvSpPr txBox="1"/>
      </xdr:nvSpPr>
      <xdr:spPr>
        <a:xfrm>
          <a:off x="8267700" y="39494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118</xdr:row>
      <xdr:rowOff>0</xdr:rowOff>
    </xdr:from>
    <xdr:ext cx="65" cy="172227"/>
    <xdr:sp macro="" textlink="">
      <xdr:nvSpPr>
        <xdr:cNvPr id="304" name="TextBox 303">
          <a:extLst>
            <a:ext uri="{FF2B5EF4-FFF2-40B4-BE49-F238E27FC236}">
              <a16:creationId xmlns:a16="http://schemas.microsoft.com/office/drawing/2014/main" id="{00000000-0008-0000-0000-000007000000}"/>
            </a:ext>
          </a:extLst>
        </xdr:cNvPr>
        <xdr:cNvSpPr txBox="1"/>
      </xdr:nvSpPr>
      <xdr:spPr>
        <a:xfrm>
          <a:off x="8267700" y="39494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119</xdr:row>
      <xdr:rowOff>0</xdr:rowOff>
    </xdr:from>
    <xdr:ext cx="65" cy="172227"/>
    <xdr:sp macro="" textlink="">
      <xdr:nvSpPr>
        <xdr:cNvPr id="305" name="TextBox 304">
          <a:extLst>
            <a:ext uri="{FF2B5EF4-FFF2-40B4-BE49-F238E27FC236}">
              <a16:creationId xmlns:a16="http://schemas.microsoft.com/office/drawing/2014/main" id="{00000000-0008-0000-0000-000007000000}"/>
            </a:ext>
          </a:extLst>
        </xdr:cNvPr>
        <xdr:cNvSpPr txBox="1"/>
      </xdr:nvSpPr>
      <xdr:spPr>
        <a:xfrm>
          <a:off x="8267700" y="39677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119</xdr:row>
      <xdr:rowOff>0</xdr:rowOff>
    </xdr:from>
    <xdr:ext cx="65" cy="172227"/>
    <xdr:sp macro="" textlink="">
      <xdr:nvSpPr>
        <xdr:cNvPr id="306" name="TextBox 305">
          <a:extLst>
            <a:ext uri="{FF2B5EF4-FFF2-40B4-BE49-F238E27FC236}">
              <a16:creationId xmlns:a16="http://schemas.microsoft.com/office/drawing/2014/main" id="{00000000-0008-0000-0000-000007000000}"/>
            </a:ext>
          </a:extLst>
        </xdr:cNvPr>
        <xdr:cNvSpPr txBox="1"/>
      </xdr:nvSpPr>
      <xdr:spPr>
        <a:xfrm>
          <a:off x="8267700" y="39677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120</xdr:row>
      <xdr:rowOff>0</xdr:rowOff>
    </xdr:from>
    <xdr:ext cx="65" cy="172227"/>
    <xdr:sp macro="" textlink="">
      <xdr:nvSpPr>
        <xdr:cNvPr id="307" name="TextBox 306">
          <a:extLst>
            <a:ext uri="{FF2B5EF4-FFF2-40B4-BE49-F238E27FC236}">
              <a16:creationId xmlns:a16="http://schemas.microsoft.com/office/drawing/2014/main" id="{00000000-0008-0000-0000-000007000000}"/>
            </a:ext>
          </a:extLst>
        </xdr:cNvPr>
        <xdr:cNvSpPr txBox="1"/>
      </xdr:nvSpPr>
      <xdr:spPr>
        <a:xfrm>
          <a:off x="8267700" y="39860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120</xdr:row>
      <xdr:rowOff>0</xdr:rowOff>
    </xdr:from>
    <xdr:ext cx="65" cy="172227"/>
    <xdr:sp macro="" textlink="">
      <xdr:nvSpPr>
        <xdr:cNvPr id="308" name="TextBox 307">
          <a:extLst>
            <a:ext uri="{FF2B5EF4-FFF2-40B4-BE49-F238E27FC236}">
              <a16:creationId xmlns:a16="http://schemas.microsoft.com/office/drawing/2014/main" id="{00000000-0008-0000-0000-000007000000}"/>
            </a:ext>
          </a:extLst>
        </xdr:cNvPr>
        <xdr:cNvSpPr txBox="1"/>
      </xdr:nvSpPr>
      <xdr:spPr>
        <a:xfrm>
          <a:off x="8267700" y="39860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121</xdr:row>
      <xdr:rowOff>0</xdr:rowOff>
    </xdr:from>
    <xdr:ext cx="65" cy="172227"/>
    <xdr:sp macro="" textlink="">
      <xdr:nvSpPr>
        <xdr:cNvPr id="309" name="TextBox 308">
          <a:extLst>
            <a:ext uri="{FF2B5EF4-FFF2-40B4-BE49-F238E27FC236}">
              <a16:creationId xmlns:a16="http://schemas.microsoft.com/office/drawing/2014/main" id="{00000000-0008-0000-0000-000007000000}"/>
            </a:ext>
          </a:extLst>
        </xdr:cNvPr>
        <xdr:cNvSpPr txBox="1"/>
      </xdr:nvSpPr>
      <xdr:spPr>
        <a:xfrm>
          <a:off x="8267700" y="40043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121</xdr:row>
      <xdr:rowOff>0</xdr:rowOff>
    </xdr:from>
    <xdr:ext cx="65" cy="172227"/>
    <xdr:sp macro="" textlink="">
      <xdr:nvSpPr>
        <xdr:cNvPr id="310" name="TextBox 309">
          <a:extLst>
            <a:ext uri="{FF2B5EF4-FFF2-40B4-BE49-F238E27FC236}">
              <a16:creationId xmlns:a16="http://schemas.microsoft.com/office/drawing/2014/main" id="{00000000-0008-0000-0000-000007000000}"/>
            </a:ext>
          </a:extLst>
        </xdr:cNvPr>
        <xdr:cNvSpPr txBox="1"/>
      </xdr:nvSpPr>
      <xdr:spPr>
        <a:xfrm>
          <a:off x="8267700" y="40043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127</xdr:row>
      <xdr:rowOff>0</xdr:rowOff>
    </xdr:from>
    <xdr:ext cx="65" cy="172227"/>
    <xdr:sp macro="" textlink="">
      <xdr:nvSpPr>
        <xdr:cNvPr id="311" name="TextBox 310">
          <a:extLst>
            <a:ext uri="{FF2B5EF4-FFF2-40B4-BE49-F238E27FC236}">
              <a16:creationId xmlns:a16="http://schemas.microsoft.com/office/drawing/2014/main" id="{00000000-0008-0000-0000-000007000000}"/>
            </a:ext>
          </a:extLst>
        </xdr:cNvPr>
        <xdr:cNvSpPr txBox="1"/>
      </xdr:nvSpPr>
      <xdr:spPr>
        <a:xfrm>
          <a:off x="8267700" y="41140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127</xdr:row>
      <xdr:rowOff>0</xdr:rowOff>
    </xdr:from>
    <xdr:ext cx="65" cy="172227"/>
    <xdr:sp macro="" textlink="">
      <xdr:nvSpPr>
        <xdr:cNvPr id="312" name="TextBox 311">
          <a:extLst>
            <a:ext uri="{FF2B5EF4-FFF2-40B4-BE49-F238E27FC236}">
              <a16:creationId xmlns:a16="http://schemas.microsoft.com/office/drawing/2014/main" id="{00000000-0008-0000-0000-000007000000}"/>
            </a:ext>
          </a:extLst>
        </xdr:cNvPr>
        <xdr:cNvSpPr txBox="1"/>
      </xdr:nvSpPr>
      <xdr:spPr>
        <a:xfrm>
          <a:off x="8267700" y="41140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128</xdr:row>
      <xdr:rowOff>0</xdr:rowOff>
    </xdr:from>
    <xdr:ext cx="65" cy="172227"/>
    <xdr:sp macro="" textlink="">
      <xdr:nvSpPr>
        <xdr:cNvPr id="313" name="TextBox 312">
          <a:extLst>
            <a:ext uri="{FF2B5EF4-FFF2-40B4-BE49-F238E27FC236}">
              <a16:creationId xmlns:a16="http://schemas.microsoft.com/office/drawing/2014/main" id="{00000000-0008-0000-0000-000007000000}"/>
            </a:ext>
          </a:extLst>
        </xdr:cNvPr>
        <xdr:cNvSpPr txBox="1"/>
      </xdr:nvSpPr>
      <xdr:spPr>
        <a:xfrm>
          <a:off x="8267700" y="41323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128</xdr:row>
      <xdr:rowOff>0</xdr:rowOff>
    </xdr:from>
    <xdr:ext cx="65" cy="172227"/>
    <xdr:sp macro="" textlink="">
      <xdr:nvSpPr>
        <xdr:cNvPr id="314" name="TextBox 313">
          <a:extLst>
            <a:ext uri="{FF2B5EF4-FFF2-40B4-BE49-F238E27FC236}">
              <a16:creationId xmlns:a16="http://schemas.microsoft.com/office/drawing/2014/main" id="{00000000-0008-0000-0000-000007000000}"/>
            </a:ext>
          </a:extLst>
        </xdr:cNvPr>
        <xdr:cNvSpPr txBox="1"/>
      </xdr:nvSpPr>
      <xdr:spPr>
        <a:xfrm>
          <a:off x="8267700" y="41323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129</xdr:row>
      <xdr:rowOff>0</xdr:rowOff>
    </xdr:from>
    <xdr:ext cx="65" cy="172227"/>
    <xdr:sp macro="" textlink="">
      <xdr:nvSpPr>
        <xdr:cNvPr id="315" name="TextBox 314">
          <a:extLst>
            <a:ext uri="{FF2B5EF4-FFF2-40B4-BE49-F238E27FC236}">
              <a16:creationId xmlns:a16="http://schemas.microsoft.com/office/drawing/2014/main" id="{00000000-0008-0000-0000-000007000000}"/>
            </a:ext>
          </a:extLst>
        </xdr:cNvPr>
        <xdr:cNvSpPr txBox="1"/>
      </xdr:nvSpPr>
      <xdr:spPr>
        <a:xfrm>
          <a:off x="8267700" y="4150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129</xdr:row>
      <xdr:rowOff>0</xdr:rowOff>
    </xdr:from>
    <xdr:ext cx="65" cy="172227"/>
    <xdr:sp macro="" textlink="">
      <xdr:nvSpPr>
        <xdr:cNvPr id="316" name="TextBox 315">
          <a:extLst>
            <a:ext uri="{FF2B5EF4-FFF2-40B4-BE49-F238E27FC236}">
              <a16:creationId xmlns:a16="http://schemas.microsoft.com/office/drawing/2014/main" id="{00000000-0008-0000-0000-000007000000}"/>
            </a:ext>
          </a:extLst>
        </xdr:cNvPr>
        <xdr:cNvSpPr txBox="1"/>
      </xdr:nvSpPr>
      <xdr:spPr>
        <a:xfrm>
          <a:off x="8267700" y="4150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130</xdr:row>
      <xdr:rowOff>0</xdr:rowOff>
    </xdr:from>
    <xdr:ext cx="65" cy="172227"/>
    <xdr:sp macro="" textlink="">
      <xdr:nvSpPr>
        <xdr:cNvPr id="317" name="TextBox 316">
          <a:extLst>
            <a:ext uri="{FF2B5EF4-FFF2-40B4-BE49-F238E27FC236}">
              <a16:creationId xmlns:a16="http://schemas.microsoft.com/office/drawing/2014/main" id="{00000000-0008-0000-0000-000007000000}"/>
            </a:ext>
          </a:extLst>
        </xdr:cNvPr>
        <xdr:cNvSpPr txBox="1"/>
      </xdr:nvSpPr>
      <xdr:spPr>
        <a:xfrm>
          <a:off x="8267700" y="4168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130</xdr:row>
      <xdr:rowOff>0</xdr:rowOff>
    </xdr:from>
    <xdr:ext cx="65" cy="172227"/>
    <xdr:sp macro="" textlink="">
      <xdr:nvSpPr>
        <xdr:cNvPr id="318" name="TextBox 317">
          <a:extLst>
            <a:ext uri="{FF2B5EF4-FFF2-40B4-BE49-F238E27FC236}">
              <a16:creationId xmlns:a16="http://schemas.microsoft.com/office/drawing/2014/main" id="{00000000-0008-0000-0000-000007000000}"/>
            </a:ext>
          </a:extLst>
        </xdr:cNvPr>
        <xdr:cNvSpPr txBox="1"/>
      </xdr:nvSpPr>
      <xdr:spPr>
        <a:xfrm>
          <a:off x="8267700" y="4168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131</xdr:row>
      <xdr:rowOff>0</xdr:rowOff>
    </xdr:from>
    <xdr:ext cx="65" cy="172227"/>
    <xdr:sp macro="" textlink="">
      <xdr:nvSpPr>
        <xdr:cNvPr id="319" name="TextBox 318">
          <a:extLst>
            <a:ext uri="{FF2B5EF4-FFF2-40B4-BE49-F238E27FC236}">
              <a16:creationId xmlns:a16="http://schemas.microsoft.com/office/drawing/2014/main" id="{00000000-0008-0000-0000-000007000000}"/>
            </a:ext>
          </a:extLst>
        </xdr:cNvPr>
        <xdr:cNvSpPr txBox="1"/>
      </xdr:nvSpPr>
      <xdr:spPr>
        <a:xfrm>
          <a:off x="8267700" y="4187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131</xdr:row>
      <xdr:rowOff>0</xdr:rowOff>
    </xdr:from>
    <xdr:ext cx="65" cy="172227"/>
    <xdr:sp macro="" textlink="">
      <xdr:nvSpPr>
        <xdr:cNvPr id="320" name="TextBox 319">
          <a:extLst>
            <a:ext uri="{FF2B5EF4-FFF2-40B4-BE49-F238E27FC236}">
              <a16:creationId xmlns:a16="http://schemas.microsoft.com/office/drawing/2014/main" id="{00000000-0008-0000-0000-000007000000}"/>
            </a:ext>
          </a:extLst>
        </xdr:cNvPr>
        <xdr:cNvSpPr txBox="1"/>
      </xdr:nvSpPr>
      <xdr:spPr>
        <a:xfrm>
          <a:off x="8267700" y="4187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83</xdr:row>
      <xdr:rowOff>0</xdr:rowOff>
    </xdr:from>
    <xdr:ext cx="65" cy="172227"/>
    <xdr:sp macro="" textlink="">
      <xdr:nvSpPr>
        <xdr:cNvPr id="324" name="TextBox 323">
          <a:extLst>
            <a:ext uri="{FF2B5EF4-FFF2-40B4-BE49-F238E27FC236}">
              <a16:creationId xmlns:a16="http://schemas.microsoft.com/office/drawing/2014/main" id="{00000000-0008-0000-0000-000007000000}"/>
            </a:ext>
          </a:extLst>
        </xdr:cNvPr>
        <xdr:cNvSpPr txBox="1"/>
      </xdr:nvSpPr>
      <xdr:spPr>
        <a:xfrm>
          <a:off x="8267700" y="33078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83</xdr:row>
      <xdr:rowOff>0</xdr:rowOff>
    </xdr:from>
    <xdr:ext cx="65" cy="172227"/>
    <xdr:sp macro="" textlink="">
      <xdr:nvSpPr>
        <xdr:cNvPr id="328" name="TextBox 327">
          <a:extLst>
            <a:ext uri="{FF2B5EF4-FFF2-40B4-BE49-F238E27FC236}">
              <a16:creationId xmlns:a16="http://schemas.microsoft.com/office/drawing/2014/main" id="{00000000-0008-0000-0000-000007000000}"/>
            </a:ext>
          </a:extLst>
        </xdr:cNvPr>
        <xdr:cNvSpPr txBox="1"/>
      </xdr:nvSpPr>
      <xdr:spPr>
        <a:xfrm>
          <a:off x="8267700" y="33078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84</xdr:row>
      <xdr:rowOff>0</xdr:rowOff>
    </xdr:from>
    <xdr:ext cx="65" cy="172227"/>
    <xdr:sp macro="" textlink="">
      <xdr:nvSpPr>
        <xdr:cNvPr id="329" name="TextBox 328">
          <a:extLst>
            <a:ext uri="{FF2B5EF4-FFF2-40B4-BE49-F238E27FC236}">
              <a16:creationId xmlns:a16="http://schemas.microsoft.com/office/drawing/2014/main" id="{00000000-0008-0000-0000-000007000000}"/>
            </a:ext>
          </a:extLst>
        </xdr:cNvPr>
        <xdr:cNvSpPr txBox="1"/>
      </xdr:nvSpPr>
      <xdr:spPr>
        <a:xfrm>
          <a:off x="8267700" y="33276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84</xdr:row>
      <xdr:rowOff>0</xdr:rowOff>
    </xdr:from>
    <xdr:ext cx="65" cy="172227"/>
    <xdr:sp macro="" textlink="">
      <xdr:nvSpPr>
        <xdr:cNvPr id="330" name="TextBox 329">
          <a:extLst>
            <a:ext uri="{FF2B5EF4-FFF2-40B4-BE49-F238E27FC236}">
              <a16:creationId xmlns:a16="http://schemas.microsoft.com/office/drawing/2014/main" id="{00000000-0008-0000-0000-000007000000}"/>
            </a:ext>
          </a:extLst>
        </xdr:cNvPr>
        <xdr:cNvSpPr txBox="1"/>
      </xdr:nvSpPr>
      <xdr:spPr>
        <a:xfrm>
          <a:off x="8267700" y="33276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331" name="TextBox 330">
          <a:extLst>
            <a:ext uri="{FF2B5EF4-FFF2-40B4-BE49-F238E27FC236}">
              <a16:creationId xmlns:a16="http://schemas.microsoft.com/office/drawing/2014/main" id="{00000000-0008-0000-0000-000007000000}"/>
            </a:ext>
          </a:extLst>
        </xdr:cNvPr>
        <xdr:cNvSpPr txBox="1"/>
      </xdr:nvSpPr>
      <xdr:spPr>
        <a:xfrm>
          <a:off x="8267700" y="33474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332" name="TextBox 331">
          <a:extLst>
            <a:ext uri="{FF2B5EF4-FFF2-40B4-BE49-F238E27FC236}">
              <a16:creationId xmlns:a16="http://schemas.microsoft.com/office/drawing/2014/main" id="{00000000-0008-0000-0000-000007000000}"/>
            </a:ext>
          </a:extLst>
        </xdr:cNvPr>
        <xdr:cNvSpPr txBox="1"/>
      </xdr:nvSpPr>
      <xdr:spPr>
        <a:xfrm>
          <a:off x="8267700" y="33474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333" name="TextBox 332">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334" name="TextBox 333">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335" name="TextBox 334">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336" name="TextBox 335">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88</xdr:row>
      <xdr:rowOff>0</xdr:rowOff>
    </xdr:from>
    <xdr:ext cx="65" cy="172227"/>
    <xdr:sp macro="" textlink="">
      <xdr:nvSpPr>
        <xdr:cNvPr id="337" name="TextBox 336">
          <a:extLst>
            <a:ext uri="{FF2B5EF4-FFF2-40B4-BE49-F238E27FC236}">
              <a16:creationId xmlns:a16="http://schemas.microsoft.com/office/drawing/2014/main" id="{00000000-0008-0000-0000-000007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88</xdr:row>
      <xdr:rowOff>0</xdr:rowOff>
    </xdr:from>
    <xdr:ext cx="65" cy="172227"/>
    <xdr:sp macro="" textlink="">
      <xdr:nvSpPr>
        <xdr:cNvPr id="338" name="TextBox 337">
          <a:extLst>
            <a:ext uri="{FF2B5EF4-FFF2-40B4-BE49-F238E27FC236}">
              <a16:creationId xmlns:a16="http://schemas.microsoft.com/office/drawing/2014/main" id="{00000000-0008-0000-0000-000007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89</xdr:row>
      <xdr:rowOff>0</xdr:rowOff>
    </xdr:from>
    <xdr:ext cx="65" cy="172227"/>
    <xdr:sp macro="" textlink="">
      <xdr:nvSpPr>
        <xdr:cNvPr id="339" name="TextBox 338">
          <a:extLst>
            <a:ext uri="{FF2B5EF4-FFF2-40B4-BE49-F238E27FC236}">
              <a16:creationId xmlns:a16="http://schemas.microsoft.com/office/drawing/2014/main" id="{00000000-0008-0000-0000-000007000000}"/>
            </a:ext>
          </a:extLst>
        </xdr:cNvPr>
        <xdr:cNvSpPr txBox="1"/>
      </xdr:nvSpPr>
      <xdr:spPr>
        <a:xfrm>
          <a:off x="8267700" y="3425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89</xdr:row>
      <xdr:rowOff>0</xdr:rowOff>
    </xdr:from>
    <xdr:ext cx="65" cy="172227"/>
    <xdr:sp macro="" textlink="">
      <xdr:nvSpPr>
        <xdr:cNvPr id="340" name="TextBox 339">
          <a:extLst>
            <a:ext uri="{FF2B5EF4-FFF2-40B4-BE49-F238E27FC236}">
              <a16:creationId xmlns:a16="http://schemas.microsoft.com/office/drawing/2014/main" id="{00000000-0008-0000-0000-000007000000}"/>
            </a:ext>
          </a:extLst>
        </xdr:cNvPr>
        <xdr:cNvSpPr txBox="1"/>
      </xdr:nvSpPr>
      <xdr:spPr>
        <a:xfrm>
          <a:off x="8267700" y="3425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90</xdr:row>
      <xdr:rowOff>0</xdr:rowOff>
    </xdr:from>
    <xdr:ext cx="65" cy="172227"/>
    <xdr:sp macro="" textlink="">
      <xdr:nvSpPr>
        <xdr:cNvPr id="341" name="TextBox 340">
          <a:extLst>
            <a:ext uri="{FF2B5EF4-FFF2-40B4-BE49-F238E27FC236}">
              <a16:creationId xmlns:a16="http://schemas.microsoft.com/office/drawing/2014/main" id="{00000000-0008-0000-0000-000007000000}"/>
            </a:ext>
          </a:extLst>
        </xdr:cNvPr>
        <xdr:cNvSpPr txBox="1"/>
      </xdr:nvSpPr>
      <xdr:spPr>
        <a:xfrm>
          <a:off x="8267700" y="34434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90</xdr:row>
      <xdr:rowOff>0</xdr:rowOff>
    </xdr:from>
    <xdr:ext cx="65" cy="172227"/>
    <xdr:sp macro="" textlink="">
      <xdr:nvSpPr>
        <xdr:cNvPr id="342" name="TextBox 341">
          <a:extLst>
            <a:ext uri="{FF2B5EF4-FFF2-40B4-BE49-F238E27FC236}">
              <a16:creationId xmlns:a16="http://schemas.microsoft.com/office/drawing/2014/main" id="{00000000-0008-0000-0000-000007000000}"/>
            </a:ext>
          </a:extLst>
        </xdr:cNvPr>
        <xdr:cNvSpPr txBox="1"/>
      </xdr:nvSpPr>
      <xdr:spPr>
        <a:xfrm>
          <a:off x="8267700" y="34434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91</xdr:row>
      <xdr:rowOff>0</xdr:rowOff>
    </xdr:from>
    <xdr:ext cx="65" cy="172227"/>
    <xdr:sp macro="" textlink="">
      <xdr:nvSpPr>
        <xdr:cNvPr id="343" name="TextBox 342">
          <a:extLst>
            <a:ext uri="{FF2B5EF4-FFF2-40B4-BE49-F238E27FC236}">
              <a16:creationId xmlns:a16="http://schemas.microsoft.com/office/drawing/2014/main" id="{00000000-0008-0000-0000-000007000000}"/>
            </a:ext>
          </a:extLst>
        </xdr:cNvPr>
        <xdr:cNvSpPr txBox="1"/>
      </xdr:nvSpPr>
      <xdr:spPr>
        <a:xfrm>
          <a:off x="8267700" y="34617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91</xdr:row>
      <xdr:rowOff>0</xdr:rowOff>
    </xdr:from>
    <xdr:ext cx="65" cy="172227"/>
    <xdr:sp macro="" textlink="">
      <xdr:nvSpPr>
        <xdr:cNvPr id="344" name="TextBox 343">
          <a:extLst>
            <a:ext uri="{FF2B5EF4-FFF2-40B4-BE49-F238E27FC236}">
              <a16:creationId xmlns:a16="http://schemas.microsoft.com/office/drawing/2014/main" id="{00000000-0008-0000-0000-000007000000}"/>
            </a:ext>
          </a:extLst>
        </xdr:cNvPr>
        <xdr:cNvSpPr txBox="1"/>
      </xdr:nvSpPr>
      <xdr:spPr>
        <a:xfrm>
          <a:off x="8267700" y="34617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92</xdr:row>
      <xdr:rowOff>0</xdr:rowOff>
    </xdr:from>
    <xdr:ext cx="65" cy="172227"/>
    <xdr:sp macro="" textlink="">
      <xdr:nvSpPr>
        <xdr:cNvPr id="345" name="TextBox 344">
          <a:extLst>
            <a:ext uri="{FF2B5EF4-FFF2-40B4-BE49-F238E27FC236}">
              <a16:creationId xmlns:a16="http://schemas.microsoft.com/office/drawing/2014/main" id="{00000000-0008-0000-0000-000007000000}"/>
            </a:ext>
          </a:extLst>
        </xdr:cNvPr>
        <xdr:cNvSpPr txBox="1"/>
      </xdr:nvSpPr>
      <xdr:spPr>
        <a:xfrm>
          <a:off x="8267700" y="34800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92</xdr:row>
      <xdr:rowOff>0</xdr:rowOff>
    </xdr:from>
    <xdr:ext cx="65" cy="172227"/>
    <xdr:sp macro="" textlink="">
      <xdr:nvSpPr>
        <xdr:cNvPr id="346" name="TextBox 345">
          <a:extLst>
            <a:ext uri="{FF2B5EF4-FFF2-40B4-BE49-F238E27FC236}">
              <a16:creationId xmlns:a16="http://schemas.microsoft.com/office/drawing/2014/main" id="{00000000-0008-0000-0000-000007000000}"/>
            </a:ext>
          </a:extLst>
        </xdr:cNvPr>
        <xdr:cNvSpPr txBox="1"/>
      </xdr:nvSpPr>
      <xdr:spPr>
        <a:xfrm>
          <a:off x="8267700" y="34800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98</xdr:row>
      <xdr:rowOff>0</xdr:rowOff>
    </xdr:from>
    <xdr:ext cx="65" cy="172227"/>
    <xdr:sp macro="" textlink="">
      <xdr:nvSpPr>
        <xdr:cNvPr id="347" name="TextBox 346">
          <a:extLst>
            <a:ext uri="{FF2B5EF4-FFF2-40B4-BE49-F238E27FC236}">
              <a16:creationId xmlns:a16="http://schemas.microsoft.com/office/drawing/2014/main" id="{00000000-0008-0000-0000-000007000000}"/>
            </a:ext>
          </a:extLst>
        </xdr:cNvPr>
        <xdr:cNvSpPr txBox="1"/>
      </xdr:nvSpPr>
      <xdr:spPr>
        <a:xfrm>
          <a:off x="8267700" y="35897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98</xdr:row>
      <xdr:rowOff>0</xdr:rowOff>
    </xdr:from>
    <xdr:ext cx="65" cy="172227"/>
    <xdr:sp macro="" textlink="">
      <xdr:nvSpPr>
        <xdr:cNvPr id="348" name="TextBox 347">
          <a:extLst>
            <a:ext uri="{FF2B5EF4-FFF2-40B4-BE49-F238E27FC236}">
              <a16:creationId xmlns:a16="http://schemas.microsoft.com/office/drawing/2014/main" id="{00000000-0008-0000-0000-000007000000}"/>
            </a:ext>
          </a:extLst>
        </xdr:cNvPr>
        <xdr:cNvSpPr txBox="1"/>
      </xdr:nvSpPr>
      <xdr:spPr>
        <a:xfrm>
          <a:off x="8267700" y="35897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99</xdr:row>
      <xdr:rowOff>0</xdr:rowOff>
    </xdr:from>
    <xdr:ext cx="65" cy="172227"/>
    <xdr:sp macro="" textlink="">
      <xdr:nvSpPr>
        <xdr:cNvPr id="349" name="TextBox 348">
          <a:extLst>
            <a:ext uri="{FF2B5EF4-FFF2-40B4-BE49-F238E27FC236}">
              <a16:creationId xmlns:a16="http://schemas.microsoft.com/office/drawing/2014/main" id="{00000000-0008-0000-0000-000007000000}"/>
            </a:ext>
          </a:extLst>
        </xdr:cNvPr>
        <xdr:cNvSpPr txBox="1"/>
      </xdr:nvSpPr>
      <xdr:spPr>
        <a:xfrm>
          <a:off x="8267700" y="36080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99</xdr:row>
      <xdr:rowOff>0</xdr:rowOff>
    </xdr:from>
    <xdr:ext cx="65" cy="172227"/>
    <xdr:sp macro="" textlink="">
      <xdr:nvSpPr>
        <xdr:cNvPr id="350" name="TextBox 349">
          <a:extLst>
            <a:ext uri="{FF2B5EF4-FFF2-40B4-BE49-F238E27FC236}">
              <a16:creationId xmlns:a16="http://schemas.microsoft.com/office/drawing/2014/main" id="{00000000-0008-0000-0000-000007000000}"/>
            </a:ext>
          </a:extLst>
        </xdr:cNvPr>
        <xdr:cNvSpPr txBox="1"/>
      </xdr:nvSpPr>
      <xdr:spPr>
        <a:xfrm>
          <a:off x="8267700" y="36080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100</xdr:row>
      <xdr:rowOff>0</xdr:rowOff>
    </xdr:from>
    <xdr:ext cx="65" cy="172227"/>
    <xdr:sp macro="" textlink="">
      <xdr:nvSpPr>
        <xdr:cNvPr id="351" name="TextBox 350">
          <a:extLst>
            <a:ext uri="{FF2B5EF4-FFF2-40B4-BE49-F238E27FC236}">
              <a16:creationId xmlns:a16="http://schemas.microsoft.com/office/drawing/2014/main" id="{00000000-0008-0000-0000-000007000000}"/>
            </a:ext>
          </a:extLst>
        </xdr:cNvPr>
        <xdr:cNvSpPr txBox="1"/>
      </xdr:nvSpPr>
      <xdr:spPr>
        <a:xfrm>
          <a:off x="8267700" y="36263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100</xdr:row>
      <xdr:rowOff>0</xdr:rowOff>
    </xdr:from>
    <xdr:ext cx="65" cy="172227"/>
    <xdr:sp macro="" textlink="">
      <xdr:nvSpPr>
        <xdr:cNvPr id="352" name="TextBox 351">
          <a:extLst>
            <a:ext uri="{FF2B5EF4-FFF2-40B4-BE49-F238E27FC236}">
              <a16:creationId xmlns:a16="http://schemas.microsoft.com/office/drawing/2014/main" id="{00000000-0008-0000-0000-000007000000}"/>
            </a:ext>
          </a:extLst>
        </xdr:cNvPr>
        <xdr:cNvSpPr txBox="1"/>
      </xdr:nvSpPr>
      <xdr:spPr>
        <a:xfrm>
          <a:off x="8267700" y="36263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101</xdr:row>
      <xdr:rowOff>0</xdr:rowOff>
    </xdr:from>
    <xdr:ext cx="65" cy="172227"/>
    <xdr:sp macro="" textlink="">
      <xdr:nvSpPr>
        <xdr:cNvPr id="353" name="TextBox 352">
          <a:extLst>
            <a:ext uri="{FF2B5EF4-FFF2-40B4-BE49-F238E27FC236}">
              <a16:creationId xmlns:a16="http://schemas.microsoft.com/office/drawing/2014/main" id="{00000000-0008-0000-0000-000007000000}"/>
            </a:ext>
          </a:extLst>
        </xdr:cNvPr>
        <xdr:cNvSpPr txBox="1"/>
      </xdr:nvSpPr>
      <xdr:spPr>
        <a:xfrm>
          <a:off x="8267700" y="36446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101</xdr:row>
      <xdr:rowOff>0</xdr:rowOff>
    </xdr:from>
    <xdr:ext cx="65" cy="172227"/>
    <xdr:sp macro="" textlink="">
      <xdr:nvSpPr>
        <xdr:cNvPr id="354" name="TextBox 353">
          <a:extLst>
            <a:ext uri="{FF2B5EF4-FFF2-40B4-BE49-F238E27FC236}">
              <a16:creationId xmlns:a16="http://schemas.microsoft.com/office/drawing/2014/main" id="{00000000-0008-0000-0000-000007000000}"/>
            </a:ext>
          </a:extLst>
        </xdr:cNvPr>
        <xdr:cNvSpPr txBox="1"/>
      </xdr:nvSpPr>
      <xdr:spPr>
        <a:xfrm>
          <a:off x="8267700" y="36446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102</xdr:row>
      <xdr:rowOff>0</xdr:rowOff>
    </xdr:from>
    <xdr:ext cx="65" cy="172227"/>
    <xdr:sp macro="" textlink="">
      <xdr:nvSpPr>
        <xdr:cNvPr id="355" name="TextBox 354">
          <a:extLst>
            <a:ext uri="{FF2B5EF4-FFF2-40B4-BE49-F238E27FC236}">
              <a16:creationId xmlns:a16="http://schemas.microsoft.com/office/drawing/2014/main" id="{00000000-0008-0000-0000-000007000000}"/>
            </a:ext>
          </a:extLst>
        </xdr:cNvPr>
        <xdr:cNvSpPr txBox="1"/>
      </xdr:nvSpPr>
      <xdr:spPr>
        <a:xfrm>
          <a:off x="8267700" y="36629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102</xdr:row>
      <xdr:rowOff>0</xdr:rowOff>
    </xdr:from>
    <xdr:ext cx="65" cy="172227"/>
    <xdr:sp macro="" textlink="">
      <xdr:nvSpPr>
        <xdr:cNvPr id="356" name="TextBox 355">
          <a:extLst>
            <a:ext uri="{FF2B5EF4-FFF2-40B4-BE49-F238E27FC236}">
              <a16:creationId xmlns:a16="http://schemas.microsoft.com/office/drawing/2014/main" id="{00000000-0008-0000-0000-000007000000}"/>
            </a:ext>
          </a:extLst>
        </xdr:cNvPr>
        <xdr:cNvSpPr txBox="1"/>
      </xdr:nvSpPr>
      <xdr:spPr>
        <a:xfrm>
          <a:off x="8267700" y="36629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108</xdr:row>
      <xdr:rowOff>0</xdr:rowOff>
    </xdr:from>
    <xdr:ext cx="65" cy="172227"/>
    <xdr:sp macro="" textlink="">
      <xdr:nvSpPr>
        <xdr:cNvPr id="357" name="TextBox 356">
          <a:extLst>
            <a:ext uri="{FF2B5EF4-FFF2-40B4-BE49-F238E27FC236}">
              <a16:creationId xmlns:a16="http://schemas.microsoft.com/office/drawing/2014/main" id="{00000000-0008-0000-0000-000007000000}"/>
            </a:ext>
          </a:extLst>
        </xdr:cNvPr>
        <xdr:cNvSpPr txBox="1"/>
      </xdr:nvSpPr>
      <xdr:spPr>
        <a:xfrm>
          <a:off x="8267700" y="3772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108</xdr:row>
      <xdr:rowOff>0</xdr:rowOff>
    </xdr:from>
    <xdr:ext cx="65" cy="172227"/>
    <xdr:sp macro="" textlink="">
      <xdr:nvSpPr>
        <xdr:cNvPr id="358" name="TextBox 357">
          <a:extLst>
            <a:ext uri="{FF2B5EF4-FFF2-40B4-BE49-F238E27FC236}">
              <a16:creationId xmlns:a16="http://schemas.microsoft.com/office/drawing/2014/main" id="{00000000-0008-0000-0000-000007000000}"/>
            </a:ext>
          </a:extLst>
        </xdr:cNvPr>
        <xdr:cNvSpPr txBox="1"/>
      </xdr:nvSpPr>
      <xdr:spPr>
        <a:xfrm>
          <a:off x="8267700" y="3772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109</xdr:row>
      <xdr:rowOff>0</xdr:rowOff>
    </xdr:from>
    <xdr:ext cx="65" cy="172227"/>
    <xdr:sp macro="" textlink="">
      <xdr:nvSpPr>
        <xdr:cNvPr id="359" name="TextBox 358">
          <a:extLst>
            <a:ext uri="{FF2B5EF4-FFF2-40B4-BE49-F238E27FC236}">
              <a16:creationId xmlns:a16="http://schemas.microsoft.com/office/drawing/2014/main" id="{00000000-0008-0000-0000-000007000000}"/>
            </a:ext>
          </a:extLst>
        </xdr:cNvPr>
        <xdr:cNvSpPr txBox="1"/>
      </xdr:nvSpPr>
      <xdr:spPr>
        <a:xfrm>
          <a:off x="8267700" y="37909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109</xdr:row>
      <xdr:rowOff>0</xdr:rowOff>
    </xdr:from>
    <xdr:ext cx="65" cy="172227"/>
    <xdr:sp macro="" textlink="">
      <xdr:nvSpPr>
        <xdr:cNvPr id="360" name="TextBox 359">
          <a:extLst>
            <a:ext uri="{FF2B5EF4-FFF2-40B4-BE49-F238E27FC236}">
              <a16:creationId xmlns:a16="http://schemas.microsoft.com/office/drawing/2014/main" id="{00000000-0008-0000-0000-000007000000}"/>
            </a:ext>
          </a:extLst>
        </xdr:cNvPr>
        <xdr:cNvSpPr txBox="1"/>
      </xdr:nvSpPr>
      <xdr:spPr>
        <a:xfrm>
          <a:off x="8267700" y="37909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110</xdr:row>
      <xdr:rowOff>0</xdr:rowOff>
    </xdr:from>
    <xdr:ext cx="65" cy="172227"/>
    <xdr:sp macro="" textlink="">
      <xdr:nvSpPr>
        <xdr:cNvPr id="361" name="TextBox 360">
          <a:extLst>
            <a:ext uri="{FF2B5EF4-FFF2-40B4-BE49-F238E27FC236}">
              <a16:creationId xmlns:a16="http://schemas.microsoft.com/office/drawing/2014/main" id="{00000000-0008-0000-0000-000007000000}"/>
            </a:ext>
          </a:extLst>
        </xdr:cNvPr>
        <xdr:cNvSpPr txBox="1"/>
      </xdr:nvSpPr>
      <xdr:spPr>
        <a:xfrm>
          <a:off x="8267700" y="3809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110</xdr:row>
      <xdr:rowOff>0</xdr:rowOff>
    </xdr:from>
    <xdr:ext cx="65" cy="172227"/>
    <xdr:sp macro="" textlink="">
      <xdr:nvSpPr>
        <xdr:cNvPr id="362" name="TextBox 361">
          <a:extLst>
            <a:ext uri="{FF2B5EF4-FFF2-40B4-BE49-F238E27FC236}">
              <a16:creationId xmlns:a16="http://schemas.microsoft.com/office/drawing/2014/main" id="{00000000-0008-0000-0000-000007000000}"/>
            </a:ext>
          </a:extLst>
        </xdr:cNvPr>
        <xdr:cNvSpPr txBox="1"/>
      </xdr:nvSpPr>
      <xdr:spPr>
        <a:xfrm>
          <a:off x="8267700" y="3809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111</xdr:row>
      <xdr:rowOff>0</xdr:rowOff>
    </xdr:from>
    <xdr:ext cx="65" cy="172227"/>
    <xdr:sp macro="" textlink="">
      <xdr:nvSpPr>
        <xdr:cNvPr id="363" name="TextBox 362">
          <a:extLst>
            <a:ext uri="{FF2B5EF4-FFF2-40B4-BE49-F238E27FC236}">
              <a16:creationId xmlns:a16="http://schemas.microsoft.com/office/drawing/2014/main" id="{00000000-0008-0000-0000-000007000000}"/>
            </a:ext>
          </a:extLst>
        </xdr:cNvPr>
        <xdr:cNvSpPr txBox="1"/>
      </xdr:nvSpPr>
      <xdr:spPr>
        <a:xfrm>
          <a:off x="8267700" y="3827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111</xdr:row>
      <xdr:rowOff>0</xdr:rowOff>
    </xdr:from>
    <xdr:ext cx="65" cy="172227"/>
    <xdr:sp macro="" textlink="">
      <xdr:nvSpPr>
        <xdr:cNvPr id="364" name="TextBox 363">
          <a:extLst>
            <a:ext uri="{FF2B5EF4-FFF2-40B4-BE49-F238E27FC236}">
              <a16:creationId xmlns:a16="http://schemas.microsoft.com/office/drawing/2014/main" id="{00000000-0008-0000-0000-000007000000}"/>
            </a:ext>
          </a:extLst>
        </xdr:cNvPr>
        <xdr:cNvSpPr txBox="1"/>
      </xdr:nvSpPr>
      <xdr:spPr>
        <a:xfrm>
          <a:off x="8267700" y="3827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112</xdr:row>
      <xdr:rowOff>0</xdr:rowOff>
    </xdr:from>
    <xdr:ext cx="65" cy="172227"/>
    <xdr:sp macro="" textlink="">
      <xdr:nvSpPr>
        <xdr:cNvPr id="365" name="TextBox 364">
          <a:extLst>
            <a:ext uri="{FF2B5EF4-FFF2-40B4-BE49-F238E27FC236}">
              <a16:creationId xmlns:a16="http://schemas.microsoft.com/office/drawing/2014/main" id="{00000000-0008-0000-0000-000007000000}"/>
            </a:ext>
          </a:extLst>
        </xdr:cNvPr>
        <xdr:cNvSpPr txBox="1"/>
      </xdr:nvSpPr>
      <xdr:spPr>
        <a:xfrm>
          <a:off x="8267700" y="38458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112</xdr:row>
      <xdr:rowOff>0</xdr:rowOff>
    </xdr:from>
    <xdr:ext cx="65" cy="172227"/>
    <xdr:sp macro="" textlink="">
      <xdr:nvSpPr>
        <xdr:cNvPr id="366" name="TextBox 365">
          <a:extLst>
            <a:ext uri="{FF2B5EF4-FFF2-40B4-BE49-F238E27FC236}">
              <a16:creationId xmlns:a16="http://schemas.microsoft.com/office/drawing/2014/main" id="{00000000-0008-0000-0000-000007000000}"/>
            </a:ext>
          </a:extLst>
        </xdr:cNvPr>
        <xdr:cNvSpPr txBox="1"/>
      </xdr:nvSpPr>
      <xdr:spPr>
        <a:xfrm>
          <a:off x="8267700" y="38458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118</xdr:row>
      <xdr:rowOff>0</xdr:rowOff>
    </xdr:from>
    <xdr:ext cx="65" cy="172227"/>
    <xdr:sp macro="" textlink="">
      <xdr:nvSpPr>
        <xdr:cNvPr id="367" name="TextBox 366">
          <a:extLst>
            <a:ext uri="{FF2B5EF4-FFF2-40B4-BE49-F238E27FC236}">
              <a16:creationId xmlns:a16="http://schemas.microsoft.com/office/drawing/2014/main" id="{00000000-0008-0000-0000-000007000000}"/>
            </a:ext>
          </a:extLst>
        </xdr:cNvPr>
        <xdr:cNvSpPr txBox="1"/>
      </xdr:nvSpPr>
      <xdr:spPr>
        <a:xfrm>
          <a:off x="8267700" y="39555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118</xdr:row>
      <xdr:rowOff>0</xdr:rowOff>
    </xdr:from>
    <xdr:ext cx="65" cy="172227"/>
    <xdr:sp macro="" textlink="">
      <xdr:nvSpPr>
        <xdr:cNvPr id="368" name="TextBox 367">
          <a:extLst>
            <a:ext uri="{FF2B5EF4-FFF2-40B4-BE49-F238E27FC236}">
              <a16:creationId xmlns:a16="http://schemas.microsoft.com/office/drawing/2014/main" id="{00000000-0008-0000-0000-000007000000}"/>
            </a:ext>
          </a:extLst>
        </xdr:cNvPr>
        <xdr:cNvSpPr txBox="1"/>
      </xdr:nvSpPr>
      <xdr:spPr>
        <a:xfrm>
          <a:off x="8267700" y="39555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119</xdr:row>
      <xdr:rowOff>0</xdr:rowOff>
    </xdr:from>
    <xdr:ext cx="65" cy="172227"/>
    <xdr:sp macro="" textlink="">
      <xdr:nvSpPr>
        <xdr:cNvPr id="369" name="TextBox 368">
          <a:extLst>
            <a:ext uri="{FF2B5EF4-FFF2-40B4-BE49-F238E27FC236}">
              <a16:creationId xmlns:a16="http://schemas.microsoft.com/office/drawing/2014/main" id="{00000000-0008-0000-0000-000007000000}"/>
            </a:ext>
          </a:extLst>
        </xdr:cNvPr>
        <xdr:cNvSpPr txBox="1"/>
      </xdr:nvSpPr>
      <xdr:spPr>
        <a:xfrm>
          <a:off x="8267700" y="39738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119</xdr:row>
      <xdr:rowOff>0</xdr:rowOff>
    </xdr:from>
    <xdr:ext cx="65" cy="172227"/>
    <xdr:sp macro="" textlink="">
      <xdr:nvSpPr>
        <xdr:cNvPr id="370" name="TextBox 369">
          <a:extLst>
            <a:ext uri="{FF2B5EF4-FFF2-40B4-BE49-F238E27FC236}">
              <a16:creationId xmlns:a16="http://schemas.microsoft.com/office/drawing/2014/main" id="{00000000-0008-0000-0000-000007000000}"/>
            </a:ext>
          </a:extLst>
        </xdr:cNvPr>
        <xdr:cNvSpPr txBox="1"/>
      </xdr:nvSpPr>
      <xdr:spPr>
        <a:xfrm>
          <a:off x="8267700" y="39738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120</xdr:row>
      <xdr:rowOff>0</xdr:rowOff>
    </xdr:from>
    <xdr:ext cx="65" cy="172227"/>
    <xdr:sp macro="" textlink="">
      <xdr:nvSpPr>
        <xdr:cNvPr id="371" name="TextBox 370">
          <a:extLst>
            <a:ext uri="{FF2B5EF4-FFF2-40B4-BE49-F238E27FC236}">
              <a16:creationId xmlns:a16="http://schemas.microsoft.com/office/drawing/2014/main" id="{00000000-0008-0000-0000-000007000000}"/>
            </a:ext>
          </a:extLst>
        </xdr:cNvPr>
        <xdr:cNvSpPr txBox="1"/>
      </xdr:nvSpPr>
      <xdr:spPr>
        <a:xfrm>
          <a:off x="8267700" y="39921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120</xdr:row>
      <xdr:rowOff>0</xdr:rowOff>
    </xdr:from>
    <xdr:ext cx="65" cy="172227"/>
    <xdr:sp macro="" textlink="">
      <xdr:nvSpPr>
        <xdr:cNvPr id="372" name="TextBox 371">
          <a:extLst>
            <a:ext uri="{FF2B5EF4-FFF2-40B4-BE49-F238E27FC236}">
              <a16:creationId xmlns:a16="http://schemas.microsoft.com/office/drawing/2014/main" id="{00000000-0008-0000-0000-000007000000}"/>
            </a:ext>
          </a:extLst>
        </xdr:cNvPr>
        <xdr:cNvSpPr txBox="1"/>
      </xdr:nvSpPr>
      <xdr:spPr>
        <a:xfrm>
          <a:off x="8267700" y="39921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121</xdr:row>
      <xdr:rowOff>0</xdr:rowOff>
    </xdr:from>
    <xdr:ext cx="65" cy="172227"/>
    <xdr:sp macro="" textlink="">
      <xdr:nvSpPr>
        <xdr:cNvPr id="373" name="TextBox 372">
          <a:extLst>
            <a:ext uri="{FF2B5EF4-FFF2-40B4-BE49-F238E27FC236}">
              <a16:creationId xmlns:a16="http://schemas.microsoft.com/office/drawing/2014/main" id="{00000000-0008-0000-0000-000007000000}"/>
            </a:ext>
          </a:extLst>
        </xdr:cNvPr>
        <xdr:cNvSpPr txBox="1"/>
      </xdr:nvSpPr>
      <xdr:spPr>
        <a:xfrm>
          <a:off x="8267700" y="40104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121</xdr:row>
      <xdr:rowOff>0</xdr:rowOff>
    </xdr:from>
    <xdr:ext cx="65" cy="172227"/>
    <xdr:sp macro="" textlink="">
      <xdr:nvSpPr>
        <xdr:cNvPr id="374" name="TextBox 373">
          <a:extLst>
            <a:ext uri="{FF2B5EF4-FFF2-40B4-BE49-F238E27FC236}">
              <a16:creationId xmlns:a16="http://schemas.microsoft.com/office/drawing/2014/main" id="{00000000-0008-0000-0000-000007000000}"/>
            </a:ext>
          </a:extLst>
        </xdr:cNvPr>
        <xdr:cNvSpPr txBox="1"/>
      </xdr:nvSpPr>
      <xdr:spPr>
        <a:xfrm>
          <a:off x="8267700" y="40104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122</xdr:row>
      <xdr:rowOff>0</xdr:rowOff>
    </xdr:from>
    <xdr:ext cx="65" cy="172227"/>
    <xdr:sp macro="" textlink="">
      <xdr:nvSpPr>
        <xdr:cNvPr id="375" name="TextBox 374">
          <a:extLst>
            <a:ext uri="{FF2B5EF4-FFF2-40B4-BE49-F238E27FC236}">
              <a16:creationId xmlns:a16="http://schemas.microsoft.com/office/drawing/2014/main" id="{00000000-0008-0000-0000-000007000000}"/>
            </a:ext>
          </a:extLst>
        </xdr:cNvPr>
        <xdr:cNvSpPr txBox="1"/>
      </xdr:nvSpPr>
      <xdr:spPr>
        <a:xfrm>
          <a:off x="8267700" y="40286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122</xdr:row>
      <xdr:rowOff>0</xdr:rowOff>
    </xdr:from>
    <xdr:ext cx="65" cy="172227"/>
    <xdr:sp macro="" textlink="">
      <xdr:nvSpPr>
        <xdr:cNvPr id="376" name="TextBox 375">
          <a:extLst>
            <a:ext uri="{FF2B5EF4-FFF2-40B4-BE49-F238E27FC236}">
              <a16:creationId xmlns:a16="http://schemas.microsoft.com/office/drawing/2014/main" id="{00000000-0008-0000-0000-000007000000}"/>
            </a:ext>
          </a:extLst>
        </xdr:cNvPr>
        <xdr:cNvSpPr txBox="1"/>
      </xdr:nvSpPr>
      <xdr:spPr>
        <a:xfrm>
          <a:off x="8267700" y="40286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128</xdr:row>
      <xdr:rowOff>0</xdr:rowOff>
    </xdr:from>
    <xdr:ext cx="65" cy="172227"/>
    <xdr:sp macro="" textlink="">
      <xdr:nvSpPr>
        <xdr:cNvPr id="377" name="TextBox 376">
          <a:extLst>
            <a:ext uri="{FF2B5EF4-FFF2-40B4-BE49-F238E27FC236}">
              <a16:creationId xmlns:a16="http://schemas.microsoft.com/office/drawing/2014/main" id="{00000000-0008-0000-0000-000007000000}"/>
            </a:ext>
          </a:extLst>
        </xdr:cNvPr>
        <xdr:cNvSpPr txBox="1"/>
      </xdr:nvSpPr>
      <xdr:spPr>
        <a:xfrm>
          <a:off x="8267700" y="41384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128</xdr:row>
      <xdr:rowOff>0</xdr:rowOff>
    </xdr:from>
    <xdr:ext cx="65" cy="172227"/>
    <xdr:sp macro="" textlink="">
      <xdr:nvSpPr>
        <xdr:cNvPr id="378" name="TextBox 377">
          <a:extLst>
            <a:ext uri="{FF2B5EF4-FFF2-40B4-BE49-F238E27FC236}">
              <a16:creationId xmlns:a16="http://schemas.microsoft.com/office/drawing/2014/main" id="{00000000-0008-0000-0000-000007000000}"/>
            </a:ext>
          </a:extLst>
        </xdr:cNvPr>
        <xdr:cNvSpPr txBox="1"/>
      </xdr:nvSpPr>
      <xdr:spPr>
        <a:xfrm>
          <a:off x="8267700" y="41384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129</xdr:row>
      <xdr:rowOff>0</xdr:rowOff>
    </xdr:from>
    <xdr:ext cx="65" cy="172227"/>
    <xdr:sp macro="" textlink="">
      <xdr:nvSpPr>
        <xdr:cNvPr id="379" name="TextBox 378">
          <a:extLst>
            <a:ext uri="{FF2B5EF4-FFF2-40B4-BE49-F238E27FC236}">
              <a16:creationId xmlns:a16="http://schemas.microsoft.com/office/drawing/2014/main" id="{00000000-0008-0000-0000-000007000000}"/>
            </a:ext>
          </a:extLst>
        </xdr:cNvPr>
        <xdr:cNvSpPr txBox="1"/>
      </xdr:nvSpPr>
      <xdr:spPr>
        <a:xfrm>
          <a:off x="8267700" y="4156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129</xdr:row>
      <xdr:rowOff>0</xdr:rowOff>
    </xdr:from>
    <xdr:ext cx="65" cy="172227"/>
    <xdr:sp macro="" textlink="">
      <xdr:nvSpPr>
        <xdr:cNvPr id="380" name="TextBox 379">
          <a:extLst>
            <a:ext uri="{FF2B5EF4-FFF2-40B4-BE49-F238E27FC236}">
              <a16:creationId xmlns:a16="http://schemas.microsoft.com/office/drawing/2014/main" id="{00000000-0008-0000-0000-000007000000}"/>
            </a:ext>
          </a:extLst>
        </xdr:cNvPr>
        <xdr:cNvSpPr txBox="1"/>
      </xdr:nvSpPr>
      <xdr:spPr>
        <a:xfrm>
          <a:off x="8267700" y="4156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130</xdr:row>
      <xdr:rowOff>0</xdr:rowOff>
    </xdr:from>
    <xdr:ext cx="65" cy="172227"/>
    <xdr:sp macro="" textlink="">
      <xdr:nvSpPr>
        <xdr:cNvPr id="381" name="TextBox 380">
          <a:extLst>
            <a:ext uri="{FF2B5EF4-FFF2-40B4-BE49-F238E27FC236}">
              <a16:creationId xmlns:a16="http://schemas.microsoft.com/office/drawing/2014/main" id="{00000000-0008-0000-0000-000007000000}"/>
            </a:ext>
          </a:extLst>
        </xdr:cNvPr>
        <xdr:cNvSpPr txBox="1"/>
      </xdr:nvSpPr>
      <xdr:spPr>
        <a:xfrm>
          <a:off x="8267700" y="41749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130</xdr:row>
      <xdr:rowOff>0</xdr:rowOff>
    </xdr:from>
    <xdr:ext cx="65" cy="172227"/>
    <xdr:sp macro="" textlink="">
      <xdr:nvSpPr>
        <xdr:cNvPr id="382" name="TextBox 381">
          <a:extLst>
            <a:ext uri="{FF2B5EF4-FFF2-40B4-BE49-F238E27FC236}">
              <a16:creationId xmlns:a16="http://schemas.microsoft.com/office/drawing/2014/main" id="{00000000-0008-0000-0000-000007000000}"/>
            </a:ext>
          </a:extLst>
        </xdr:cNvPr>
        <xdr:cNvSpPr txBox="1"/>
      </xdr:nvSpPr>
      <xdr:spPr>
        <a:xfrm>
          <a:off x="8267700" y="41749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131</xdr:row>
      <xdr:rowOff>0</xdr:rowOff>
    </xdr:from>
    <xdr:ext cx="65" cy="172227"/>
    <xdr:sp macro="" textlink="">
      <xdr:nvSpPr>
        <xdr:cNvPr id="383" name="TextBox 382">
          <a:extLst>
            <a:ext uri="{FF2B5EF4-FFF2-40B4-BE49-F238E27FC236}">
              <a16:creationId xmlns:a16="http://schemas.microsoft.com/office/drawing/2014/main" id="{00000000-0008-0000-0000-000007000000}"/>
            </a:ext>
          </a:extLst>
        </xdr:cNvPr>
        <xdr:cNvSpPr txBox="1"/>
      </xdr:nvSpPr>
      <xdr:spPr>
        <a:xfrm>
          <a:off x="8267700" y="41932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131</xdr:row>
      <xdr:rowOff>0</xdr:rowOff>
    </xdr:from>
    <xdr:ext cx="65" cy="172227"/>
    <xdr:sp macro="" textlink="">
      <xdr:nvSpPr>
        <xdr:cNvPr id="384" name="TextBox 383">
          <a:extLst>
            <a:ext uri="{FF2B5EF4-FFF2-40B4-BE49-F238E27FC236}">
              <a16:creationId xmlns:a16="http://schemas.microsoft.com/office/drawing/2014/main" id="{00000000-0008-0000-0000-000007000000}"/>
            </a:ext>
          </a:extLst>
        </xdr:cNvPr>
        <xdr:cNvSpPr txBox="1"/>
      </xdr:nvSpPr>
      <xdr:spPr>
        <a:xfrm>
          <a:off x="8267700" y="41932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132</xdr:row>
      <xdr:rowOff>0</xdr:rowOff>
    </xdr:from>
    <xdr:ext cx="65" cy="172227"/>
    <xdr:sp macro="" textlink="">
      <xdr:nvSpPr>
        <xdr:cNvPr id="385" name="TextBox 384">
          <a:extLst>
            <a:ext uri="{FF2B5EF4-FFF2-40B4-BE49-F238E27FC236}">
              <a16:creationId xmlns:a16="http://schemas.microsoft.com/office/drawing/2014/main" id="{00000000-0008-0000-0000-000007000000}"/>
            </a:ext>
          </a:extLst>
        </xdr:cNvPr>
        <xdr:cNvSpPr txBox="1"/>
      </xdr:nvSpPr>
      <xdr:spPr>
        <a:xfrm>
          <a:off x="8267700" y="42115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132</xdr:row>
      <xdr:rowOff>0</xdr:rowOff>
    </xdr:from>
    <xdr:ext cx="65" cy="172227"/>
    <xdr:sp macro="" textlink="">
      <xdr:nvSpPr>
        <xdr:cNvPr id="386" name="TextBox 385">
          <a:extLst>
            <a:ext uri="{FF2B5EF4-FFF2-40B4-BE49-F238E27FC236}">
              <a16:creationId xmlns:a16="http://schemas.microsoft.com/office/drawing/2014/main" id="{00000000-0008-0000-0000-000007000000}"/>
            </a:ext>
          </a:extLst>
        </xdr:cNvPr>
        <xdr:cNvSpPr txBox="1"/>
      </xdr:nvSpPr>
      <xdr:spPr>
        <a:xfrm>
          <a:off x="8267700" y="42115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387" name="TextBox 386">
          <a:extLst>
            <a:ext uri="{FF2B5EF4-FFF2-40B4-BE49-F238E27FC236}">
              <a16:creationId xmlns:a16="http://schemas.microsoft.com/office/drawing/2014/main" id="{00000000-0008-0000-0000-000007000000}"/>
            </a:ext>
          </a:extLst>
        </xdr:cNvPr>
        <xdr:cNvSpPr txBox="1"/>
      </xdr:nvSpPr>
      <xdr:spPr>
        <a:xfrm>
          <a:off x="8267700" y="33474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388" name="TextBox 387">
          <a:extLst>
            <a:ext uri="{FF2B5EF4-FFF2-40B4-BE49-F238E27FC236}">
              <a16:creationId xmlns:a16="http://schemas.microsoft.com/office/drawing/2014/main" id="{00000000-0008-0000-0000-000007000000}"/>
            </a:ext>
          </a:extLst>
        </xdr:cNvPr>
        <xdr:cNvSpPr txBox="1"/>
      </xdr:nvSpPr>
      <xdr:spPr>
        <a:xfrm>
          <a:off x="8267700" y="33474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389" name="TextBox 388">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390" name="TextBox 389">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391" name="TextBox 390">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392" name="TextBox 391">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393" name="TextBox 392">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394" name="TextBox 393">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83</xdr:row>
      <xdr:rowOff>0</xdr:rowOff>
    </xdr:from>
    <xdr:ext cx="65" cy="172227"/>
    <xdr:sp macro="" textlink="">
      <xdr:nvSpPr>
        <xdr:cNvPr id="398" name="TextBox 397">
          <a:extLst>
            <a:ext uri="{FF2B5EF4-FFF2-40B4-BE49-F238E27FC236}">
              <a16:creationId xmlns:a16="http://schemas.microsoft.com/office/drawing/2014/main" id="{00000000-0008-0000-0000-000007000000}"/>
            </a:ext>
          </a:extLst>
        </xdr:cNvPr>
        <xdr:cNvSpPr txBox="1"/>
      </xdr:nvSpPr>
      <xdr:spPr>
        <a:xfrm>
          <a:off x="8267700" y="33474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83</xdr:row>
      <xdr:rowOff>0</xdr:rowOff>
    </xdr:from>
    <xdr:ext cx="65" cy="172227"/>
    <xdr:sp macro="" textlink="">
      <xdr:nvSpPr>
        <xdr:cNvPr id="402" name="TextBox 401">
          <a:extLst>
            <a:ext uri="{FF2B5EF4-FFF2-40B4-BE49-F238E27FC236}">
              <a16:creationId xmlns:a16="http://schemas.microsoft.com/office/drawing/2014/main" id="{00000000-0008-0000-0000-000007000000}"/>
            </a:ext>
          </a:extLst>
        </xdr:cNvPr>
        <xdr:cNvSpPr txBox="1"/>
      </xdr:nvSpPr>
      <xdr:spPr>
        <a:xfrm>
          <a:off x="8267700" y="33474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84</xdr:row>
      <xdr:rowOff>0</xdr:rowOff>
    </xdr:from>
    <xdr:ext cx="65" cy="172227"/>
    <xdr:sp macro="" textlink="">
      <xdr:nvSpPr>
        <xdr:cNvPr id="403" name="TextBox 402">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84</xdr:row>
      <xdr:rowOff>0</xdr:rowOff>
    </xdr:from>
    <xdr:ext cx="65" cy="172227"/>
    <xdr:sp macro="" textlink="">
      <xdr:nvSpPr>
        <xdr:cNvPr id="404" name="TextBox 403">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405" name="TextBox 404">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406" name="TextBox 405">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407" name="TextBox 406">
          <a:extLst>
            <a:ext uri="{FF2B5EF4-FFF2-40B4-BE49-F238E27FC236}">
              <a16:creationId xmlns:a16="http://schemas.microsoft.com/office/drawing/2014/main" id="{00000000-0008-0000-0000-000007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408" name="TextBox 407">
          <a:extLst>
            <a:ext uri="{FF2B5EF4-FFF2-40B4-BE49-F238E27FC236}">
              <a16:creationId xmlns:a16="http://schemas.microsoft.com/office/drawing/2014/main" id="{00000000-0008-0000-0000-000007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409" name="TextBox 408">
          <a:extLst>
            <a:ext uri="{FF2B5EF4-FFF2-40B4-BE49-F238E27FC236}">
              <a16:creationId xmlns:a16="http://schemas.microsoft.com/office/drawing/2014/main" id="{00000000-0008-0000-0000-000007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410" name="TextBox 409">
          <a:extLst>
            <a:ext uri="{FF2B5EF4-FFF2-40B4-BE49-F238E27FC236}">
              <a16:creationId xmlns:a16="http://schemas.microsoft.com/office/drawing/2014/main" id="{00000000-0008-0000-0000-000007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88</xdr:row>
      <xdr:rowOff>0</xdr:rowOff>
    </xdr:from>
    <xdr:ext cx="65" cy="172227"/>
    <xdr:sp macro="" textlink="">
      <xdr:nvSpPr>
        <xdr:cNvPr id="411" name="TextBox 410">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88</xdr:row>
      <xdr:rowOff>0</xdr:rowOff>
    </xdr:from>
    <xdr:ext cx="65" cy="172227"/>
    <xdr:sp macro="" textlink="">
      <xdr:nvSpPr>
        <xdr:cNvPr id="412" name="TextBox 411">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89</xdr:row>
      <xdr:rowOff>0</xdr:rowOff>
    </xdr:from>
    <xdr:ext cx="65" cy="172227"/>
    <xdr:sp macro="" textlink="">
      <xdr:nvSpPr>
        <xdr:cNvPr id="413" name="TextBox 412">
          <a:extLst>
            <a:ext uri="{FF2B5EF4-FFF2-40B4-BE49-F238E27FC236}">
              <a16:creationId xmlns:a16="http://schemas.microsoft.com/office/drawing/2014/main" id="{00000000-0008-0000-0000-000007000000}"/>
            </a:ext>
          </a:extLst>
        </xdr:cNvPr>
        <xdr:cNvSpPr txBox="1"/>
      </xdr:nvSpPr>
      <xdr:spPr>
        <a:xfrm>
          <a:off x="8267700" y="34648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89</xdr:row>
      <xdr:rowOff>0</xdr:rowOff>
    </xdr:from>
    <xdr:ext cx="65" cy="172227"/>
    <xdr:sp macro="" textlink="">
      <xdr:nvSpPr>
        <xdr:cNvPr id="414" name="TextBox 413">
          <a:extLst>
            <a:ext uri="{FF2B5EF4-FFF2-40B4-BE49-F238E27FC236}">
              <a16:creationId xmlns:a16="http://schemas.microsoft.com/office/drawing/2014/main" id="{00000000-0008-0000-0000-000007000000}"/>
            </a:ext>
          </a:extLst>
        </xdr:cNvPr>
        <xdr:cNvSpPr txBox="1"/>
      </xdr:nvSpPr>
      <xdr:spPr>
        <a:xfrm>
          <a:off x="8267700" y="34648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90</xdr:row>
      <xdr:rowOff>0</xdr:rowOff>
    </xdr:from>
    <xdr:ext cx="65" cy="172227"/>
    <xdr:sp macro="" textlink="">
      <xdr:nvSpPr>
        <xdr:cNvPr id="415" name="TextBox 414">
          <a:extLst>
            <a:ext uri="{FF2B5EF4-FFF2-40B4-BE49-F238E27FC236}">
              <a16:creationId xmlns:a16="http://schemas.microsoft.com/office/drawing/2014/main" id="{00000000-0008-0000-0000-000007000000}"/>
            </a:ext>
          </a:extLst>
        </xdr:cNvPr>
        <xdr:cNvSpPr txBox="1"/>
      </xdr:nvSpPr>
      <xdr:spPr>
        <a:xfrm>
          <a:off x="8267700" y="34831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90</xdr:row>
      <xdr:rowOff>0</xdr:rowOff>
    </xdr:from>
    <xdr:ext cx="65" cy="172227"/>
    <xdr:sp macro="" textlink="">
      <xdr:nvSpPr>
        <xdr:cNvPr id="416" name="TextBox 415">
          <a:extLst>
            <a:ext uri="{FF2B5EF4-FFF2-40B4-BE49-F238E27FC236}">
              <a16:creationId xmlns:a16="http://schemas.microsoft.com/office/drawing/2014/main" id="{00000000-0008-0000-0000-000007000000}"/>
            </a:ext>
          </a:extLst>
        </xdr:cNvPr>
        <xdr:cNvSpPr txBox="1"/>
      </xdr:nvSpPr>
      <xdr:spPr>
        <a:xfrm>
          <a:off x="8267700" y="34831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91</xdr:row>
      <xdr:rowOff>0</xdr:rowOff>
    </xdr:from>
    <xdr:ext cx="65" cy="172227"/>
    <xdr:sp macro="" textlink="">
      <xdr:nvSpPr>
        <xdr:cNvPr id="417" name="TextBox 416">
          <a:extLst>
            <a:ext uri="{FF2B5EF4-FFF2-40B4-BE49-F238E27FC236}">
              <a16:creationId xmlns:a16="http://schemas.microsoft.com/office/drawing/2014/main" id="{00000000-0008-0000-0000-000007000000}"/>
            </a:ext>
          </a:extLst>
        </xdr:cNvPr>
        <xdr:cNvSpPr txBox="1"/>
      </xdr:nvSpPr>
      <xdr:spPr>
        <a:xfrm>
          <a:off x="8267700" y="35013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91</xdr:row>
      <xdr:rowOff>0</xdr:rowOff>
    </xdr:from>
    <xdr:ext cx="65" cy="172227"/>
    <xdr:sp macro="" textlink="">
      <xdr:nvSpPr>
        <xdr:cNvPr id="418" name="TextBox 417">
          <a:extLst>
            <a:ext uri="{FF2B5EF4-FFF2-40B4-BE49-F238E27FC236}">
              <a16:creationId xmlns:a16="http://schemas.microsoft.com/office/drawing/2014/main" id="{00000000-0008-0000-0000-000007000000}"/>
            </a:ext>
          </a:extLst>
        </xdr:cNvPr>
        <xdr:cNvSpPr txBox="1"/>
      </xdr:nvSpPr>
      <xdr:spPr>
        <a:xfrm>
          <a:off x="8267700" y="35013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92</xdr:row>
      <xdr:rowOff>0</xdr:rowOff>
    </xdr:from>
    <xdr:ext cx="65" cy="172227"/>
    <xdr:sp macro="" textlink="">
      <xdr:nvSpPr>
        <xdr:cNvPr id="419" name="TextBox 418">
          <a:extLst>
            <a:ext uri="{FF2B5EF4-FFF2-40B4-BE49-F238E27FC236}">
              <a16:creationId xmlns:a16="http://schemas.microsoft.com/office/drawing/2014/main" id="{00000000-0008-0000-0000-000007000000}"/>
            </a:ext>
          </a:extLst>
        </xdr:cNvPr>
        <xdr:cNvSpPr txBox="1"/>
      </xdr:nvSpPr>
      <xdr:spPr>
        <a:xfrm>
          <a:off x="8267700" y="35196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92</xdr:row>
      <xdr:rowOff>0</xdr:rowOff>
    </xdr:from>
    <xdr:ext cx="65" cy="172227"/>
    <xdr:sp macro="" textlink="">
      <xdr:nvSpPr>
        <xdr:cNvPr id="420" name="TextBox 419">
          <a:extLst>
            <a:ext uri="{FF2B5EF4-FFF2-40B4-BE49-F238E27FC236}">
              <a16:creationId xmlns:a16="http://schemas.microsoft.com/office/drawing/2014/main" id="{00000000-0008-0000-0000-000007000000}"/>
            </a:ext>
          </a:extLst>
        </xdr:cNvPr>
        <xdr:cNvSpPr txBox="1"/>
      </xdr:nvSpPr>
      <xdr:spPr>
        <a:xfrm>
          <a:off x="8267700" y="35196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98</xdr:row>
      <xdr:rowOff>0</xdr:rowOff>
    </xdr:from>
    <xdr:ext cx="65" cy="172227"/>
    <xdr:sp macro="" textlink="">
      <xdr:nvSpPr>
        <xdr:cNvPr id="421" name="TextBox 420">
          <a:extLst>
            <a:ext uri="{FF2B5EF4-FFF2-40B4-BE49-F238E27FC236}">
              <a16:creationId xmlns:a16="http://schemas.microsoft.com/office/drawing/2014/main" id="{00000000-0008-0000-0000-000007000000}"/>
            </a:ext>
          </a:extLst>
        </xdr:cNvPr>
        <xdr:cNvSpPr txBox="1"/>
      </xdr:nvSpPr>
      <xdr:spPr>
        <a:xfrm>
          <a:off x="8267700" y="36294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98</xdr:row>
      <xdr:rowOff>0</xdr:rowOff>
    </xdr:from>
    <xdr:ext cx="65" cy="172227"/>
    <xdr:sp macro="" textlink="">
      <xdr:nvSpPr>
        <xdr:cNvPr id="422" name="TextBox 421">
          <a:extLst>
            <a:ext uri="{FF2B5EF4-FFF2-40B4-BE49-F238E27FC236}">
              <a16:creationId xmlns:a16="http://schemas.microsoft.com/office/drawing/2014/main" id="{00000000-0008-0000-0000-000007000000}"/>
            </a:ext>
          </a:extLst>
        </xdr:cNvPr>
        <xdr:cNvSpPr txBox="1"/>
      </xdr:nvSpPr>
      <xdr:spPr>
        <a:xfrm>
          <a:off x="8267700" y="36294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99</xdr:row>
      <xdr:rowOff>0</xdr:rowOff>
    </xdr:from>
    <xdr:ext cx="65" cy="172227"/>
    <xdr:sp macro="" textlink="">
      <xdr:nvSpPr>
        <xdr:cNvPr id="423" name="TextBox 422">
          <a:extLst>
            <a:ext uri="{FF2B5EF4-FFF2-40B4-BE49-F238E27FC236}">
              <a16:creationId xmlns:a16="http://schemas.microsoft.com/office/drawing/2014/main" id="{00000000-0008-0000-0000-000007000000}"/>
            </a:ext>
          </a:extLst>
        </xdr:cNvPr>
        <xdr:cNvSpPr txBox="1"/>
      </xdr:nvSpPr>
      <xdr:spPr>
        <a:xfrm>
          <a:off x="8267700" y="36476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99</xdr:row>
      <xdr:rowOff>0</xdr:rowOff>
    </xdr:from>
    <xdr:ext cx="65" cy="172227"/>
    <xdr:sp macro="" textlink="">
      <xdr:nvSpPr>
        <xdr:cNvPr id="424" name="TextBox 423">
          <a:extLst>
            <a:ext uri="{FF2B5EF4-FFF2-40B4-BE49-F238E27FC236}">
              <a16:creationId xmlns:a16="http://schemas.microsoft.com/office/drawing/2014/main" id="{00000000-0008-0000-0000-000007000000}"/>
            </a:ext>
          </a:extLst>
        </xdr:cNvPr>
        <xdr:cNvSpPr txBox="1"/>
      </xdr:nvSpPr>
      <xdr:spPr>
        <a:xfrm>
          <a:off x="8267700" y="36476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100</xdr:row>
      <xdr:rowOff>0</xdr:rowOff>
    </xdr:from>
    <xdr:ext cx="65" cy="172227"/>
    <xdr:sp macro="" textlink="">
      <xdr:nvSpPr>
        <xdr:cNvPr id="425" name="TextBox 424">
          <a:extLst>
            <a:ext uri="{FF2B5EF4-FFF2-40B4-BE49-F238E27FC236}">
              <a16:creationId xmlns:a16="http://schemas.microsoft.com/office/drawing/2014/main" id="{00000000-0008-0000-0000-000007000000}"/>
            </a:ext>
          </a:extLst>
        </xdr:cNvPr>
        <xdr:cNvSpPr txBox="1"/>
      </xdr:nvSpPr>
      <xdr:spPr>
        <a:xfrm>
          <a:off x="8267700" y="36659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100</xdr:row>
      <xdr:rowOff>0</xdr:rowOff>
    </xdr:from>
    <xdr:ext cx="65" cy="172227"/>
    <xdr:sp macro="" textlink="">
      <xdr:nvSpPr>
        <xdr:cNvPr id="426" name="TextBox 425">
          <a:extLst>
            <a:ext uri="{FF2B5EF4-FFF2-40B4-BE49-F238E27FC236}">
              <a16:creationId xmlns:a16="http://schemas.microsoft.com/office/drawing/2014/main" id="{00000000-0008-0000-0000-000007000000}"/>
            </a:ext>
          </a:extLst>
        </xdr:cNvPr>
        <xdr:cNvSpPr txBox="1"/>
      </xdr:nvSpPr>
      <xdr:spPr>
        <a:xfrm>
          <a:off x="8267700" y="36659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101</xdr:row>
      <xdr:rowOff>0</xdr:rowOff>
    </xdr:from>
    <xdr:ext cx="65" cy="172227"/>
    <xdr:sp macro="" textlink="">
      <xdr:nvSpPr>
        <xdr:cNvPr id="427" name="TextBox 426">
          <a:extLst>
            <a:ext uri="{FF2B5EF4-FFF2-40B4-BE49-F238E27FC236}">
              <a16:creationId xmlns:a16="http://schemas.microsoft.com/office/drawing/2014/main" id="{00000000-0008-0000-0000-000007000000}"/>
            </a:ext>
          </a:extLst>
        </xdr:cNvPr>
        <xdr:cNvSpPr txBox="1"/>
      </xdr:nvSpPr>
      <xdr:spPr>
        <a:xfrm>
          <a:off x="8267700" y="36842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101</xdr:row>
      <xdr:rowOff>0</xdr:rowOff>
    </xdr:from>
    <xdr:ext cx="65" cy="172227"/>
    <xdr:sp macro="" textlink="">
      <xdr:nvSpPr>
        <xdr:cNvPr id="428" name="TextBox 427">
          <a:extLst>
            <a:ext uri="{FF2B5EF4-FFF2-40B4-BE49-F238E27FC236}">
              <a16:creationId xmlns:a16="http://schemas.microsoft.com/office/drawing/2014/main" id="{00000000-0008-0000-0000-000007000000}"/>
            </a:ext>
          </a:extLst>
        </xdr:cNvPr>
        <xdr:cNvSpPr txBox="1"/>
      </xdr:nvSpPr>
      <xdr:spPr>
        <a:xfrm>
          <a:off x="8267700" y="36842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102</xdr:row>
      <xdr:rowOff>0</xdr:rowOff>
    </xdr:from>
    <xdr:ext cx="65" cy="172227"/>
    <xdr:sp macro="" textlink="">
      <xdr:nvSpPr>
        <xdr:cNvPr id="429" name="TextBox 428">
          <a:extLst>
            <a:ext uri="{FF2B5EF4-FFF2-40B4-BE49-F238E27FC236}">
              <a16:creationId xmlns:a16="http://schemas.microsoft.com/office/drawing/2014/main" id="{00000000-0008-0000-0000-000007000000}"/>
            </a:ext>
          </a:extLst>
        </xdr:cNvPr>
        <xdr:cNvSpPr txBox="1"/>
      </xdr:nvSpPr>
      <xdr:spPr>
        <a:xfrm>
          <a:off x="8267700" y="37025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102</xdr:row>
      <xdr:rowOff>0</xdr:rowOff>
    </xdr:from>
    <xdr:ext cx="65" cy="172227"/>
    <xdr:sp macro="" textlink="">
      <xdr:nvSpPr>
        <xdr:cNvPr id="430" name="TextBox 429">
          <a:extLst>
            <a:ext uri="{FF2B5EF4-FFF2-40B4-BE49-F238E27FC236}">
              <a16:creationId xmlns:a16="http://schemas.microsoft.com/office/drawing/2014/main" id="{00000000-0008-0000-0000-000007000000}"/>
            </a:ext>
          </a:extLst>
        </xdr:cNvPr>
        <xdr:cNvSpPr txBox="1"/>
      </xdr:nvSpPr>
      <xdr:spPr>
        <a:xfrm>
          <a:off x="8267700" y="37025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108</xdr:row>
      <xdr:rowOff>0</xdr:rowOff>
    </xdr:from>
    <xdr:ext cx="65" cy="172227"/>
    <xdr:sp macro="" textlink="">
      <xdr:nvSpPr>
        <xdr:cNvPr id="431" name="TextBox 430">
          <a:extLst>
            <a:ext uri="{FF2B5EF4-FFF2-40B4-BE49-F238E27FC236}">
              <a16:creationId xmlns:a16="http://schemas.microsoft.com/office/drawing/2014/main" id="{00000000-0008-0000-0000-000007000000}"/>
            </a:ext>
          </a:extLst>
        </xdr:cNvPr>
        <xdr:cNvSpPr txBox="1"/>
      </xdr:nvSpPr>
      <xdr:spPr>
        <a:xfrm>
          <a:off x="8267700" y="38122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108</xdr:row>
      <xdr:rowOff>0</xdr:rowOff>
    </xdr:from>
    <xdr:ext cx="65" cy="172227"/>
    <xdr:sp macro="" textlink="">
      <xdr:nvSpPr>
        <xdr:cNvPr id="432" name="TextBox 431">
          <a:extLst>
            <a:ext uri="{FF2B5EF4-FFF2-40B4-BE49-F238E27FC236}">
              <a16:creationId xmlns:a16="http://schemas.microsoft.com/office/drawing/2014/main" id="{00000000-0008-0000-0000-000007000000}"/>
            </a:ext>
          </a:extLst>
        </xdr:cNvPr>
        <xdr:cNvSpPr txBox="1"/>
      </xdr:nvSpPr>
      <xdr:spPr>
        <a:xfrm>
          <a:off x="8267700" y="38122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109</xdr:row>
      <xdr:rowOff>0</xdr:rowOff>
    </xdr:from>
    <xdr:ext cx="65" cy="172227"/>
    <xdr:sp macro="" textlink="">
      <xdr:nvSpPr>
        <xdr:cNvPr id="433" name="TextBox 432">
          <a:extLst>
            <a:ext uri="{FF2B5EF4-FFF2-40B4-BE49-F238E27FC236}">
              <a16:creationId xmlns:a16="http://schemas.microsoft.com/office/drawing/2014/main" id="{00000000-0008-0000-0000-000007000000}"/>
            </a:ext>
          </a:extLst>
        </xdr:cNvPr>
        <xdr:cNvSpPr txBox="1"/>
      </xdr:nvSpPr>
      <xdr:spPr>
        <a:xfrm>
          <a:off x="8267700" y="38305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109</xdr:row>
      <xdr:rowOff>0</xdr:rowOff>
    </xdr:from>
    <xdr:ext cx="65" cy="172227"/>
    <xdr:sp macro="" textlink="">
      <xdr:nvSpPr>
        <xdr:cNvPr id="434" name="TextBox 433">
          <a:extLst>
            <a:ext uri="{FF2B5EF4-FFF2-40B4-BE49-F238E27FC236}">
              <a16:creationId xmlns:a16="http://schemas.microsoft.com/office/drawing/2014/main" id="{00000000-0008-0000-0000-000007000000}"/>
            </a:ext>
          </a:extLst>
        </xdr:cNvPr>
        <xdr:cNvSpPr txBox="1"/>
      </xdr:nvSpPr>
      <xdr:spPr>
        <a:xfrm>
          <a:off x="8267700" y="38305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110</xdr:row>
      <xdr:rowOff>0</xdr:rowOff>
    </xdr:from>
    <xdr:ext cx="65" cy="172227"/>
    <xdr:sp macro="" textlink="">
      <xdr:nvSpPr>
        <xdr:cNvPr id="435" name="TextBox 434">
          <a:extLst>
            <a:ext uri="{FF2B5EF4-FFF2-40B4-BE49-F238E27FC236}">
              <a16:creationId xmlns:a16="http://schemas.microsoft.com/office/drawing/2014/main" id="{00000000-0008-0000-0000-000007000000}"/>
            </a:ext>
          </a:extLst>
        </xdr:cNvPr>
        <xdr:cNvSpPr txBox="1"/>
      </xdr:nvSpPr>
      <xdr:spPr>
        <a:xfrm>
          <a:off x="8267700" y="38488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110</xdr:row>
      <xdr:rowOff>0</xdr:rowOff>
    </xdr:from>
    <xdr:ext cx="65" cy="172227"/>
    <xdr:sp macro="" textlink="">
      <xdr:nvSpPr>
        <xdr:cNvPr id="436" name="TextBox 435">
          <a:extLst>
            <a:ext uri="{FF2B5EF4-FFF2-40B4-BE49-F238E27FC236}">
              <a16:creationId xmlns:a16="http://schemas.microsoft.com/office/drawing/2014/main" id="{00000000-0008-0000-0000-000007000000}"/>
            </a:ext>
          </a:extLst>
        </xdr:cNvPr>
        <xdr:cNvSpPr txBox="1"/>
      </xdr:nvSpPr>
      <xdr:spPr>
        <a:xfrm>
          <a:off x="8267700" y="38488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111</xdr:row>
      <xdr:rowOff>0</xdr:rowOff>
    </xdr:from>
    <xdr:ext cx="65" cy="172227"/>
    <xdr:sp macro="" textlink="">
      <xdr:nvSpPr>
        <xdr:cNvPr id="437" name="TextBox 436">
          <a:extLst>
            <a:ext uri="{FF2B5EF4-FFF2-40B4-BE49-F238E27FC236}">
              <a16:creationId xmlns:a16="http://schemas.microsoft.com/office/drawing/2014/main" id="{00000000-0008-0000-0000-000007000000}"/>
            </a:ext>
          </a:extLst>
        </xdr:cNvPr>
        <xdr:cNvSpPr txBox="1"/>
      </xdr:nvSpPr>
      <xdr:spPr>
        <a:xfrm>
          <a:off x="8267700" y="3867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111</xdr:row>
      <xdr:rowOff>0</xdr:rowOff>
    </xdr:from>
    <xdr:ext cx="65" cy="172227"/>
    <xdr:sp macro="" textlink="">
      <xdr:nvSpPr>
        <xdr:cNvPr id="438" name="TextBox 437">
          <a:extLst>
            <a:ext uri="{FF2B5EF4-FFF2-40B4-BE49-F238E27FC236}">
              <a16:creationId xmlns:a16="http://schemas.microsoft.com/office/drawing/2014/main" id="{00000000-0008-0000-0000-000007000000}"/>
            </a:ext>
          </a:extLst>
        </xdr:cNvPr>
        <xdr:cNvSpPr txBox="1"/>
      </xdr:nvSpPr>
      <xdr:spPr>
        <a:xfrm>
          <a:off x="8267700" y="3867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112</xdr:row>
      <xdr:rowOff>0</xdr:rowOff>
    </xdr:from>
    <xdr:ext cx="65" cy="172227"/>
    <xdr:sp macro="" textlink="">
      <xdr:nvSpPr>
        <xdr:cNvPr id="439" name="TextBox 438">
          <a:extLst>
            <a:ext uri="{FF2B5EF4-FFF2-40B4-BE49-F238E27FC236}">
              <a16:creationId xmlns:a16="http://schemas.microsoft.com/office/drawing/2014/main" id="{00000000-0008-0000-0000-000007000000}"/>
            </a:ext>
          </a:extLst>
        </xdr:cNvPr>
        <xdr:cNvSpPr txBox="1"/>
      </xdr:nvSpPr>
      <xdr:spPr>
        <a:xfrm>
          <a:off x="8267700" y="38854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112</xdr:row>
      <xdr:rowOff>0</xdr:rowOff>
    </xdr:from>
    <xdr:ext cx="65" cy="172227"/>
    <xdr:sp macro="" textlink="">
      <xdr:nvSpPr>
        <xdr:cNvPr id="440" name="TextBox 439">
          <a:extLst>
            <a:ext uri="{FF2B5EF4-FFF2-40B4-BE49-F238E27FC236}">
              <a16:creationId xmlns:a16="http://schemas.microsoft.com/office/drawing/2014/main" id="{00000000-0008-0000-0000-000007000000}"/>
            </a:ext>
          </a:extLst>
        </xdr:cNvPr>
        <xdr:cNvSpPr txBox="1"/>
      </xdr:nvSpPr>
      <xdr:spPr>
        <a:xfrm>
          <a:off x="8267700" y="38854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118</xdr:row>
      <xdr:rowOff>0</xdr:rowOff>
    </xdr:from>
    <xdr:ext cx="65" cy="172227"/>
    <xdr:sp macro="" textlink="">
      <xdr:nvSpPr>
        <xdr:cNvPr id="441" name="TextBox 440">
          <a:extLst>
            <a:ext uri="{FF2B5EF4-FFF2-40B4-BE49-F238E27FC236}">
              <a16:creationId xmlns:a16="http://schemas.microsoft.com/office/drawing/2014/main" id="{00000000-0008-0000-0000-000007000000}"/>
            </a:ext>
          </a:extLst>
        </xdr:cNvPr>
        <xdr:cNvSpPr txBox="1"/>
      </xdr:nvSpPr>
      <xdr:spPr>
        <a:xfrm>
          <a:off x="8267700" y="39951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118</xdr:row>
      <xdr:rowOff>0</xdr:rowOff>
    </xdr:from>
    <xdr:ext cx="65" cy="172227"/>
    <xdr:sp macro="" textlink="">
      <xdr:nvSpPr>
        <xdr:cNvPr id="442" name="TextBox 441">
          <a:extLst>
            <a:ext uri="{FF2B5EF4-FFF2-40B4-BE49-F238E27FC236}">
              <a16:creationId xmlns:a16="http://schemas.microsoft.com/office/drawing/2014/main" id="{00000000-0008-0000-0000-000007000000}"/>
            </a:ext>
          </a:extLst>
        </xdr:cNvPr>
        <xdr:cNvSpPr txBox="1"/>
      </xdr:nvSpPr>
      <xdr:spPr>
        <a:xfrm>
          <a:off x="8267700" y="39951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119</xdr:row>
      <xdr:rowOff>0</xdr:rowOff>
    </xdr:from>
    <xdr:ext cx="65" cy="172227"/>
    <xdr:sp macro="" textlink="">
      <xdr:nvSpPr>
        <xdr:cNvPr id="443" name="TextBox 442">
          <a:extLst>
            <a:ext uri="{FF2B5EF4-FFF2-40B4-BE49-F238E27FC236}">
              <a16:creationId xmlns:a16="http://schemas.microsoft.com/office/drawing/2014/main" id="{00000000-0008-0000-0000-000007000000}"/>
            </a:ext>
          </a:extLst>
        </xdr:cNvPr>
        <xdr:cNvSpPr txBox="1"/>
      </xdr:nvSpPr>
      <xdr:spPr>
        <a:xfrm>
          <a:off x="8267700" y="40134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119</xdr:row>
      <xdr:rowOff>0</xdr:rowOff>
    </xdr:from>
    <xdr:ext cx="65" cy="172227"/>
    <xdr:sp macro="" textlink="">
      <xdr:nvSpPr>
        <xdr:cNvPr id="444" name="TextBox 443">
          <a:extLst>
            <a:ext uri="{FF2B5EF4-FFF2-40B4-BE49-F238E27FC236}">
              <a16:creationId xmlns:a16="http://schemas.microsoft.com/office/drawing/2014/main" id="{00000000-0008-0000-0000-000007000000}"/>
            </a:ext>
          </a:extLst>
        </xdr:cNvPr>
        <xdr:cNvSpPr txBox="1"/>
      </xdr:nvSpPr>
      <xdr:spPr>
        <a:xfrm>
          <a:off x="8267700" y="40134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120</xdr:row>
      <xdr:rowOff>0</xdr:rowOff>
    </xdr:from>
    <xdr:ext cx="65" cy="172227"/>
    <xdr:sp macro="" textlink="">
      <xdr:nvSpPr>
        <xdr:cNvPr id="445" name="TextBox 444">
          <a:extLst>
            <a:ext uri="{FF2B5EF4-FFF2-40B4-BE49-F238E27FC236}">
              <a16:creationId xmlns:a16="http://schemas.microsoft.com/office/drawing/2014/main" id="{00000000-0008-0000-0000-000007000000}"/>
            </a:ext>
          </a:extLst>
        </xdr:cNvPr>
        <xdr:cNvSpPr txBox="1"/>
      </xdr:nvSpPr>
      <xdr:spPr>
        <a:xfrm>
          <a:off x="8267700" y="40317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120</xdr:row>
      <xdr:rowOff>0</xdr:rowOff>
    </xdr:from>
    <xdr:ext cx="65" cy="172227"/>
    <xdr:sp macro="" textlink="">
      <xdr:nvSpPr>
        <xdr:cNvPr id="446" name="TextBox 445">
          <a:extLst>
            <a:ext uri="{FF2B5EF4-FFF2-40B4-BE49-F238E27FC236}">
              <a16:creationId xmlns:a16="http://schemas.microsoft.com/office/drawing/2014/main" id="{00000000-0008-0000-0000-000007000000}"/>
            </a:ext>
          </a:extLst>
        </xdr:cNvPr>
        <xdr:cNvSpPr txBox="1"/>
      </xdr:nvSpPr>
      <xdr:spPr>
        <a:xfrm>
          <a:off x="8267700" y="40317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121</xdr:row>
      <xdr:rowOff>0</xdr:rowOff>
    </xdr:from>
    <xdr:ext cx="65" cy="172227"/>
    <xdr:sp macro="" textlink="">
      <xdr:nvSpPr>
        <xdr:cNvPr id="447" name="TextBox 446">
          <a:extLst>
            <a:ext uri="{FF2B5EF4-FFF2-40B4-BE49-F238E27FC236}">
              <a16:creationId xmlns:a16="http://schemas.microsoft.com/office/drawing/2014/main" id="{00000000-0008-0000-0000-000007000000}"/>
            </a:ext>
          </a:extLst>
        </xdr:cNvPr>
        <xdr:cNvSpPr txBox="1"/>
      </xdr:nvSpPr>
      <xdr:spPr>
        <a:xfrm>
          <a:off x="8267700" y="40500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121</xdr:row>
      <xdr:rowOff>0</xdr:rowOff>
    </xdr:from>
    <xdr:ext cx="65" cy="172227"/>
    <xdr:sp macro="" textlink="">
      <xdr:nvSpPr>
        <xdr:cNvPr id="448" name="TextBox 447">
          <a:extLst>
            <a:ext uri="{FF2B5EF4-FFF2-40B4-BE49-F238E27FC236}">
              <a16:creationId xmlns:a16="http://schemas.microsoft.com/office/drawing/2014/main" id="{00000000-0008-0000-0000-000007000000}"/>
            </a:ext>
          </a:extLst>
        </xdr:cNvPr>
        <xdr:cNvSpPr txBox="1"/>
      </xdr:nvSpPr>
      <xdr:spPr>
        <a:xfrm>
          <a:off x="8267700" y="40500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122</xdr:row>
      <xdr:rowOff>0</xdr:rowOff>
    </xdr:from>
    <xdr:ext cx="65" cy="172227"/>
    <xdr:sp macro="" textlink="">
      <xdr:nvSpPr>
        <xdr:cNvPr id="449" name="TextBox 448">
          <a:extLst>
            <a:ext uri="{FF2B5EF4-FFF2-40B4-BE49-F238E27FC236}">
              <a16:creationId xmlns:a16="http://schemas.microsoft.com/office/drawing/2014/main" id="{00000000-0008-0000-0000-000007000000}"/>
            </a:ext>
          </a:extLst>
        </xdr:cNvPr>
        <xdr:cNvSpPr txBox="1"/>
      </xdr:nvSpPr>
      <xdr:spPr>
        <a:xfrm>
          <a:off x="8267700" y="40683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122</xdr:row>
      <xdr:rowOff>0</xdr:rowOff>
    </xdr:from>
    <xdr:ext cx="65" cy="172227"/>
    <xdr:sp macro="" textlink="">
      <xdr:nvSpPr>
        <xdr:cNvPr id="450" name="TextBox 449">
          <a:extLst>
            <a:ext uri="{FF2B5EF4-FFF2-40B4-BE49-F238E27FC236}">
              <a16:creationId xmlns:a16="http://schemas.microsoft.com/office/drawing/2014/main" id="{00000000-0008-0000-0000-000007000000}"/>
            </a:ext>
          </a:extLst>
        </xdr:cNvPr>
        <xdr:cNvSpPr txBox="1"/>
      </xdr:nvSpPr>
      <xdr:spPr>
        <a:xfrm>
          <a:off x="8267700" y="40683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128</xdr:row>
      <xdr:rowOff>0</xdr:rowOff>
    </xdr:from>
    <xdr:ext cx="65" cy="172227"/>
    <xdr:sp macro="" textlink="">
      <xdr:nvSpPr>
        <xdr:cNvPr id="451" name="TextBox 450">
          <a:extLst>
            <a:ext uri="{FF2B5EF4-FFF2-40B4-BE49-F238E27FC236}">
              <a16:creationId xmlns:a16="http://schemas.microsoft.com/office/drawing/2014/main" id="{00000000-0008-0000-0000-000007000000}"/>
            </a:ext>
          </a:extLst>
        </xdr:cNvPr>
        <xdr:cNvSpPr txBox="1"/>
      </xdr:nvSpPr>
      <xdr:spPr>
        <a:xfrm>
          <a:off x="8267700" y="41780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128</xdr:row>
      <xdr:rowOff>0</xdr:rowOff>
    </xdr:from>
    <xdr:ext cx="65" cy="172227"/>
    <xdr:sp macro="" textlink="">
      <xdr:nvSpPr>
        <xdr:cNvPr id="452" name="TextBox 451">
          <a:extLst>
            <a:ext uri="{FF2B5EF4-FFF2-40B4-BE49-F238E27FC236}">
              <a16:creationId xmlns:a16="http://schemas.microsoft.com/office/drawing/2014/main" id="{00000000-0008-0000-0000-000007000000}"/>
            </a:ext>
          </a:extLst>
        </xdr:cNvPr>
        <xdr:cNvSpPr txBox="1"/>
      </xdr:nvSpPr>
      <xdr:spPr>
        <a:xfrm>
          <a:off x="8267700" y="41780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129</xdr:row>
      <xdr:rowOff>0</xdr:rowOff>
    </xdr:from>
    <xdr:ext cx="65" cy="172227"/>
    <xdr:sp macro="" textlink="">
      <xdr:nvSpPr>
        <xdr:cNvPr id="453" name="TextBox 452">
          <a:extLst>
            <a:ext uri="{FF2B5EF4-FFF2-40B4-BE49-F238E27FC236}">
              <a16:creationId xmlns:a16="http://schemas.microsoft.com/office/drawing/2014/main" id="{00000000-0008-0000-0000-000007000000}"/>
            </a:ext>
          </a:extLst>
        </xdr:cNvPr>
        <xdr:cNvSpPr txBox="1"/>
      </xdr:nvSpPr>
      <xdr:spPr>
        <a:xfrm>
          <a:off x="8267700" y="41963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129</xdr:row>
      <xdr:rowOff>0</xdr:rowOff>
    </xdr:from>
    <xdr:ext cx="65" cy="172227"/>
    <xdr:sp macro="" textlink="">
      <xdr:nvSpPr>
        <xdr:cNvPr id="454" name="TextBox 453">
          <a:extLst>
            <a:ext uri="{FF2B5EF4-FFF2-40B4-BE49-F238E27FC236}">
              <a16:creationId xmlns:a16="http://schemas.microsoft.com/office/drawing/2014/main" id="{00000000-0008-0000-0000-000007000000}"/>
            </a:ext>
          </a:extLst>
        </xdr:cNvPr>
        <xdr:cNvSpPr txBox="1"/>
      </xdr:nvSpPr>
      <xdr:spPr>
        <a:xfrm>
          <a:off x="8267700" y="41963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130</xdr:row>
      <xdr:rowOff>0</xdr:rowOff>
    </xdr:from>
    <xdr:ext cx="65" cy="172227"/>
    <xdr:sp macro="" textlink="">
      <xdr:nvSpPr>
        <xdr:cNvPr id="455" name="TextBox 454">
          <a:extLst>
            <a:ext uri="{FF2B5EF4-FFF2-40B4-BE49-F238E27FC236}">
              <a16:creationId xmlns:a16="http://schemas.microsoft.com/office/drawing/2014/main" id="{00000000-0008-0000-0000-000007000000}"/>
            </a:ext>
          </a:extLst>
        </xdr:cNvPr>
        <xdr:cNvSpPr txBox="1"/>
      </xdr:nvSpPr>
      <xdr:spPr>
        <a:xfrm>
          <a:off x="8267700" y="42146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130</xdr:row>
      <xdr:rowOff>0</xdr:rowOff>
    </xdr:from>
    <xdr:ext cx="65" cy="172227"/>
    <xdr:sp macro="" textlink="">
      <xdr:nvSpPr>
        <xdr:cNvPr id="456" name="TextBox 455">
          <a:extLst>
            <a:ext uri="{FF2B5EF4-FFF2-40B4-BE49-F238E27FC236}">
              <a16:creationId xmlns:a16="http://schemas.microsoft.com/office/drawing/2014/main" id="{00000000-0008-0000-0000-000007000000}"/>
            </a:ext>
          </a:extLst>
        </xdr:cNvPr>
        <xdr:cNvSpPr txBox="1"/>
      </xdr:nvSpPr>
      <xdr:spPr>
        <a:xfrm>
          <a:off x="8267700" y="42146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131</xdr:row>
      <xdr:rowOff>0</xdr:rowOff>
    </xdr:from>
    <xdr:ext cx="65" cy="172227"/>
    <xdr:sp macro="" textlink="">
      <xdr:nvSpPr>
        <xdr:cNvPr id="457" name="TextBox 456">
          <a:extLst>
            <a:ext uri="{FF2B5EF4-FFF2-40B4-BE49-F238E27FC236}">
              <a16:creationId xmlns:a16="http://schemas.microsoft.com/office/drawing/2014/main" id="{00000000-0008-0000-0000-000007000000}"/>
            </a:ext>
          </a:extLst>
        </xdr:cNvPr>
        <xdr:cNvSpPr txBox="1"/>
      </xdr:nvSpPr>
      <xdr:spPr>
        <a:xfrm>
          <a:off x="8267700" y="42329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131</xdr:row>
      <xdr:rowOff>0</xdr:rowOff>
    </xdr:from>
    <xdr:ext cx="65" cy="172227"/>
    <xdr:sp macro="" textlink="">
      <xdr:nvSpPr>
        <xdr:cNvPr id="458" name="TextBox 457">
          <a:extLst>
            <a:ext uri="{FF2B5EF4-FFF2-40B4-BE49-F238E27FC236}">
              <a16:creationId xmlns:a16="http://schemas.microsoft.com/office/drawing/2014/main" id="{00000000-0008-0000-0000-000007000000}"/>
            </a:ext>
          </a:extLst>
        </xdr:cNvPr>
        <xdr:cNvSpPr txBox="1"/>
      </xdr:nvSpPr>
      <xdr:spPr>
        <a:xfrm>
          <a:off x="8267700" y="42329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132</xdr:row>
      <xdr:rowOff>0</xdr:rowOff>
    </xdr:from>
    <xdr:ext cx="65" cy="172227"/>
    <xdr:sp macro="" textlink="">
      <xdr:nvSpPr>
        <xdr:cNvPr id="459" name="TextBox 458">
          <a:extLst>
            <a:ext uri="{FF2B5EF4-FFF2-40B4-BE49-F238E27FC236}">
              <a16:creationId xmlns:a16="http://schemas.microsoft.com/office/drawing/2014/main" id="{00000000-0008-0000-0000-000007000000}"/>
            </a:ext>
          </a:extLst>
        </xdr:cNvPr>
        <xdr:cNvSpPr txBox="1"/>
      </xdr:nvSpPr>
      <xdr:spPr>
        <a:xfrm>
          <a:off x="8267700" y="42511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132</xdr:row>
      <xdr:rowOff>0</xdr:rowOff>
    </xdr:from>
    <xdr:ext cx="65" cy="172227"/>
    <xdr:sp macro="" textlink="">
      <xdr:nvSpPr>
        <xdr:cNvPr id="460" name="TextBox 459">
          <a:extLst>
            <a:ext uri="{FF2B5EF4-FFF2-40B4-BE49-F238E27FC236}">
              <a16:creationId xmlns:a16="http://schemas.microsoft.com/office/drawing/2014/main" id="{00000000-0008-0000-0000-000007000000}"/>
            </a:ext>
          </a:extLst>
        </xdr:cNvPr>
        <xdr:cNvSpPr txBox="1"/>
      </xdr:nvSpPr>
      <xdr:spPr>
        <a:xfrm>
          <a:off x="8267700" y="42511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461" name="TextBox 460">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462" name="TextBox 461">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463" name="TextBox 462">
          <a:extLst>
            <a:ext uri="{FF2B5EF4-FFF2-40B4-BE49-F238E27FC236}">
              <a16:creationId xmlns:a16="http://schemas.microsoft.com/office/drawing/2014/main" id="{00000000-0008-0000-0000-000007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464" name="TextBox 463">
          <a:extLst>
            <a:ext uri="{FF2B5EF4-FFF2-40B4-BE49-F238E27FC236}">
              <a16:creationId xmlns:a16="http://schemas.microsoft.com/office/drawing/2014/main" id="{00000000-0008-0000-0000-000007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465" name="TextBox 464">
          <a:extLst>
            <a:ext uri="{FF2B5EF4-FFF2-40B4-BE49-F238E27FC236}">
              <a16:creationId xmlns:a16="http://schemas.microsoft.com/office/drawing/2014/main" id="{00000000-0008-0000-0000-000007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466" name="TextBox 465">
          <a:extLst>
            <a:ext uri="{FF2B5EF4-FFF2-40B4-BE49-F238E27FC236}">
              <a16:creationId xmlns:a16="http://schemas.microsoft.com/office/drawing/2014/main" id="{00000000-0008-0000-0000-000007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467" name="TextBox 466">
          <a:extLst>
            <a:ext uri="{FF2B5EF4-FFF2-40B4-BE49-F238E27FC236}">
              <a16:creationId xmlns:a16="http://schemas.microsoft.com/office/drawing/2014/main" id="{00000000-0008-0000-0000-000007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468" name="TextBox 467">
          <a:extLst>
            <a:ext uri="{FF2B5EF4-FFF2-40B4-BE49-F238E27FC236}">
              <a16:creationId xmlns:a16="http://schemas.microsoft.com/office/drawing/2014/main" id="{00000000-0008-0000-0000-000007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83</xdr:row>
      <xdr:rowOff>0</xdr:rowOff>
    </xdr:from>
    <xdr:ext cx="65" cy="172227"/>
    <xdr:sp macro="" textlink="">
      <xdr:nvSpPr>
        <xdr:cNvPr id="472" name="TextBox 471">
          <a:extLst>
            <a:ext uri="{FF2B5EF4-FFF2-40B4-BE49-F238E27FC236}">
              <a16:creationId xmlns:a16="http://schemas.microsoft.com/office/drawing/2014/main" id="{00000000-0008-0000-0000-000007000000}"/>
            </a:ext>
          </a:extLst>
        </xdr:cNvPr>
        <xdr:cNvSpPr txBox="1"/>
      </xdr:nvSpPr>
      <xdr:spPr>
        <a:xfrm>
          <a:off x="8267700" y="33444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83</xdr:row>
      <xdr:rowOff>0</xdr:rowOff>
    </xdr:from>
    <xdr:ext cx="65" cy="172227"/>
    <xdr:sp macro="" textlink="">
      <xdr:nvSpPr>
        <xdr:cNvPr id="476" name="TextBox 475">
          <a:extLst>
            <a:ext uri="{FF2B5EF4-FFF2-40B4-BE49-F238E27FC236}">
              <a16:creationId xmlns:a16="http://schemas.microsoft.com/office/drawing/2014/main" id="{00000000-0008-0000-0000-000007000000}"/>
            </a:ext>
          </a:extLst>
        </xdr:cNvPr>
        <xdr:cNvSpPr txBox="1"/>
      </xdr:nvSpPr>
      <xdr:spPr>
        <a:xfrm>
          <a:off x="8267700" y="33444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84</xdr:row>
      <xdr:rowOff>0</xdr:rowOff>
    </xdr:from>
    <xdr:ext cx="65" cy="172227"/>
    <xdr:sp macro="" textlink="">
      <xdr:nvSpPr>
        <xdr:cNvPr id="477" name="TextBox 476">
          <a:extLst>
            <a:ext uri="{FF2B5EF4-FFF2-40B4-BE49-F238E27FC236}">
              <a16:creationId xmlns:a16="http://schemas.microsoft.com/office/drawing/2014/main" id="{00000000-0008-0000-0000-000007000000}"/>
            </a:ext>
          </a:extLst>
        </xdr:cNvPr>
        <xdr:cNvSpPr txBox="1"/>
      </xdr:nvSpPr>
      <xdr:spPr>
        <a:xfrm>
          <a:off x="8267700" y="33642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84</xdr:row>
      <xdr:rowOff>0</xdr:rowOff>
    </xdr:from>
    <xdr:ext cx="65" cy="172227"/>
    <xdr:sp macro="" textlink="">
      <xdr:nvSpPr>
        <xdr:cNvPr id="478" name="TextBox 477">
          <a:extLst>
            <a:ext uri="{FF2B5EF4-FFF2-40B4-BE49-F238E27FC236}">
              <a16:creationId xmlns:a16="http://schemas.microsoft.com/office/drawing/2014/main" id="{00000000-0008-0000-0000-000007000000}"/>
            </a:ext>
          </a:extLst>
        </xdr:cNvPr>
        <xdr:cNvSpPr txBox="1"/>
      </xdr:nvSpPr>
      <xdr:spPr>
        <a:xfrm>
          <a:off x="8267700" y="33642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479" name="TextBox 478">
          <a:extLst>
            <a:ext uri="{FF2B5EF4-FFF2-40B4-BE49-F238E27FC236}">
              <a16:creationId xmlns:a16="http://schemas.microsoft.com/office/drawing/2014/main" id="{00000000-0008-0000-0000-000007000000}"/>
            </a:ext>
          </a:extLst>
        </xdr:cNvPr>
        <xdr:cNvSpPr txBox="1"/>
      </xdr:nvSpPr>
      <xdr:spPr>
        <a:xfrm>
          <a:off x="8267700" y="33840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480" name="TextBox 479">
          <a:extLst>
            <a:ext uri="{FF2B5EF4-FFF2-40B4-BE49-F238E27FC236}">
              <a16:creationId xmlns:a16="http://schemas.microsoft.com/office/drawing/2014/main" id="{00000000-0008-0000-0000-000007000000}"/>
            </a:ext>
          </a:extLst>
        </xdr:cNvPr>
        <xdr:cNvSpPr txBox="1"/>
      </xdr:nvSpPr>
      <xdr:spPr>
        <a:xfrm>
          <a:off x="8267700" y="33840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481" name="TextBox 480">
          <a:extLst>
            <a:ext uri="{FF2B5EF4-FFF2-40B4-BE49-F238E27FC236}">
              <a16:creationId xmlns:a16="http://schemas.microsoft.com/office/drawing/2014/main" id="{00000000-0008-0000-0000-000007000000}"/>
            </a:ext>
          </a:extLst>
        </xdr:cNvPr>
        <xdr:cNvSpPr txBox="1"/>
      </xdr:nvSpPr>
      <xdr:spPr>
        <a:xfrm>
          <a:off x="8267700" y="3403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482" name="TextBox 481">
          <a:extLst>
            <a:ext uri="{FF2B5EF4-FFF2-40B4-BE49-F238E27FC236}">
              <a16:creationId xmlns:a16="http://schemas.microsoft.com/office/drawing/2014/main" id="{00000000-0008-0000-0000-000007000000}"/>
            </a:ext>
          </a:extLst>
        </xdr:cNvPr>
        <xdr:cNvSpPr txBox="1"/>
      </xdr:nvSpPr>
      <xdr:spPr>
        <a:xfrm>
          <a:off x="8267700" y="3403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483" name="TextBox 482">
          <a:extLst>
            <a:ext uri="{FF2B5EF4-FFF2-40B4-BE49-F238E27FC236}">
              <a16:creationId xmlns:a16="http://schemas.microsoft.com/office/drawing/2014/main" id="{00000000-0008-0000-0000-000007000000}"/>
            </a:ext>
          </a:extLst>
        </xdr:cNvPr>
        <xdr:cNvSpPr txBox="1"/>
      </xdr:nvSpPr>
      <xdr:spPr>
        <a:xfrm>
          <a:off x="8267700" y="34236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484" name="TextBox 483">
          <a:extLst>
            <a:ext uri="{FF2B5EF4-FFF2-40B4-BE49-F238E27FC236}">
              <a16:creationId xmlns:a16="http://schemas.microsoft.com/office/drawing/2014/main" id="{00000000-0008-0000-0000-000007000000}"/>
            </a:ext>
          </a:extLst>
        </xdr:cNvPr>
        <xdr:cNvSpPr txBox="1"/>
      </xdr:nvSpPr>
      <xdr:spPr>
        <a:xfrm>
          <a:off x="8267700" y="34236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88</xdr:row>
      <xdr:rowOff>0</xdr:rowOff>
    </xdr:from>
    <xdr:ext cx="65" cy="172227"/>
    <xdr:sp macro="" textlink="">
      <xdr:nvSpPr>
        <xdr:cNvPr id="485" name="TextBox 484">
          <a:extLst>
            <a:ext uri="{FF2B5EF4-FFF2-40B4-BE49-F238E27FC236}">
              <a16:creationId xmlns:a16="http://schemas.microsoft.com/office/drawing/2014/main" id="{00000000-0008-0000-0000-000007000000}"/>
            </a:ext>
          </a:extLst>
        </xdr:cNvPr>
        <xdr:cNvSpPr txBox="1"/>
      </xdr:nvSpPr>
      <xdr:spPr>
        <a:xfrm>
          <a:off x="8267700" y="34434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88</xdr:row>
      <xdr:rowOff>0</xdr:rowOff>
    </xdr:from>
    <xdr:ext cx="65" cy="172227"/>
    <xdr:sp macro="" textlink="">
      <xdr:nvSpPr>
        <xdr:cNvPr id="486" name="TextBox 485">
          <a:extLst>
            <a:ext uri="{FF2B5EF4-FFF2-40B4-BE49-F238E27FC236}">
              <a16:creationId xmlns:a16="http://schemas.microsoft.com/office/drawing/2014/main" id="{00000000-0008-0000-0000-000007000000}"/>
            </a:ext>
          </a:extLst>
        </xdr:cNvPr>
        <xdr:cNvSpPr txBox="1"/>
      </xdr:nvSpPr>
      <xdr:spPr>
        <a:xfrm>
          <a:off x="8267700" y="34434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89</xdr:row>
      <xdr:rowOff>0</xdr:rowOff>
    </xdr:from>
    <xdr:ext cx="65" cy="172227"/>
    <xdr:sp macro="" textlink="">
      <xdr:nvSpPr>
        <xdr:cNvPr id="487" name="TextBox 486">
          <a:extLst>
            <a:ext uri="{FF2B5EF4-FFF2-40B4-BE49-F238E27FC236}">
              <a16:creationId xmlns:a16="http://schemas.microsoft.com/office/drawing/2014/main" id="{00000000-0008-0000-0000-000007000000}"/>
            </a:ext>
          </a:extLst>
        </xdr:cNvPr>
        <xdr:cNvSpPr txBox="1"/>
      </xdr:nvSpPr>
      <xdr:spPr>
        <a:xfrm>
          <a:off x="8267700" y="34617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89</xdr:row>
      <xdr:rowOff>0</xdr:rowOff>
    </xdr:from>
    <xdr:ext cx="65" cy="172227"/>
    <xdr:sp macro="" textlink="">
      <xdr:nvSpPr>
        <xdr:cNvPr id="488" name="TextBox 487">
          <a:extLst>
            <a:ext uri="{FF2B5EF4-FFF2-40B4-BE49-F238E27FC236}">
              <a16:creationId xmlns:a16="http://schemas.microsoft.com/office/drawing/2014/main" id="{00000000-0008-0000-0000-000007000000}"/>
            </a:ext>
          </a:extLst>
        </xdr:cNvPr>
        <xdr:cNvSpPr txBox="1"/>
      </xdr:nvSpPr>
      <xdr:spPr>
        <a:xfrm>
          <a:off x="8267700" y="34617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90</xdr:row>
      <xdr:rowOff>0</xdr:rowOff>
    </xdr:from>
    <xdr:ext cx="65" cy="172227"/>
    <xdr:sp macro="" textlink="">
      <xdr:nvSpPr>
        <xdr:cNvPr id="489" name="TextBox 488">
          <a:extLst>
            <a:ext uri="{FF2B5EF4-FFF2-40B4-BE49-F238E27FC236}">
              <a16:creationId xmlns:a16="http://schemas.microsoft.com/office/drawing/2014/main" id="{00000000-0008-0000-0000-000007000000}"/>
            </a:ext>
          </a:extLst>
        </xdr:cNvPr>
        <xdr:cNvSpPr txBox="1"/>
      </xdr:nvSpPr>
      <xdr:spPr>
        <a:xfrm>
          <a:off x="8267700" y="34800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90</xdr:row>
      <xdr:rowOff>0</xdr:rowOff>
    </xdr:from>
    <xdr:ext cx="65" cy="172227"/>
    <xdr:sp macro="" textlink="">
      <xdr:nvSpPr>
        <xdr:cNvPr id="490" name="TextBox 489">
          <a:extLst>
            <a:ext uri="{FF2B5EF4-FFF2-40B4-BE49-F238E27FC236}">
              <a16:creationId xmlns:a16="http://schemas.microsoft.com/office/drawing/2014/main" id="{00000000-0008-0000-0000-000007000000}"/>
            </a:ext>
          </a:extLst>
        </xdr:cNvPr>
        <xdr:cNvSpPr txBox="1"/>
      </xdr:nvSpPr>
      <xdr:spPr>
        <a:xfrm>
          <a:off x="8267700" y="34800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91</xdr:row>
      <xdr:rowOff>0</xdr:rowOff>
    </xdr:from>
    <xdr:ext cx="65" cy="172227"/>
    <xdr:sp macro="" textlink="">
      <xdr:nvSpPr>
        <xdr:cNvPr id="491" name="TextBox 490">
          <a:extLst>
            <a:ext uri="{FF2B5EF4-FFF2-40B4-BE49-F238E27FC236}">
              <a16:creationId xmlns:a16="http://schemas.microsoft.com/office/drawing/2014/main" id="{00000000-0008-0000-0000-000007000000}"/>
            </a:ext>
          </a:extLst>
        </xdr:cNvPr>
        <xdr:cNvSpPr txBox="1"/>
      </xdr:nvSpPr>
      <xdr:spPr>
        <a:xfrm>
          <a:off x="8267700" y="3498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91</xdr:row>
      <xdr:rowOff>0</xdr:rowOff>
    </xdr:from>
    <xdr:ext cx="65" cy="172227"/>
    <xdr:sp macro="" textlink="">
      <xdr:nvSpPr>
        <xdr:cNvPr id="492" name="TextBox 491">
          <a:extLst>
            <a:ext uri="{FF2B5EF4-FFF2-40B4-BE49-F238E27FC236}">
              <a16:creationId xmlns:a16="http://schemas.microsoft.com/office/drawing/2014/main" id="{00000000-0008-0000-0000-000007000000}"/>
            </a:ext>
          </a:extLst>
        </xdr:cNvPr>
        <xdr:cNvSpPr txBox="1"/>
      </xdr:nvSpPr>
      <xdr:spPr>
        <a:xfrm>
          <a:off x="8267700" y="3498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92</xdr:row>
      <xdr:rowOff>0</xdr:rowOff>
    </xdr:from>
    <xdr:ext cx="65" cy="172227"/>
    <xdr:sp macro="" textlink="">
      <xdr:nvSpPr>
        <xdr:cNvPr id="493" name="TextBox 492">
          <a:extLst>
            <a:ext uri="{FF2B5EF4-FFF2-40B4-BE49-F238E27FC236}">
              <a16:creationId xmlns:a16="http://schemas.microsoft.com/office/drawing/2014/main" id="{00000000-0008-0000-0000-000007000000}"/>
            </a:ext>
          </a:extLst>
        </xdr:cNvPr>
        <xdr:cNvSpPr txBox="1"/>
      </xdr:nvSpPr>
      <xdr:spPr>
        <a:xfrm>
          <a:off x="8267700" y="35166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92</xdr:row>
      <xdr:rowOff>0</xdr:rowOff>
    </xdr:from>
    <xdr:ext cx="65" cy="172227"/>
    <xdr:sp macro="" textlink="">
      <xdr:nvSpPr>
        <xdr:cNvPr id="494" name="TextBox 493">
          <a:extLst>
            <a:ext uri="{FF2B5EF4-FFF2-40B4-BE49-F238E27FC236}">
              <a16:creationId xmlns:a16="http://schemas.microsoft.com/office/drawing/2014/main" id="{00000000-0008-0000-0000-000007000000}"/>
            </a:ext>
          </a:extLst>
        </xdr:cNvPr>
        <xdr:cNvSpPr txBox="1"/>
      </xdr:nvSpPr>
      <xdr:spPr>
        <a:xfrm>
          <a:off x="8267700" y="35166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98</xdr:row>
      <xdr:rowOff>0</xdr:rowOff>
    </xdr:from>
    <xdr:ext cx="65" cy="172227"/>
    <xdr:sp macro="" textlink="">
      <xdr:nvSpPr>
        <xdr:cNvPr id="495" name="TextBox 494">
          <a:extLst>
            <a:ext uri="{FF2B5EF4-FFF2-40B4-BE49-F238E27FC236}">
              <a16:creationId xmlns:a16="http://schemas.microsoft.com/office/drawing/2014/main" id="{00000000-0008-0000-0000-000007000000}"/>
            </a:ext>
          </a:extLst>
        </xdr:cNvPr>
        <xdr:cNvSpPr txBox="1"/>
      </xdr:nvSpPr>
      <xdr:spPr>
        <a:xfrm>
          <a:off x="8267700" y="36263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98</xdr:row>
      <xdr:rowOff>0</xdr:rowOff>
    </xdr:from>
    <xdr:ext cx="65" cy="172227"/>
    <xdr:sp macro="" textlink="">
      <xdr:nvSpPr>
        <xdr:cNvPr id="496" name="TextBox 495">
          <a:extLst>
            <a:ext uri="{FF2B5EF4-FFF2-40B4-BE49-F238E27FC236}">
              <a16:creationId xmlns:a16="http://schemas.microsoft.com/office/drawing/2014/main" id="{00000000-0008-0000-0000-000007000000}"/>
            </a:ext>
          </a:extLst>
        </xdr:cNvPr>
        <xdr:cNvSpPr txBox="1"/>
      </xdr:nvSpPr>
      <xdr:spPr>
        <a:xfrm>
          <a:off x="8267700" y="36263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99</xdr:row>
      <xdr:rowOff>0</xdr:rowOff>
    </xdr:from>
    <xdr:ext cx="65" cy="172227"/>
    <xdr:sp macro="" textlink="">
      <xdr:nvSpPr>
        <xdr:cNvPr id="497" name="TextBox 496">
          <a:extLst>
            <a:ext uri="{FF2B5EF4-FFF2-40B4-BE49-F238E27FC236}">
              <a16:creationId xmlns:a16="http://schemas.microsoft.com/office/drawing/2014/main" id="{00000000-0008-0000-0000-000007000000}"/>
            </a:ext>
          </a:extLst>
        </xdr:cNvPr>
        <xdr:cNvSpPr txBox="1"/>
      </xdr:nvSpPr>
      <xdr:spPr>
        <a:xfrm>
          <a:off x="8267700" y="36446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99</xdr:row>
      <xdr:rowOff>0</xdr:rowOff>
    </xdr:from>
    <xdr:ext cx="65" cy="172227"/>
    <xdr:sp macro="" textlink="">
      <xdr:nvSpPr>
        <xdr:cNvPr id="498" name="TextBox 497">
          <a:extLst>
            <a:ext uri="{FF2B5EF4-FFF2-40B4-BE49-F238E27FC236}">
              <a16:creationId xmlns:a16="http://schemas.microsoft.com/office/drawing/2014/main" id="{00000000-0008-0000-0000-000007000000}"/>
            </a:ext>
          </a:extLst>
        </xdr:cNvPr>
        <xdr:cNvSpPr txBox="1"/>
      </xdr:nvSpPr>
      <xdr:spPr>
        <a:xfrm>
          <a:off x="8267700" y="36446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100</xdr:row>
      <xdr:rowOff>0</xdr:rowOff>
    </xdr:from>
    <xdr:ext cx="65" cy="172227"/>
    <xdr:sp macro="" textlink="">
      <xdr:nvSpPr>
        <xdr:cNvPr id="499" name="TextBox 498">
          <a:extLst>
            <a:ext uri="{FF2B5EF4-FFF2-40B4-BE49-F238E27FC236}">
              <a16:creationId xmlns:a16="http://schemas.microsoft.com/office/drawing/2014/main" id="{00000000-0008-0000-0000-000007000000}"/>
            </a:ext>
          </a:extLst>
        </xdr:cNvPr>
        <xdr:cNvSpPr txBox="1"/>
      </xdr:nvSpPr>
      <xdr:spPr>
        <a:xfrm>
          <a:off x="8267700" y="36629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100</xdr:row>
      <xdr:rowOff>0</xdr:rowOff>
    </xdr:from>
    <xdr:ext cx="65" cy="172227"/>
    <xdr:sp macro="" textlink="">
      <xdr:nvSpPr>
        <xdr:cNvPr id="500" name="TextBox 499">
          <a:extLst>
            <a:ext uri="{FF2B5EF4-FFF2-40B4-BE49-F238E27FC236}">
              <a16:creationId xmlns:a16="http://schemas.microsoft.com/office/drawing/2014/main" id="{00000000-0008-0000-0000-000007000000}"/>
            </a:ext>
          </a:extLst>
        </xdr:cNvPr>
        <xdr:cNvSpPr txBox="1"/>
      </xdr:nvSpPr>
      <xdr:spPr>
        <a:xfrm>
          <a:off x="8267700" y="36629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101</xdr:row>
      <xdr:rowOff>0</xdr:rowOff>
    </xdr:from>
    <xdr:ext cx="65" cy="172227"/>
    <xdr:sp macro="" textlink="">
      <xdr:nvSpPr>
        <xdr:cNvPr id="501" name="TextBox 500">
          <a:extLst>
            <a:ext uri="{FF2B5EF4-FFF2-40B4-BE49-F238E27FC236}">
              <a16:creationId xmlns:a16="http://schemas.microsoft.com/office/drawing/2014/main" id="{00000000-0008-0000-0000-000007000000}"/>
            </a:ext>
          </a:extLst>
        </xdr:cNvPr>
        <xdr:cNvSpPr txBox="1"/>
      </xdr:nvSpPr>
      <xdr:spPr>
        <a:xfrm>
          <a:off x="8267700" y="36812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101</xdr:row>
      <xdr:rowOff>0</xdr:rowOff>
    </xdr:from>
    <xdr:ext cx="65" cy="172227"/>
    <xdr:sp macro="" textlink="">
      <xdr:nvSpPr>
        <xdr:cNvPr id="502" name="TextBox 501">
          <a:extLst>
            <a:ext uri="{FF2B5EF4-FFF2-40B4-BE49-F238E27FC236}">
              <a16:creationId xmlns:a16="http://schemas.microsoft.com/office/drawing/2014/main" id="{00000000-0008-0000-0000-000007000000}"/>
            </a:ext>
          </a:extLst>
        </xdr:cNvPr>
        <xdr:cNvSpPr txBox="1"/>
      </xdr:nvSpPr>
      <xdr:spPr>
        <a:xfrm>
          <a:off x="8267700" y="36812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102</xdr:row>
      <xdr:rowOff>0</xdr:rowOff>
    </xdr:from>
    <xdr:ext cx="65" cy="172227"/>
    <xdr:sp macro="" textlink="">
      <xdr:nvSpPr>
        <xdr:cNvPr id="503" name="TextBox 502">
          <a:extLst>
            <a:ext uri="{FF2B5EF4-FFF2-40B4-BE49-F238E27FC236}">
              <a16:creationId xmlns:a16="http://schemas.microsoft.com/office/drawing/2014/main" id="{00000000-0008-0000-0000-000007000000}"/>
            </a:ext>
          </a:extLst>
        </xdr:cNvPr>
        <xdr:cNvSpPr txBox="1"/>
      </xdr:nvSpPr>
      <xdr:spPr>
        <a:xfrm>
          <a:off x="8267700" y="36995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102</xdr:row>
      <xdr:rowOff>0</xdr:rowOff>
    </xdr:from>
    <xdr:ext cx="65" cy="172227"/>
    <xdr:sp macro="" textlink="">
      <xdr:nvSpPr>
        <xdr:cNvPr id="504" name="TextBox 503">
          <a:extLst>
            <a:ext uri="{FF2B5EF4-FFF2-40B4-BE49-F238E27FC236}">
              <a16:creationId xmlns:a16="http://schemas.microsoft.com/office/drawing/2014/main" id="{00000000-0008-0000-0000-000007000000}"/>
            </a:ext>
          </a:extLst>
        </xdr:cNvPr>
        <xdr:cNvSpPr txBox="1"/>
      </xdr:nvSpPr>
      <xdr:spPr>
        <a:xfrm>
          <a:off x="8267700" y="36995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108</xdr:row>
      <xdr:rowOff>0</xdr:rowOff>
    </xdr:from>
    <xdr:ext cx="65" cy="172227"/>
    <xdr:sp macro="" textlink="">
      <xdr:nvSpPr>
        <xdr:cNvPr id="505" name="TextBox 504">
          <a:extLst>
            <a:ext uri="{FF2B5EF4-FFF2-40B4-BE49-F238E27FC236}">
              <a16:creationId xmlns:a16="http://schemas.microsoft.com/office/drawing/2014/main" id="{00000000-0008-0000-0000-000007000000}"/>
            </a:ext>
          </a:extLst>
        </xdr:cNvPr>
        <xdr:cNvSpPr txBox="1"/>
      </xdr:nvSpPr>
      <xdr:spPr>
        <a:xfrm>
          <a:off x="8267700" y="3809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108</xdr:row>
      <xdr:rowOff>0</xdr:rowOff>
    </xdr:from>
    <xdr:ext cx="65" cy="172227"/>
    <xdr:sp macro="" textlink="">
      <xdr:nvSpPr>
        <xdr:cNvPr id="506" name="TextBox 505">
          <a:extLst>
            <a:ext uri="{FF2B5EF4-FFF2-40B4-BE49-F238E27FC236}">
              <a16:creationId xmlns:a16="http://schemas.microsoft.com/office/drawing/2014/main" id="{00000000-0008-0000-0000-000007000000}"/>
            </a:ext>
          </a:extLst>
        </xdr:cNvPr>
        <xdr:cNvSpPr txBox="1"/>
      </xdr:nvSpPr>
      <xdr:spPr>
        <a:xfrm>
          <a:off x="8267700" y="3809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109</xdr:row>
      <xdr:rowOff>0</xdr:rowOff>
    </xdr:from>
    <xdr:ext cx="65" cy="172227"/>
    <xdr:sp macro="" textlink="">
      <xdr:nvSpPr>
        <xdr:cNvPr id="507" name="TextBox 506">
          <a:extLst>
            <a:ext uri="{FF2B5EF4-FFF2-40B4-BE49-F238E27FC236}">
              <a16:creationId xmlns:a16="http://schemas.microsoft.com/office/drawing/2014/main" id="{00000000-0008-0000-0000-000007000000}"/>
            </a:ext>
          </a:extLst>
        </xdr:cNvPr>
        <xdr:cNvSpPr txBox="1"/>
      </xdr:nvSpPr>
      <xdr:spPr>
        <a:xfrm>
          <a:off x="8267700" y="3827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109</xdr:row>
      <xdr:rowOff>0</xdr:rowOff>
    </xdr:from>
    <xdr:ext cx="65" cy="172227"/>
    <xdr:sp macro="" textlink="">
      <xdr:nvSpPr>
        <xdr:cNvPr id="508" name="TextBox 507">
          <a:extLst>
            <a:ext uri="{FF2B5EF4-FFF2-40B4-BE49-F238E27FC236}">
              <a16:creationId xmlns:a16="http://schemas.microsoft.com/office/drawing/2014/main" id="{00000000-0008-0000-0000-000007000000}"/>
            </a:ext>
          </a:extLst>
        </xdr:cNvPr>
        <xdr:cNvSpPr txBox="1"/>
      </xdr:nvSpPr>
      <xdr:spPr>
        <a:xfrm>
          <a:off x="8267700" y="3827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110</xdr:row>
      <xdr:rowOff>0</xdr:rowOff>
    </xdr:from>
    <xdr:ext cx="65" cy="172227"/>
    <xdr:sp macro="" textlink="">
      <xdr:nvSpPr>
        <xdr:cNvPr id="509" name="TextBox 508">
          <a:extLst>
            <a:ext uri="{FF2B5EF4-FFF2-40B4-BE49-F238E27FC236}">
              <a16:creationId xmlns:a16="http://schemas.microsoft.com/office/drawing/2014/main" id="{00000000-0008-0000-0000-000007000000}"/>
            </a:ext>
          </a:extLst>
        </xdr:cNvPr>
        <xdr:cNvSpPr txBox="1"/>
      </xdr:nvSpPr>
      <xdr:spPr>
        <a:xfrm>
          <a:off x="8267700" y="38458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110</xdr:row>
      <xdr:rowOff>0</xdr:rowOff>
    </xdr:from>
    <xdr:ext cx="65" cy="172227"/>
    <xdr:sp macro="" textlink="">
      <xdr:nvSpPr>
        <xdr:cNvPr id="510" name="TextBox 509">
          <a:extLst>
            <a:ext uri="{FF2B5EF4-FFF2-40B4-BE49-F238E27FC236}">
              <a16:creationId xmlns:a16="http://schemas.microsoft.com/office/drawing/2014/main" id="{00000000-0008-0000-0000-000007000000}"/>
            </a:ext>
          </a:extLst>
        </xdr:cNvPr>
        <xdr:cNvSpPr txBox="1"/>
      </xdr:nvSpPr>
      <xdr:spPr>
        <a:xfrm>
          <a:off x="8267700" y="38458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111</xdr:row>
      <xdr:rowOff>0</xdr:rowOff>
    </xdr:from>
    <xdr:ext cx="65" cy="172227"/>
    <xdr:sp macro="" textlink="">
      <xdr:nvSpPr>
        <xdr:cNvPr id="511" name="TextBox 510">
          <a:extLst>
            <a:ext uri="{FF2B5EF4-FFF2-40B4-BE49-F238E27FC236}">
              <a16:creationId xmlns:a16="http://schemas.microsoft.com/office/drawing/2014/main" id="{00000000-0008-0000-0000-000007000000}"/>
            </a:ext>
          </a:extLst>
        </xdr:cNvPr>
        <xdr:cNvSpPr txBox="1"/>
      </xdr:nvSpPr>
      <xdr:spPr>
        <a:xfrm>
          <a:off x="8267700" y="38641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111</xdr:row>
      <xdr:rowOff>0</xdr:rowOff>
    </xdr:from>
    <xdr:ext cx="65" cy="172227"/>
    <xdr:sp macro="" textlink="">
      <xdr:nvSpPr>
        <xdr:cNvPr id="512" name="TextBox 511">
          <a:extLst>
            <a:ext uri="{FF2B5EF4-FFF2-40B4-BE49-F238E27FC236}">
              <a16:creationId xmlns:a16="http://schemas.microsoft.com/office/drawing/2014/main" id="{00000000-0008-0000-0000-000007000000}"/>
            </a:ext>
          </a:extLst>
        </xdr:cNvPr>
        <xdr:cNvSpPr txBox="1"/>
      </xdr:nvSpPr>
      <xdr:spPr>
        <a:xfrm>
          <a:off x="8267700" y="38641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112</xdr:row>
      <xdr:rowOff>0</xdr:rowOff>
    </xdr:from>
    <xdr:ext cx="65" cy="172227"/>
    <xdr:sp macro="" textlink="">
      <xdr:nvSpPr>
        <xdr:cNvPr id="513" name="TextBox 512">
          <a:extLst>
            <a:ext uri="{FF2B5EF4-FFF2-40B4-BE49-F238E27FC236}">
              <a16:creationId xmlns:a16="http://schemas.microsoft.com/office/drawing/2014/main" id="{00000000-0008-0000-0000-000007000000}"/>
            </a:ext>
          </a:extLst>
        </xdr:cNvPr>
        <xdr:cNvSpPr txBox="1"/>
      </xdr:nvSpPr>
      <xdr:spPr>
        <a:xfrm>
          <a:off x="8267700" y="38823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112</xdr:row>
      <xdr:rowOff>0</xdr:rowOff>
    </xdr:from>
    <xdr:ext cx="65" cy="172227"/>
    <xdr:sp macro="" textlink="">
      <xdr:nvSpPr>
        <xdr:cNvPr id="514" name="TextBox 513">
          <a:extLst>
            <a:ext uri="{FF2B5EF4-FFF2-40B4-BE49-F238E27FC236}">
              <a16:creationId xmlns:a16="http://schemas.microsoft.com/office/drawing/2014/main" id="{00000000-0008-0000-0000-000007000000}"/>
            </a:ext>
          </a:extLst>
        </xdr:cNvPr>
        <xdr:cNvSpPr txBox="1"/>
      </xdr:nvSpPr>
      <xdr:spPr>
        <a:xfrm>
          <a:off x="8267700" y="38823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118</xdr:row>
      <xdr:rowOff>0</xdr:rowOff>
    </xdr:from>
    <xdr:ext cx="65" cy="172227"/>
    <xdr:sp macro="" textlink="">
      <xdr:nvSpPr>
        <xdr:cNvPr id="515" name="TextBox 514">
          <a:extLst>
            <a:ext uri="{FF2B5EF4-FFF2-40B4-BE49-F238E27FC236}">
              <a16:creationId xmlns:a16="http://schemas.microsoft.com/office/drawing/2014/main" id="{00000000-0008-0000-0000-000007000000}"/>
            </a:ext>
          </a:extLst>
        </xdr:cNvPr>
        <xdr:cNvSpPr txBox="1"/>
      </xdr:nvSpPr>
      <xdr:spPr>
        <a:xfrm>
          <a:off x="8267700" y="39921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118</xdr:row>
      <xdr:rowOff>0</xdr:rowOff>
    </xdr:from>
    <xdr:ext cx="65" cy="172227"/>
    <xdr:sp macro="" textlink="">
      <xdr:nvSpPr>
        <xdr:cNvPr id="516" name="TextBox 515">
          <a:extLst>
            <a:ext uri="{FF2B5EF4-FFF2-40B4-BE49-F238E27FC236}">
              <a16:creationId xmlns:a16="http://schemas.microsoft.com/office/drawing/2014/main" id="{00000000-0008-0000-0000-000007000000}"/>
            </a:ext>
          </a:extLst>
        </xdr:cNvPr>
        <xdr:cNvSpPr txBox="1"/>
      </xdr:nvSpPr>
      <xdr:spPr>
        <a:xfrm>
          <a:off x="8267700" y="39921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119</xdr:row>
      <xdr:rowOff>0</xdr:rowOff>
    </xdr:from>
    <xdr:ext cx="65" cy="172227"/>
    <xdr:sp macro="" textlink="">
      <xdr:nvSpPr>
        <xdr:cNvPr id="517" name="TextBox 516">
          <a:extLst>
            <a:ext uri="{FF2B5EF4-FFF2-40B4-BE49-F238E27FC236}">
              <a16:creationId xmlns:a16="http://schemas.microsoft.com/office/drawing/2014/main" id="{00000000-0008-0000-0000-000007000000}"/>
            </a:ext>
          </a:extLst>
        </xdr:cNvPr>
        <xdr:cNvSpPr txBox="1"/>
      </xdr:nvSpPr>
      <xdr:spPr>
        <a:xfrm>
          <a:off x="8267700" y="40104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119</xdr:row>
      <xdr:rowOff>0</xdr:rowOff>
    </xdr:from>
    <xdr:ext cx="65" cy="172227"/>
    <xdr:sp macro="" textlink="">
      <xdr:nvSpPr>
        <xdr:cNvPr id="518" name="TextBox 517">
          <a:extLst>
            <a:ext uri="{FF2B5EF4-FFF2-40B4-BE49-F238E27FC236}">
              <a16:creationId xmlns:a16="http://schemas.microsoft.com/office/drawing/2014/main" id="{00000000-0008-0000-0000-000007000000}"/>
            </a:ext>
          </a:extLst>
        </xdr:cNvPr>
        <xdr:cNvSpPr txBox="1"/>
      </xdr:nvSpPr>
      <xdr:spPr>
        <a:xfrm>
          <a:off x="8267700" y="40104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120</xdr:row>
      <xdr:rowOff>0</xdr:rowOff>
    </xdr:from>
    <xdr:ext cx="65" cy="172227"/>
    <xdr:sp macro="" textlink="">
      <xdr:nvSpPr>
        <xdr:cNvPr id="519" name="TextBox 518">
          <a:extLst>
            <a:ext uri="{FF2B5EF4-FFF2-40B4-BE49-F238E27FC236}">
              <a16:creationId xmlns:a16="http://schemas.microsoft.com/office/drawing/2014/main" id="{00000000-0008-0000-0000-000007000000}"/>
            </a:ext>
          </a:extLst>
        </xdr:cNvPr>
        <xdr:cNvSpPr txBox="1"/>
      </xdr:nvSpPr>
      <xdr:spPr>
        <a:xfrm>
          <a:off x="8267700" y="40286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120</xdr:row>
      <xdr:rowOff>0</xdr:rowOff>
    </xdr:from>
    <xdr:ext cx="65" cy="172227"/>
    <xdr:sp macro="" textlink="">
      <xdr:nvSpPr>
        <xdr:cNvPr id="520" name="TextBox 519">
          <a:extLst>
            <a:ext uri="{FF2B5EF4-FFF2-40B4-BE49-F238E27FC236}">
              <a16:creationId xmlns:a16="http://schemas.microsoft.com/office/drawing/2014/main" id="{00000000-0008-0000-0000-000007000000}"/>
            </a:ext>
          </a:extLst>
        </xdr:cNvPr>
        <xdr:cNvSpPr txBox="1"/>
      </xdr:nvSpPr>
      <xdr:spPr>
        <a:xfrm>
          <a:off x="8267700" y="40286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121</xdr:row>
      <xdr:rowOff>0</xdr:rowOff>
    </xdr:from>
    <xdr:ext cx="65" cy="172227"/>
    <xdr:sp macro="" textlink="">
      <xdr:nvSpPr>
        <xdr:cNvPr id="521" name="TextBox 520">
          <a:extLst>
            <a:ext uri="{FF2B5EF4-FFF2-40B4-BE49-F238E27FC236}">
              <a16:creationId xmlns:a16="http://schemas.microsoft.com/office/drawing/2014/main" id="{00000000-0008-0000-0000-000007000000}"/>
            </a:ext>
          </a:extLst>
        </xdr:cNvPr>
        <xdr:cNvSpPr txBox="1"/>
      </xdr:nvSpPr>
      <xdr:spPr>
        <a:xfrm>
          <a:off x="8267700" y="40469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121</xdr:row>
      <xdr:rowOff>0</xdr:rowOff>
    </xdr:from>
    <xdr:ext cx="65" cy="172227"/>
    <xdr:sp macro="" textlink="">
      <xdr:nvSpPr>
        <xdr:cNvPr id="522" name="TextBox 521">
          <a:extLst>
            <a:ext uri="{FF2B5EF4-FFF2-40B4-BE49-F238E27FC236}">
              <a16:creationId xmlns:a16="http://schemas.microsoft.com/office/drawing/2014/main" id="{00000000-0008-0000-0000-000007000000}"/>
            </a:ext>
          </a:extLst>
        </xdr:cNvPr>
        <xdr:cNvSpPr txBox="1"/>
      </xdr:nvSpPr>
      <xdr:spPr>
        <a:xfrm>
          <a:off x="8267700" y="40469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122</xdr:row>
      <xdr:rowOff>0</xdr:rowOff>
    </xdr:from>
    <xdr:ext cx="65" cy="172227"/>
    <xdr:sp macro="" textlink="">
      <xdr:nvSpPr>
        <xdr:cNvPr id="523" name="TextBox 522">
          <a:extLst>
            <a:ext uri="{FF2B5EF4-FFF2-40B4-BE49-F238E27FC236}">
              <a16:creationId xmlns:a16="http://schemas.microsoft.com/office/drawing/2014/main" id="{00000000-0008-0000-0000-000007000000}"/>
            </a:ext>
          </a:extLst>
        </xdr:cNvPr>
        <xdr:cNvSpPr txBox="1"/>
      </xdr:nvSpPr>
      <xdr:spPr>
        <a:xfrm>
          <a:off x="8267700" y="40652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122</xdr:row>
      <xdr:rowOff>0</xdr:rowOff>
    </xdr:from>
    <xdr:ext cx="65" cy="172227"/>
    <xdr:sp macro="" textlink="">
      <xdr:nvSpPr>
        <xdr:cNvPr id="524" name="TextBox 523">
          <a:extLst>
            <a:ext uri="{FF2B5EF4-FFF2-40B4-BE49-F238E27FC236}">
              <a16:creationId xmlns:a16="http://schemas.microsoft.com/office/drawing/2014/main" id="{00000000-0008-0000-0000-000007000000}"/>
            </a:ext>
          </a:extLst>
        </xdr:cNvPr>
        <xdr:cNvSpPr txBox="1"/>
      </xdr:nvSpPr>
      <xdr:spPr>
        <a:xfrm>
          <a:off x="8267700" y="40652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128</xdr:row>
      <xdr:rowOff>0</xdr:rowOff>
    </xdr:from>
    <xdr:ext cx="65" cy="172227"/>
    <xdr:sp macro="" textlink="">
      <xdr:nvSpPr>
        <xdr:cNvPr id="525" name="TextBox 524">
          <a:extLst>
            <a:ext uri="{FF2B5EF4-FFF2-40B4-BE49-F238E27FC236}">
              <a16:creationId xmlns:a16="http://schemas.microsoft.com/office/drawing/2014/main" id="{00000000-0008-0000-0000-000007000000}"/>
            </a:ext>
          </a:extLst>
        </xdr:cNvPr>
        <xdr:cNvSpPr txBox="1"/>
      </xdr:nvSpPr>
      <xdr:spPr>
        <a:xfrm>
          <a:off x="8267700" y="41749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128</xdr:row>
      <xdr:rowOff>0</xdr:rowOff>
    </xdr:from>
    <xdr:ext cx="65" cy="172227"/>
    <xdr:sp macro="" textlink="">
      <xdr:nvSpPr>
        <xdr:cNvPr id="526" name="TextBox 525">
          <a:extLst>
            <a:ext uri="{FF2B5EF4-FFF2-40B4-BE49-F238E27FC236}">
              <a16:creationId xmlns:a16="http://schemas.microsoft.com/office/drawing/2014/main" id="{00000000-0008-0000-0000-000007000000}"/>
            </a:ext>
          </a:extLst>
        </xdr:cNvPr>
        <xdr:cNvSpPr txBox="1"/>
      </xdr:nvSpPr>
      <xdr:spPr>
        <a:xfrm>
          <a:off x="8267700" y="41749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129</xdr:row>
      <xdr:rowOff>0</xdr:rowOff>
    </xdr:from>
    <xdr:ext cx="65" cy="172227"/>
    <xdr:sp macro="" textlink="">
      <xdr:nvSpPr>
        <xdr:cNvPr id="527" name="TextBox 526">
          <a:extLst>
            <a:ext uri="{FF2B5EF4-FFF2-40B4-BE49-F238E27FC236}">
              <a16:creationId xmlns:a16="http://schemas.microsoft.com/office/drawing/2014/main" id="{00000000-0008-0000-0000-000007000000}"/>
            </a:ext>
          </a:extLst>
        </xdr:cNvPr>
        <xdr:cNvSpPr txBox="1"/>
      </xdr:nvSpPr>
      <xdr:spPr>
        <a:xfrm>
          <a:off x="8267700" y="41932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129</xdr:row>
      <xdr:rowOff>0</xdr:rowOff>
    </xdr:from>
    <xdr:ext cx="65" cy="172227"/>
    <xdr:sp macro="" textlink="">
      <xdr:nvSpPr>
        <xdr:cNvPr id="528" name="TextBox 527">
          <a:extLst>
            <a:ext uri="{FF2B5EF4-FFF2-40B4-BE49-F238E27FC236}">
              <a16:creationId xmlns:a16="http://schemas.microsoft.com/office/drawing/2014/main" id="{00000000-0008-0000-0000-000007000000}"/>
            </a:ext>
          </a:extLst>
        </xdr:cNvPr>
        <xdr:cNvSpPr txBox="1"/>
      </xdr:nvSpPr>
      <xdr:spPr>
        <a:xfrm>
          <a:off x="8267700" y="41932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130</xdr:row>
      <xdr:rowOff>0</xdr:rowOff>
    </xdr:from>
    <xdr:ext cx="65" cy="172227"/>
    <xdr:sp macro="" textlink="">
      <xdr:nvSpPr>
        <xdr:cNvPr id="529" name="TextBox 528">
          <a:extLst>
            <a:ext uri="{FF2B5EF4-FFF2-40B4-BE49-F238E27FC236}">
              <a16:creationId xmlns:a16="http://schemas.microsoft.com/office/drawing/2014/main" id="{00000000-0008-0000-0000-000007000000}"/>
            </a:ext>
          </a:extLst>
        </xdr:cNvPr>
        <xdr:cNvSpPr txBox="1"/>
      </xdr:nvSpPr>
      <xdr:spPr>
        <a:xfrm>
          <a:off x="8267700" y="42115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130</xdr:row>
      <xdr:rowOff>0</xdr:rowOff>
    </xdr:from>
    <xdr:ext cx="65" cy="172227"/>
    <xdr:sp macro="" textlink="">
      <xdr:nvSpPr>
        <xdr:cNvPr id="530" name="TextBox 529">
          <a:extLst>
            <a:ext uri="{FF2B5EF4-FFF2-40B4-BE49-F238E27FC236}">
              <a16:creationId xmlns:a16="http://schemas.microsoft.com/office/drawing/2014/main" id="{00000000-0008-0000-0000-000007000000}"/>
            </a:ext>
          </a:extLst>
        </xdr:cNvPr>
        <xdr:cNvSpPr txBox="1"/>
      </xdr:nvSpPr>
      <xdr:spPr>
        <a:xfrm>
          <a:off x="8267700" y="42115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131</xdr:row>
      <xdr:rowOff>0</xdr:rowOff>
    </xdr:from>
    <xdr:ext cx="65" cy="172227"/>
    <xdr:sp macro="" textlink="">
      <xdr:nvSpPr>
        <xdr:cNvPr id="531" name="TextBox 530">
          <a:extLst>
            <a:ext uri="{FF2B5EF4-FFF2-40B4-BE49-F238E27FC236}">
              <a16:creationId xmlns:a16="http://schemas.microsoft.com/office/drawing/2014/main" id="{00000000-0008-0000-0000-000007000000}"/>
            </a:ext>
          </a:extLst>
        </xdr:cNvPr>
        <xdr:cNvSpPr txBox="1"/>
      </xdr:nvSpPr>
      <xdr:spPr>
        <a:xfrm>
          <a:off x="8267700" y="42298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131</xdr:row>
      <xdr:rowOff>0</xdr:rowOff>
    </xdr:from>
    <xdr:ext cx="65" cy="172227"/>
    <xdr:sp macro="" textlink="">
      <xdr:nvSpPr>
        <xdr:cNvPr id="532" name="TextBox 531">
          <a:extLst>
            <a:ext uri="{FF2B5EF4-FFF2-40B4-BE49-F238E27FC236}">
              <a16:creationId xmlns:a16="http://schemas.microsoft.com/office/drawing/2014/main" id="{00000000-0008-0000-0000-000007000000}"/>
            </a:ext>
          </a:extLst>
        </xdr:cNvPr>
        <xdr:cNvSpPr txBox="1"/>
      </xdr:nvSpPr>
      <xdr:spPr>
        <a:xfrm>
          <a:off x="8267700" y="42298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132</xdr:row>
      <xdr:rowOff>0</xdr:rowOff>
    </xdr:from>
    <xdr:ext cx="65" cy="172227"/>
    <xdr:sp macro="" textlink="">
      <xdr:nvSpPr>
        <xdr:cNvPr id="533" name="TextBox 532">
          <a:extLst>
            <a:ext uri="{FF2B5EF4-FFF2-40B4-BE49-F238E27FC236}">
              <a16:creationId xmlns:a16="http://schemas.microsoft.com/office/drawing/2014/main" id="{00000000-0008-0000-0000-000007000000}"/>
            </a:ext>
          </a:extLst>
        </xdr:cNvPr>
        <xdr:cNvSpPr txBox="1"/>
      </xdr:nvSpPr>
      <xdr:spPr>
        <a:xfrm>
          <a:off x="8267700" y="4248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132</xdr:row>
      <xdr:rowOff>0</xdr:rowOff>
    </xdr:from>
    <xdr:ext cx="65" cy="172227"/>
    <xdr:sp macro="" textlink="">
      <xdr:nvSpPr>
        <xdr:cNvPr id="534" name="TextBox 533">
          <a:extLst>
            <a:ext uri="{FF2B5EF4-FFF2-40B4-BE49-F238E27FC236}">
              <a16:creationId xmlns:a16="http://schemas.microsoft.com/office/drawing/2014/main" id="{00000000-0008-0000-0000-000007000000}"/>
            </a:ext>
          </a:extLst>
        </xdr:cNvPr>
        <xdr:cNvSpPr txBox="1"/>
      </xdr:nvSpPr>
      <xdr:spPr>
        <a:xfrm>
          <a:off x="8267700" y="4248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535" name="TextBox 534">
          <a:extLst>
            <a:ext uri="{FF2B5EF4-FFF2-40B4-BE49-F238E27FC236}">
              <a16:creationId xmlns:a16="http://schemas.microsoft.com/office/drawing/2014/main" id="{00000000-0008-0000-0000-000007000000}"/>
            </a:ext>
          </a:extLst>
        </xdr:cNvPr>
        <xdr:cNvSpPr txBox="1"/>
      </xdr:nvSpPr>
      <xdr:spPr>
        <a:xfrm>
          <a:off x="8267700" y="33840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536" name="TextBox 535">
          <a:extLst>
            <a:ext uri="{FF2B5EF4-FFF2-40B4-BE49-F238E27FC236}">
              <a16:creationId xmlns:a16="http://schemas.microsoft.com/office/drawing/2014/main" id="{00000000-0008-0000-0000-000007000000}"/>
            </a:ext>
          </a:extLst>
        </xdr:cNvPr>
        <xdr:cNvSpPr txBox="1"/>
      </xdr:nvSpPr>
      <xdr:spPr>
        <a:xfrm>
          <a:off x="8267700" y="33840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537" name="TextBox 536">
          <a:extLst>
            <a:ext uri="{FF2B5EF4-FFF2-40B4-BE49-F238E27FC236}">
              <a16:creationId xmlns:a16="http://schemas.microsoft.com/office/drawing/2014/main" id="{00000000-0008-0000-0000-000007000000}"/>
            </a:ext>
          </a:extLst>
        </xdr:cNvPr>
        <xdr:cNvSpPr txBox="1"/>
      </xdr:nvSpPr>
      <xdr:spPr>
        <a:xfrm>
          <a:off x="8267700" y="3403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538" name="TextBox 537">
          <a:extLst>
            <a:ext uri="{FF2B5EF4-FFF2-40B4-BE49-F238E27FC236}">
              <a16:creationId xmlns:a16="http://schemas.microsoft.com/office/drawing/2014/main" id="{00000000-0008-0000-0000-000007000000}"/>
            </a:ext>
          </a:extLst>
        </xdr:cNvPr>
        <xdr:cNvSpPr txBox="1"/>
      </xdr:nvSpPr>
      <xdr:spPr>
        <a:xfrm>
          <a:off x="8267700" y="3403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539" name="TextBox 538">
          <a:extLst>
            <a:ext uri="{FF2B5EF4-FFF2-40B4-BE49-F238E27FC236}">
              <a16:creationId xmlns:a16="http://schemas.microsoft.com/office/drawing/2014/main" id="{00000000-0008-0000-0000-000007000000}"/>
            </a:ext>
          </a:extLst>
        </xdr:cNvPr>
        <xdr:cNvSpPr txBox="1"/>
      </xdr:nvSpPr>
      <xdr:spPr>
        <a:xfrm>
          <a:off x="8267700" y="34236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540" name="TextBox 539">
          <a:extLst>
            <a:ext uri="{FF2B5EF4-FFF2-40B4-BE49-F238E27FC236}">
              <a16:creationId xmlns:a16="http://schemas.microsoft.com/office/drawing/2014/main" id="{00000000-0008-0000-0000-000007000000}"/>
            </a:ext>
          </a:extLst>
        </xdr:cNvPr>
        <xdr:cNvSpPr txBox="1"/>
      </xdr:nvSpPr>
      <xdr:spPr>
        <a:xfrm>
          <a:off x="8267700" y="34236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541" name="TextBox 540">
          <a:extLst>
            <a:ext uri="{FF2B5EF4-FFF2-40B4-BE49-F238E27FC236}">
              <a16:creationId xmlns:a16="http://schemas.microsoft.com/office/drawing/2014/main" id="{00000000-0008-0000-0000-000007000000}"/>
            </a:ext>
          </a:extLst>
        </xdr:cNvPr>
        <xdr:cNvSpPr txBox="1"/>
      </xdr:nvSpPr>
      <xdr:spPr>
        <a:xfrm>
          <a:off x="8267700" y="34236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542" name="TextBox 541">
          <a:extLst>
            <a:ext uri="{FF2B5EF4-FFF2-40B4-BE49-F238E27FC236}">
              <a16:creationId xmlns:a16="http://schemas.microsoft.com/office/drawing/2014/main" id="{00000000-0008-0000-0000-000007000000}"/>
            </a:ext>
          </a:extLst>
        </xdr:cNvPr>
        <xdr:cNvSpPr txBox="1"/>
      </xdr:nvSpPr>
      <xdr:spPr>
        <a:xfrm>
          <a:off x="8267700" y="34236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83</xdr:row>
      <xdr:rowOff>0</xdr:rowOff>
    </xdr:from>
    <xdr:ext cx="65" cy="172227"/>
    <xdr:sp macro="" textlink="">
      <xdr:nvSpPr>
        <xdr:cNvPr id="546" name="TextBox 545">
          <a:extLst>
            <a:ext uri="{FF2B5EF4-FFF2-40B4-BE49-F238E27FC236}">
              <a16:creationId xmlns:a16="http://schemas.microsoft.com/office/drawing/2014/main" id="{00000000-0008-0000-0000-000007000000}"/>
            </a:ext>
          </a:extLst>
        </xdr:cNvPr>
        <xdr:cNvSpPr txBox="1"/>
      </xdr:nvSpPr>
      <xdr:spPr>
        <a:xfrm>
          <a:off x="8267700" y="33078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83</xdr:row>
      <xdr:rowOff>0</xdr:rowOff>
    </xdr:from>
    <xdr:ext cx="65" cy="172227"/>
    <xdr:sp macro="" textlink="">
      <xdr:nvSpPr>
        <xdr:cNvPr id="550" name="TextBox 549">
          <a:extLst>
            <a:ext uri="{FF2B5EF4-FFF2-40B4-BE49-F238E27FC236}">
              <a16:creationId xmlns:a16="http://schemas.microsoft.com/office/drawing/2014/main" id="{00000000-0008-0000-0000-000007000000}"/>
            </a:ext>
          </a:extLst>
        </xdr:cNvPr>
        <xdr:cNvSpPr txBox="1"/>
      </xdr:nvSpPr>
      <xdr:spPr>
        <a:xfrm>
          <a:off x="8267700" y="33078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84</xdr:row>
      <xdr:rowOff>0</xdr:rowOff>
    </xdr:from>
    <xdr:ext cx="65" cy="172227"/>
    <xdr:sp macro="" textlink="">
      <xdr:nvSpPr>
        <xdr:cNvPr id="551" name="TextBox 550">
          <a:extLst>
            <a:ext uri="{FF2B5EF4-FFF2-40B4-BE49-F238E27FC236}">
              <a16:creationId xmlns:a16="http://schemas.microsoft.com/office/drawing/2014/main" id="{00000000-0008-0000-0000-000007000000}"/>
            </a:ext>
          </a:extLst>
        </xdr:cNvPr>
        <xdr:cNvSpPr txBox="1"/>
      </xdr:nvSpPr>
      <xdr:spPr>
        <a:xfrm>
          <a:off x="8267700" y="33276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84</xdr:row>
      <xdr:rowOff>0</xdr:rowOff>
    </xdr:from>
    <xdr:ext cx="65" cy="172227"/>
    <xdr:sp macro="" textlink="">
      <xdr:nvSpPr>
        <xdr:cNvPr id="552" name="TextBox 551">
          <a:extLst>
            <a:ext uri="{FF2B5EF4-FFF2-40B4-BE49-F238E27FC236}">
              <a16:creationId xmlns:a16="http://schemas.microsoft.com/office/drawing/2014/main" id="{00000000-0008-0000-0000-000007000000}"/>
            </a:ext>
          </a:extLst>
        </xdr:cNvPr>
        <xdr:cNvSpPr txBox="1"/>
      </xdr:nvSpPr>
      <xdr:spPr>
        <a:xfrm>
          <a:off x="8267700" y="33276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553" name="TextBox 552">
          <a:extLst>
            <a:ext uri="{FF2B5EF4-FFF2-40B4-BE49-F238E27FC236}">
              <a16:creationId xmlns:a16="http://schemas.microsoft.com/office/drawing/2014/main" id="{00000000-0008-0000-0000-000007000000}"/>
            </a:ext>
          </a:extLst>
        </xdr:cNvPr>
        <xdr:cNvSpPr txBox="1"/>
      </xdr:nvSpPr>
      <xdr:spPr>
        <a:xfrm>
          <a:off x="8267700" y="33474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554" name="TextBox 553">
          <a:extLst>
            <a:ext uri="{FF2B5EF4-FFF2-40B4-BE49-F238E27FC236}">
              <a16:creationId xmlns:a16="http://schemas.microsoft.com/office/drawing/2014/main" id="{00000000-0008-0000-0000-000007000000}"/>
            </a:ext>
          </a:extLst>
        </xdr:cNvPr>
        <xdr:cNvSpPr txBox="1"/>
      </xdr:nvSpPr>
      <xdr:spPr>
        <a:xfrm>
          <a:off x="8267700" y="33474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555" name="TextBox 554">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556" name="TextBox 555">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557" name="TextBox 556">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558" name="TextBox 557">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88</xdr:row>
      <xdr:rowOff>0</xdr:rowOff>
    </xdr:from>
    <xdr:ext cx="65" cy="172227"/>
    <xdr:sp macro="" textlink="">
      <xdr:nvSpPr>
        <xdr:cNvPr id="559" name="TextBox 558">
          <a:extLst>
            <a:ext uri="{FF2B5EF4-FFF2-40B4-BE49-F238E27FC236}">
              <a16:creationId xmlns:a16="http://schemas.microsoft.com/office/drawing/2014/main" id="{00000000-0008-0000-0000-000007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88</xdr:row>
      <xdr:rowOff>0</xdr:rowOff>
    </xdr:from>
    <xdr:ext cx="65" cy="172227"/>
    <xdr:sp macro="" textlink="">
      <xdr:nvSpPr>
        <xdr:cNvPr id="560" name="TextBox 559">
          <a:extLst>
            <a:ext uri="{FF2B5EF4-FFF2-40B4-BE49-F238E27FC236}">
              <a16:creationId xmlns:a16="http://schemas.microsoft.com/office/drawing/2014/main" id="{00000000-0008-0000-0000-000007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89</xdr:row>
      <xdr:rowOff>0</xdr:rowOff>
    </xdr:from>
    <xdr:ext cx="65" cy="172227"/>
    <xdr:sp macro="" textlink="">
      <xdr:nvSpPr>
        <xdr:cNvPr id="561" name="TextBox 560">
          <a:extLst>
            <a:ext uri="{FF2B5EF4-FFF2-40B4-BE49-F238E27FC236}">
              <a16:creationId xmlns:a16="http://schemas.microsoft.com/office/drawing/2014/main" id="{00000000-0008-0000-0000-000007000000}"/>
            </a:ext>
          </a:extLst>
        </xdr:cNvPr>
        <xdr:cNvSpPr txBox="1"/>
      </xdr:nvSpPr>
      <xdr:spPr>
        <a:xfrm>
          <a:off x="8267700" y="3425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89</xdr:row>
      <xdr:rowOff>0</xdr:rowOff>
    </xdr:from>
    <xdr:ext cx="65" cy="172227"/>
    <xdr:sp macro="" textlink="">
      <xdr:nvSpPr>
        <xdr:cNvPr id="562" name="TextBox 561">
          <a:extLst>
            <a:ext uri="{FF2B5EF4-FFF2-40B4-BE49-F238E27FC236}">
              <a16:creationId xmlns:a16="http://schemas.microsoft.com/office/drawing/2014/main" id="{00000000-0008-0000-0000-000007000000}"/>
            </a:ext>
          </a:extLst>
        </xdr:cNvPr>
        <xdr:cNvSpPr txBox="1"/>
      </xdr:nvSpPr>
      <xdr:spPr>
        <a:xfrm>
          <a:off x="8267700" y="3425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90</xdr:row>
      <xdr:rowOff>0</xdr:rowOff>
    </xdr:from>
    <xdr:ext cx="65" cy="172227"/>
    <xdr:sp macro="" textlink="">
      <xdr:nvSpPr>
        <xdr:cNvPr id="563" name="TextBox 562">
          <a:extLst>
            <a:ext uri="{FF2B5EF4-FFF2-40B4-BE49-F238E27FC236}">
              <a16:creationId xmlns:a16="http://schemas.microsoft.com/office/drawing/2014/main" id="{00000000-0008-0000-0000-000007000000}"/>
            </a:ext>
          </a:extLst>
        </xdr:cNvPr>
        <xdr:cNvSpPr txBox="1"/>
      </xdr:nvSpPr>
      <xdr:spPr>
        <a:xfrm>
          <a:off x="8267700" y="34434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90</xdr:row>
      <xdr:rowOff>0</xdr:rowOff>
    </xdr:from>
    <xdr:ext cx="65" cy="172227"/>
    <xdr:sp macro="" textlink="">
      <xdr:nvSpPr>
        <xdr:cNvPr id="564" name="TextBox 563">
          <a:extLst>
            <a:ext uri="{FF2B5EF4-FFF2-40B4-BE49-F238E27FC236}">
              <a16:creationId xmlns:a16="http://schemas.microsoft.com/office/drawing/2014/main" id="{00000000-0008-0000-0000-000007000000}"/>
            </a:ext>
          </a:extLst>
        </xdr:cNvPr>
        <xdr:cNvSpPr txBox="1"/>
      </xdr:nvSpPr>
      <xdr:spPr>
        <a:xfrm>
          <a:off x="8267700" y="34434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91</xdr:row>
      <xdr:rowOff>0</xdr:rowOff>
    </xdr:from>
    <xdr:ext cx="65" cy="172227"/>
    <xdr:sp macro="" textlink="">
      <xdr:nvSpPr>
        <xdr:cNvPr id="565" name="TextBox 564">
          <a:extLst>
            <a:ext uri="{FF2B5EF4-FFF2-40B4-BE49-F238E27FC236}">
              <a16:creationId xmlns:a16="http://schemas.microsoft.com/office/drawing/2014/main" id="{00000000-0008-0000-0000-000007000000}"/>
            </a:ext>
          </a:extLst>
        </xdr:cNvPr>
        <xdr:cNvSpPr txBox="1"/>
      </xdr:nvSpPr>
      <xdr:spPr>
        <a:xfrm>
          <a:off x="8267700" y="34617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91</xdr:row>
      <xdr:rowOff>0</xdr:rowOff>
    </xdr:from>
    <xdr:ext cx="65" cy="172227"/>
    <xdr:sp macro="" textlink="">
      <xdr:nvSpPr>
        <xdr:cNvPr id="566" name="TextBox 565">
          <a:extLst>
            <a:ext uri="{FF2B5EF4-FFF2-40B4-BE49-F238E27FC236}">
              <a16:creationId xmlns:a16="http://schemas.microsoft.com/office/drawing/2014/main" id="{00000000-0008-0000-0000-000007000000}"/>
            </a:ext>
          </a:extLst>
        </xdr:cNvPr>
        <xdr:cNvSpPr txBox="1"/>
      </xdr:nvSpPr>
      <xdr:spPr>
        <a:xfrm>
          <a:off x="8267700" y="34617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92</xdr:row>
      <xdr:rowOff>0</xdr:rowOff>
    </xdr:from>
    <xdr:ext cx="65" cy="172227"/>
    <xdr:sp macro="" textlink="">
      <xdr:nvSpPr>
        <xdr:cNvPr id="567" name="TextBox 566">
          <a:extLst>
            <a:ext uri="{FF2B5EF4-FFF2-40B4-BE49-F238E27FC236}">
              <a16:creationId xmlns:a16="http://schemas.microsoft.com/office/drawing/2014/main" id="{00000000-0008-0000-0000-000007000000}"/>
            </a:ext>
          </a:extLst>
        </xdr:cNvPr>
        <xdr:cNvSpPr txBox="1"/>
      </xdr:nvSpPr>
      <xdr:spPr>
        <a:xfrm>
          <a:off x="8267700" y="34800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92</xdr:row>
      <xdr:rowOff>0</xdr:rowOff>
    </xdr:from>
    <xdr:ext cx="65" cy="172227"/>
    <xdr:sp macro="" textlink="">
      <xdr:nvSpPr>
        <xdr:cNvPr id="568" name="TextBox 567">
          <a:extLst>
            <a:ext uri="{FF2B5EF4-FFF2-40B4-BE49-F238E27FC236}">
              <a16:creationId xmlns:a16="http://schemas.microsoft.com/office/drawing/2014/main" id="{00000000-0008-0000-0000-000007000000}"/>
            </a:ext>
          </a:extLst>
        </xdr:cNvPr>
        <xdr:cNvSpPr txBox="1"/>
      </xdr:nvSpPr>
      <xdr:spPr>
        <a:xfrm>
          <a:off x="8267700" y="34800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98</xdr:row>
      <xdr:rowOff>0</xdr:rowOff>
    </xdr:from>
    <xdr:ext cx="65" cy="172227"/>
    <xdr:sp macro="" textlink="">
      <xdr:nvSpPr>
        <xdr:cNvPr id="569" name="TextBox 568">
          <a:extLst>
            <a:ext uri="{FF2B5EF4-FFF2-40B4-BE49-F238E27FC236}">
              <a16:creationId xmlns:a16="http://schemas.microsoft.com/office/drawing/2014/main" id="{00000000-0008-0000-0000-000007000000}"/>
            </a:ext>
          </a:extLst>
        </xdr:cNvPr>
        <xdr:cNvSpPr txBox="1"/>
      </xdr:nvSpPr>
      <xdr:spPr>
        <a:xfrm>
          <a:off x="8267700" y="35897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98</xdr:row>
      <xdr:rowOff>0</xdr:rowOff>
    </xdr:from>
    <xdr:ext cx="65" cy="172227"/>
    <xdr:sp macro="" textlink="">
      <xdr:nvSpPr>
        <xdr:cNvPr id="570" name="TextBox 569">
          <a:extLst>
            <a:ext uri="{FF2B5EF4-FFF2-40B4-BE49-F238E27FC236}">
              <a16:creationId xmlns:a16="http://schemas.microsoft.com/office/drawing/2014/main" id="{00000000-0008-0000-0000-000007000000}"/>
            </a:ext>
          </a:extLst>
        </xdr:cNvPr>
        <xdr:cNvSpPr txBox="1"/>
      </xdr:nvSpPr>
      <xdr:spPr>
        <a:xfrm>
          <a:off x="8267700" y="35897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99</xdr:row>
      <xdr:rowOff>0</xdr:rowOff>
    </xdr:from>
    <xdr:ext cx="65" cy="172227"/>
    <xdr:sp macro="" textlink="">
      <xdr:nvSpPr>
        <xdr:cNvPr id="571" name="TextBox 570">
          <a:extLst>
            <a:ext uri="{FF2B5EF4-FFF2-40B4-BE49-F238E27FC236}">
              <a16:creationId xmlns:a16="http://schemas.microsoft.com/office/drawing/2014/main" id="{00000000-0008-0000-0000-000007000000}"/>
            </a:ext>
          </a:extLst>
        </xdr:cNvPr>
        <xdr:cNvSpPr txBox="1"/>
      </xdr:nvSpPr>
      <xdr:spPr>
        <a:xfrm>
          <a:off x="8267700" y="36080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99</xdr:row>
      <xdr:rowOff>0</xdr:rowOff>
    </xdr:from>
    <xdr:ext cx="65" cy="172227"/>
    <xdr:sp macro="" textlink="">
      <xdr:nvSpPr>
        <xdr:cNvPr id="572" name="TextBox 571">
          <a:extLst>
            <a:ext uri="{FF2B5EF4-FFF2-40B4-BE49-F238E27FC236}">
              <a16:creationId xmlns:a16="http://schemas.microsoft.com/office/drawing/2014/main" id="{00000000-0008-0000-0000-000007000000}"/>
            </a:ext>
          </a:extLst>
        </xdr:cNvPr>
        <xdr:cNvSpPr txBox="1"/>
      </xdr:nvSpPr>
      <xdr:spPr>
        <a:xfrm>
          <a:off x="8267700" y="36080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100</xdr:row>
      <xdr:rowOff>0</xdr:rowOff>
    </xdr:from>
    <xdr:ext cx="65" cy="172227"/>
    <xdr:sp macro="" textlink="">
      <xdr:nvSpPr>
        <xdr:cNvPr id="573" name="TextBox 572">
          <a:extLst>
            <a:ext uri="{FF2B5EF4-FFF2-40B4-BE49-F238E27FC236}">
              <a16:creationId xmlns:a16="http://schemas.microsoft.com/office/drawing/2014/main" id="{00000000-0008-0000-0000-000007000000}"/>
            </a:ext>
          </a:extLst>
        </xdr:cNvPr>
        <xdr:cNvSpPr txBox="1"/>
      </xdr:nvSpPr>
      <xdr:spPr>
        <a:xfrm>
          <a:off x="8267700" y="36263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100</xdr:row>
      <xdr:rowOff>0</xdr:rowOff>
    </xdr:from>
    <xdr:ext cx="65" cy="172227"/>
    <xdr:sp macro="" textlink="">
      <xdr:nvSpPr>
        <xdr:cNvPr id="574" name="TextBox 573">
          <a:extLst>
            <a:ext uri="{FF2B5EF4-FFF2-40B4-BE49-F238E27FC236}">
              <a16:creationId xmlns:a16="http://schemas.microsoft.com/office/drawing/2014/main" id="{00000000-0008-0000-0000-000007000000}"/>
            </a:ext>
          </a:extLst>
        </xdr:cNvPr>
        <xdr:cNvSpPr txBox="1"/>
      </xdr:nvSpPr>
      <xdr:spPr>
        <a:xfrm>
          <a:off x="8267700" y="36263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101</xdr:row>
      <xdr:rowOff>0</xdr:rowOff>
    </xdr:from>
    <xdr:ext cx="65" cy="172227"/>
    <xdr:sp macro="" textlink="">
      <xdr:nvSpPr>
        <xdr:cNvPr id="575" name="TextBox 574">
          <a:extLst>
            <a:ext uri="{FF2B5EF4-FFF2-40B4-BE49-F238E27FC236}">
              <a16:creationId xmlns:a16="http://schemas.microsoft.com/office/drawing/2014/main" id="{00000000-0008-0000-0000-000007000000}"/>
            </a:ext>
          </a:extLst>
        </xdr:cNvPr>
        <xdr:cNvSpPr txBox="1"/>
      </xdr:nvSpPr>
      <xdr:spPr>
        <a:xfrm>
          <a:off x="8267700" y="36446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101</xdr:row>
      <xdr:rowOff>0</xdr:rowOff>
    </xdr:from>
    <xdr:ext cx="65" cy="172227"/>
    <xdr:sp macro="" textlink="">
      <xdr:nvSpPr>
        <xdr:cNvPr id="576" name="TextBox 575">
          <a:extLst>
            <a:ext uri="{FF2B5EF4-FFF2-40B4-BE49-F238E27FC236}">
              <a16:creationId xmlns:a16="http://schemas.microsoft.com/office/drawing/2014/main" id="{00000000-0008-0000-0000-000007000000}"/>
            </a:ext>
          </a:extLst>
        </xdr:cNvPr>
        <xdr:cNvSpPr txBox="1"/>
      </xdr:nvSpPr>
      <xdr:spPr>
        <a:xfrm>
          <a:off x="8267700" y="36446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102</xdr:row>
      <xdr:rowOff>0</xdr:rowOff>
    </xdr:from>
    <xdr:ext cx="65" cy="172227"/>
    <xdr:sp macro="" textlink="">
      <xdr:nvSpPr>
        <xdr:cNvPr id="577" name="TextBox 576">
          <a:extLst>
            <a:ext uri="{FF2B5EF4-FFF2-40B4-BE49-F238E27FC236}">
              <a16:creationId xmlns:a16="http://schemas.microsoft.com/office/drawing/2014/main" id="{00000000-0008-0000-0000-000007000000}"/>
            </a:ext>
          </a:extLst>
        </xdr:cNvPr>
        <xdr:cNvSpPr txBox="1"/>
      </xdr:nvSpPr>
      <xdr:spPr>
        <a:xfrm>
          <a:off x="8267700" y="36629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102</xdr:row>
      <xdr:rowOff>0</xdr:rowOff>
    </xdr:from>
    <xdr:ext cx="65" cy="172227"/>
    <xdr:sp macro="" textlink="">
      <xdr:nvSpPr>
        <xdr:cNvPr id="578" name="TextBox 577">
          <a:extLst>
            <a:ext uri="{FF2B5EF4-FFF2-40B4-BE49-F238E27FC236}">
              <a16:creationId xmlns:a16="http://schemas.microsoft.com/office/drawing/2014/main" id="{00000000-0008-0000-0000-000007000000}"/>
            </a:ext>
          </a:extLst>
        </xdr:cNvPr>
        <xdr:cNvSpPr txBox="1"/>
      </xdr:nvSpPr>
      <xdr:spPr>
        <a:xfrm>
          <a:off x="8267700" y="36629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108</xdr:row>
      <xdr:rowOff>0</xdr:rowOff>
    </xdr:from>
    <xdr:ext cx="65" cy="172227"/>
    <xdr:sp macro="" textlink="">
      <xdr:nvSpPr>
        <xdr:cNvPr id="579" name="TextBox 578">
          <a:extLst>
            <a:ext uri="{FF2B5EF4-FFF2-40B4-BE49-F238E27FC236}">
              <a16:creationId xmlns:a16="http://schemas.microsoft.com/office/drawing/2014/main" id="{00000000-0008-0000-0000-000007000000}"/>
            </a:ext>
          </a:extLst>
        </xdr:cNvPr>
        <xdr:cNvSpPr txBox="1"/>
      </xdr:nvSpPr>
      <xdr:spPr>
        <a:xfrm>
          <a:off x="8267700" y="3772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108</xdr:row>
      <xdr:rowOff>0</xdr:rowOff>
    </xdr:from>
    <xdr:ext cx="65" cy="172227"/>
    <xdr:sp macro="" textlink="">
      <xdr:nvSpPr>
        <xdr:cNvPr id="580" name="TextBox 579">
          <a:extLst>
            <a:ext uri="{FF2B5EF4-FFF2-40B4-BE49-F238E27FC236}">
              <a16:creationId xmlns:a16="http://schemas.microsoft.com/office/drawing/2014/main" id="{00000000-0008-0000-0000-000007000000}"/>
            </a:ext>
          </a:extLst>
        </xdr:cNvPr>
        <xdr:cNvSpPr txBox="1"/>
      </xdr:nvSpPr>
      <xdr:spPr>
        <a:xfrm>
          <a:off x="8267700" y="3772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109</xdr:row>
      <xdr:rowOff>0</xdr:rowOff>
    </xdr:from>
    <xdr:ext cx="65" cy="172227"/>
    <xdr:sp macro="" textlink="">
      <xdr:nvSpPr>
        <xdr:cNvPr id="581" name="TextBox 580">
          <a:extLst>
            <a:ext uri="{FF2B5EF4-FFF2-40B4-BE49-F238E27FC236}">
              <a16:creationId xmlns:a16="http://schemas.microsoft.com/office/drawing/2014/main" id="{00000000-0008-0000-0000-000007000000}"/>
            </a:ext>
          </a:extLst>
        </xdr:cNvPr>
        <xdr:cNvSpPr txBox="1"/>
      </xdr:nvSpPr>
      <xdr:spPr>
        <a:xfrm>
          <a:off x="8267700" y="37909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109</xdr:row>
      <xdr:rowOff>0</xdr:rowOff>
    </xdr:from>
    <xdr:ext cx="65" cy="172227"/>
    <xdr:sp macro="" textlink="">
      <xdr:nvSpPr>
        <xdr:cNvPr id="582" name="TextBox 581">
          <a:extLst>
            <a:ext uri="{FF2B5EF4-FFF2-40B4-BE49-F238E27FC236}">
              <a16:creationId xmlns:a16="http://schemas.microsoft.com/office/drawing/2014/main" id="{00000000-0008-0000-0000-000007000000}"/>
            </a:ext>
          </a:extLst>
        </xdr:cNvPr>
        <xdr:cNvSpPr txBox="1"/>
      </xdr:nvSpPr>
      <xdr:spPr>
        <a:xfrm>
          <a:off x="8267700" y="37909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110</xdr:row>
      <xdr:rowOff>0</xdr:rowOff>
    </xdr:from>
    <xdr:ext cx="65" cy="172227"/>
    <xdr:sp macro="" textlink="">
      <xdr:nvSpPr>
        <xdr:cNvPr id="583" name="TextBox 582">
          <a:extLst>
            <a:ext uri="{FF2B5EF4-FFF2-40B4-BE49-F238E27FC236}">
              <a16:creationId xmlns:a16="http://schemas.microsoft.com/office/drawing/2014/main" id="{00000000-0008-0000-0000-000007000000}"/>
            </a:ext>
          </a:extLst>
        </xdr:cNvPr>
        <xdr:cNvSpPr txBox="1"/>
      </xdr:nvSpPr>
      <xdr:spPr>
        <a:xfrm>
          <a:off x="8267700" y="3809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110</xdr:row>
      <xdr:rowOff>0</xdr:rowOff>
    </xdr:from>
    <xdr:ext cx="65" cy="172227"/>
    <xdr:sp macro="" textlink="">
      <xdr:nvSpPr>
        <xdr:cNvPr id="584" name="TextBox 583">
          <a:extLst>
            <a:ext uri="{FF2B5EF4-FFF2-40B4-BE49-F238E27FC236}">
              <a16:creationId xmlns:a16="http://schemas.microsoft.com/office/drawing/2014/main" id="{00000000-0008-0000-0000-000007000000}"/>
            </a:ext>
          </a:extLst>
        </xdr:cNvPr>
        <xdr:cNvSpPr txBox="1"/>
      </xdr:nvSpPr>
      <xdr:spPr>
        <a:xfrm>
          <a:off x="8267700" y="3809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111</xdr:row>
      <xdr:rowOff>0</xdr:rowOff>
    </xdr:from>
    <xdr:ext cx="65" cy="172227"/>
    <xdr:sp macro="" textlink="">
      <xdr:nvSpPr>
        <xdr:cNvPr id="585" name="TextBox 584">
          <a:extLst>
            <a:ext uri="{FF2B5EF4-FFF2-40B4-BE49-F238E27FC236}">
              <a16:creationId xmlns:a16="http://schemas.microsoft.com/office/drawing/2014/main" id="{00000000-0008-0000-0000-000007000000}"/>
            </a:ext>
          </a:extLst>
        </xdr:cNvPr>
        <xdr:cNvSpPr txBox="1"/>
      </xdr:nvSpPr>
      <xdr:spPr>
        <a:xfrm>
          <a:off x="8267700" y="3827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111</xdr:row>
      <xdr:rowOff>0</xdr:rowOff>
    </xdr:from>
    <xdr:ext cx="65" cy="172227"/>
    <xdr:sp macro="" textlink="">
      <xdr:nvSpPr>
        <xdr:cNvPr id="586" name="TextBox 585">
          <a:extLst>
            <a:ext uri="{FF2B5EF4-FFF2-40B4-BE49-F238E27FC236}">
              <a16:creationId xmlns:a16="http://schemas.microsoft.com/office/drawing/2014/main" id="{00000000-0008-0000-0000-000007000000}"/>
            </a:ext>
          </a:extLst>
        </xdr:cNvPr>
        <xdr:cNvSpPr txBox="1"/>
      </xdr:nvSpPr>
      <xdr:spPr>
        <a:xfrm>
          <a:off x="8267700" y="3827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112</xdr:row>
      <xdr:rowOff>0</xdr:rowOff>
    </xdr:from>
    <xdr:ext cx="65" cy="172227"/>
    <xdr:sp macro="" textlink="">
      <xdr:nvSpPr>
        <xdr:cNvPr id="587" name="TextBox 586">
          <a:extLst>
            <a:ext uri="{FF2B5EF4-FFF2-40B4-BE49-F238E27FC236}">
              <a16:creationId xmlns:a16="http://schemas.microsoft.com/office/drawing/2014/main" id="{00000000-0008-0000-0000-000007000000}"/>
            </a:ext>
          </a:extLst>
        </xdr:cNvPr>
        <xdr:cNvSpPr txBox="1"/>
      </xdr:nvSpPr>
      <xdr:spPr>
        <a:xfrm>
          <a:off x="8267700" y="38458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112</xdr:row>
      <xdr:rowOff>0</xdr:rowOff>
    </xdr:from>
    <xdr:ext cx="65" cy="172227"/>
    <xdr:sp macro="" textlink="">
      <xdr:nvSpPr>
        <xdr:cNvPr id="588" name="TextBox 587">
          <a:extLst>
            <a:ext uri="{FF2B5EF4-FFF2-40B4-BE49-F238E27FC236}">
              <a16:creationId xmlns:a16="http://schemas.microsoft.com/office/drawing/2014/main" id="{00000000-0008-0000-0000-000007000000}"/>
            </a:ext>
          </a:extLst>
        </xdr:cNvPr>
        <xdr:cNvSpPr txBox="1"/>
      </xdr:nvSpPr>
      <xdr:spPr>
        <a:xfrm>
          <a:off x="8267700" y="38458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118</xdr:row>
      <xdr:rowOff>0</xdr:rowOff>
    </xdr:from>
    <xdr:ext cx="65" cy="172227"/>
    <xdr:sp macro="" textlink="">
      <xdr:nvSpPr>
        <xdr:cNvPr id="589" name="TextBox 588">
          <a:extLst>
            <a:ext uri="{FF2B5EF4-FFF2-40B4-BE49-F238E27FC236}">
              <a16:creationId xmlns:a16="http://schemas.microsoft.com/office/drawing/2014/main" id="{00000000-0008-0000-0000-000007000000}"/>
            </a:ext>
          </a:extLst>
        </xdr:cNvPr>
        <xdr:cNvSpPr txBox="1"/>
      </xdr:nvSpPr>
      <xdr:spPr>
        <a:xfrm>
          <a:off x="8267700" y="39555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118</xdr:row>
      <xdr:rowOff>0</xdr:rowOff>
    </xdr:from>
    <xdr:ext cx="65" cy="172227"/>
    <xdr:sp macro="" textlink="">
      <xdr:nvSpPr>
        <xdr:cNvPr id="590" name="TextBox 589">
          <a:extLst>
            <a:ext uri="{FF2B5EF4-FFF2-40B4-BE49-F238E27FC236}">
              <a16:creationId xmlns:a16="http://schemas.microsoft.com/office/drawing/2014/main" id="{00000000-0008-0000-0000-000007000000}"/>
            </a:ext>
          </a:extLst>
        </xdr:cNvPr>
        <xdr:cNvSpPr txBox="1"/>
      </xdr:nvSpPr>
      <xdr:spPr>
        <a:xfrm>
          <a:off x="8267700" y="39555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119</xdr:row>
      <xdr:rowOff>0</xdr:rowOff>
    </xdr:from>
    <xdr:ext cx="65" cy="172227"/>
    <xdr:sp macro="" textlink="">
      <xdr:nvSpPr>
        <xdr:cNvPr id="591" name="TextBox 590">
          <a:extLst>
            <a:ext uri="{FF2B5EF4-FFF2-40B4-BE49-F238E27FC236}">
              <a16:creationId xmlns:a16="http://schemas.microsoft.com/office/drawing/2014/main" id="{00000000-0008-0000-0000-000007000000}"/>
            </a:ext>
          </a:extLst>
        </xdr:cNvPr>
        <xdr:cNvSpPr txBox="1"/>
      </xdr:nvSpPr>
      <xdr:spPr>
        <a:xfrm>
          <a:off x="8267700" y="39738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119</xdr:row>
      <xdr:rowOff>0</xdr:rowOff>
    </xdr:from>
    <xdr:ext cx="65" cy="172227"/>
    <xdr:sp macro="" textlink="">
      <xdr:nvSpPr>
        <xdr:cNvPr id="592" name="TextBox 591">
          <a:extLst>
            <a:ext uri="{FF2B5EF4-FFF2-40B4-BE49-F238E27FC236}">
              <a16:creationId xmlns:a16="http://schemas.microsoft.com/office/drawing/2014/main" id="{00000000-0008-0000-0000-000007000000}"/>
            </a:ext>
          </a:extLst>
        </xdr:cNvPr>
        <xdr:cNvSpPr txBox="1"/>
      </xdr:nvSpPr>
      <xdr:spPr>
        <a:xfrm>
          <a:off x="8267700" y="39738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120</xdr:row>
      <xdr:rowOff>0</xdr:rowOff>
    </xdr:from>
    <xdr:ext cx="65" cy="172227"/>
    <xdr:sp macro="" textlink="">
      <xdr:nvSpPr>
        <xdr:cNvPr id="593" name="TextBox 592">
          <a:extLst>
            <a:ext uri="{FF2B5EF4-FFF2-40B4-BE49-F238E27FC236}">
              <a16:creationId xmlns:a16="http://schemas.microsoft.com/office/drawing/2014/main" id="{00000000-0008-0000-0000-000007000000}"/>
            </a:ext>
          </a:extLst>
        </xdr:cNvPr>
        <xdr:cNvSpPr txBox="1"/>
      </xdr:nvSpPr>
      <xdr:spPr>
        <a:xfrm>
          <a:off x="8267700" y="39921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120</xdr:row>
      <xdr:rowOff>0</xdr:rowOff>
    </xdr:from>
    <xdr:ext cx="65" cy="172227"/>
    <xdr:sp macro="" textlink="">
      <xdr:nvSpPr>
        <xdr:cNvPr id="594" name="TextBox 593">
          <a:extLst>
            <a:ext uri="{FF2B5EF4-FFF2-40B4-BE49-F238E27FC236}">
              <a16:creationId xmlns:a16="http://schemas.microsoft.com/office/drawing/2014/main" id="{00000000-0008-0000-0000-000007000000}"/>
            </a:ext>
          </a:extLst>
        </xdr:cNvPr>
        <xdr:cNvSpPr txBox="1"/>
      </xdr:nvSpPr>
      <xdr:spPr>
        <a:xfrm>
          <a:off x="8267700" y="39921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121</xdr:row>
      <xdr:rowOff>0</xdr:rowOff>
    </xdr:from>
    <xdr:ext cx="65" cy="172227"/>
    <xdr:sp macro="" textlink="">
      <xdr:nvSpPr>
        <xdr:cNvPr id="595" name="TextBox 594">
          <a:extLst>
            <a:ext uri="{FF2B5EF4-FFF2-40B4-BE49-F238E27FC236}">
              <a16:creationId xmlns:a16="http://schemas.microsoft.com/office/drawing/2014/main" id="{00000000-0008-0000-0000-000007000000}"/>
            </a:ext>
          </a:extLst>
        </xdr:cNvPr>
        <xdr:cNvSpPr txBox="1"/>
      </xdr:nvSpPr>
      <xdr:spPr>
        <a:xfrm>
          <a:off x="8267700" y="40104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121</xdr:row>
      <xdr:rowOff>0</xdr:rowOff>
    </xdr:from>
    <xdr:ext cx="65" cy="172227"/>
    <xdr:sp macro="" textlink="">
      <xdr:nvSpPr>
        <xdr:cNvPr id="596" name="TextBox 595">
          <a:extLst>
            <a:ext uri="{FF2B5EF4-FFF2-40B4-BE49-F238E27FC236}">
              <a16:creationId xmlns:a16="http://schemas.microsoft.com/office/drawing/2014/main" id="{00000000-0008-0000-0000-000007000000}"/>
            </a:ext>
          </a:extLst>
        </xdr:cNvPr>
        <xdr:cNvSpPr txBox="1"/>
      </xdr:nvSpPr>
      <xdr:spPr>
        <a:xfrm>
          <a:off x="8267700" y="40104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122</xdr:row>
      <xdr:rowOff>0</xdr:rowOff>
    </xdr:from>
    <xdr:ext cx="65" cy="172227"/>
    <xdr:sp macro="" textlink="">
      <xdr:nvSpPr>
        <xdr:cNvPr id="597" name="TextBox 596">
          <a:extLst>
            <a:ext uri="{FF2B5EF4-FFF2-40B4-BE49-F238E27FC236}">
              <a16:creationId xmlns:a16="http://schemas.microsoft.com/office/drawing/2014/main" id="{00000000-0008-0000-0000-000007000000}"/>
            </a:ext>
          </a:extLst>
        </xdr:cNvPr>
        <xdr:cNvSpPr txBox="1"/>
      </xdr:nvSpPr>
      <xdr:spPr>
        <a:xfrm>
          <a:off x="8267700" y="40286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122</xdr:row>
      <xdr:rowOff>0</xdr:rowOff>
    </xdr:from>
    <xdr:ext cx="65" cy="172227"/>
    <xdr:sp macro="" textlink="">
      <xdr:nvSpPr>
        <xdr:cNvPr id="598" name="TextBox 597">
          <a:extLst>
            <a:ext uri="{FF2B5EF4-FFF2-40B4-BE49-F238E27FC236}">
              <a16:creationId xmlns:a16="http://schemas.microsoft.com/office/drawing/2014/main" id="{00000000-0008-0000-0000-000007000000}"/>
            </a:ext>
          </a:extLst>
        </xdr:cNvPr>
        <xdr:cNvSpPr txBox="1"/>
      </xdr:nvSpPr>
      <xdr:spPr>
        <a:xfrm>
          <a:off x="8267700" y="40286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128</xdr:row>
      <xdr:rowOff>0</xdr:rowOff>
    </xdr:from>
    <xdr:ext cx="65" cy="172227"/>
    <xdr:sp macro="" textlink="">
      <xdr:nvSpPr>
        <xdr:cNvPr id="599" name="TextBox 598">
          <a:extLst>
            <a:ext uri="{FF2B5EF4-FFF2-40B4-BE49-F238E27FC236}">
              <a16:creationId xmlns:a16="http://schemas.microsoft.com/office/drawing/2014/main" id="{00000000-0008-0000-0000-000007000000}"/>
            </a:ext>
          </a:extLst>
        </xdr:cNvPr>
        <xdr:cNvSpPr txBox="1"/>
      </xdr:nvSpPr>
      <xdr:spPr>
        <a:xfrm>
          <a:off x="8267700" y="41384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128</xdr:row>
      <xdr:rowOff>0</xdr:rowOff>
    </xdr:from>
    <xdr:ext cx="65" cy="172227"/>
    <xdr:sp macro="" textlink="">
      <xdr:nvSpPr>
        <xdr:cNvPr id="600" name="TextBox 599">
          <a:extLst>
            <a:ext uri="{FF2B5EF4-FFF2-40B4-BE49-F238E27FC236}">
              <a16:creationId xmlns:a16="http://schemas.microsoft.com/office/drawing/2014/main" id="{00000000-0008-0000-0000-000007000000}"/>
            </a:ext>
          </a:extLst>
        </xdr:cNvPr>
        <xdr:cNvSpPr txBox="1"/>
      </xdr:nvSpPr>
      <xdr:spPr>
        <a:xfrm>
          <a:off x="8267700" y="41384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129</xdr:row>
      <xdr:rowOff>0</xdr:rowOff>
    </xdr:from>
    <xdr:ext cx="65" cy="172227"/>
    <xdr:sp macro="" textlink="">
      <xdr:nvSpPr>
        <xdr:cNvPr id="601" name="TextBox 600">
          <a:extLst>
            <a:ext uri="{FF2B5EF4-FFF2-40B4-BE49-F238E27FC236}">
              <a16:creationId xmlns:a16="http://schemas.microsoft.com/office/drawing/2014/main" id="{00000000-0008-0000-0000-000007000000}"/>
            </a:ext>
          </a:extLst>
        </xdr:cNvPr>
        <xdr:cNvSpPr txBox="1"/>
      </xdr:nvSpPr>
      <xdr:spPr>
        <a:xfrm>
          <a:off x="8267700" y="4156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129</xdr:row>
      <xdr:rowOff>0</xdr:rowOff>
    </xdr:from>
    <xdr:ext cx="65" cy="172227"/>
    <xdr:sp macro="" textlink="">
      <xdr:nvSpPr>
        <xdr:cNvPr id="602" name="TextBox 601">
          <a:extLst>
            <a:ext uri="{FF2B5EF4-FFF2-40B4-BE49-F238E27FC236}">
              <a16:creationId xmlns:a16="http://schemas.microsoft.com/office/drawing/2014/main" id="{00000000-0008-0000-0000-000007000000}"/>
            </a:ext>
          </a:extLst>
        </xdr:cNvPr>
        <xdr:cNvSpPr txBox="1"/>
      </xdr:nvSpPr>
      <xdr:spPr>
        <a:xfrm>
          <a:off x="8267700" y="4156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130</xdr:row>
      <xdr:rowOff>0</xdr:rowOff>
    </xdr:from>
    <xdr:ext cx="65" cy="172227"/>
    <xdr:sp macro="" textlink="">
      <xdr:nvSpPr>
        <xdr:cNvPr id="603" name="TextBox 602">
          <a:extLst>
            <a:ext uri="{FF2B5EF4-FFF2-40B4-BE49-F238E27FC236}">
              <a16:creationId xmlns:a16="http://schemas.microsoft.com/office/drawing/2014/main" id="{00000000-0008-0000-0000-000007000000}"/>
            </a:ext>
          </a:extLst>
        </xdr:cNvPr>
        <xdr:cNvSpPr txBox="1"/>
      </xdr:nvSpPr>
      <xdr:spPr>
        <a:xfrm>
          <a:off x="8267700" y="41749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130</xdr:row>
      <xdr:rowOff>0</xdr:rowOff>
    </xdr:from>
    <xdr:ext cx="65" cy="172227"/>
    <xdr:sp macro="" textlink="">
      <xdr:nvSpPr>
        <xdr:cNvPr id="604" name="TextBox 603">
          <a:extLst>
            <a:ext uri="{FF2B5EF4-FFF2-40B4-BE49-F238E27FC236}">
              <a16:creationId xmlns:a16="http://schemas.microsoft.com/office/drawing/2014/main" id="{00000000-0008-0000-0000-000007000000}"/>
            </a:ext>
          </a:extLst>
        </xdr:cNvPr>
        <xdr:cNvSpPr txBox="1"/>
      </xdr:nvSpPr>
      <xdr:spPr>
        <a:xfrm>
          <a:off x="8267700" y="41749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131</xdr:row>
      <xdr:rowOff>0</xdr:rowOff>
    </xdr:from>
    <xdr:ext cx="65" cy="172227"/>
    <xdr:sp macro="" textlink="">
      <xdr:nvSpPr>
        <xdr:cNvPr id="605" name="TextBox 604">
          <a:extLst>
            <a:ext uri="{FF2B5EF4-FFF2-40B4-BE49-F238E27FC236}">
              <a16:creationId xmlns:a16="http://schemas.microsoft.com/office/drawing/2014/main" id="{00000000-0008-0000-0000-000007000000}"/>
            </a:ext>
          </a:extLst>
        </xdr:cNvPr>
        <xdr:cNvSpPr txBox="1"/>
      </xdr:nvSpPr>
      <xdr:spPr>
        <a:xfrm>
          <a:off x="8267700" y="41932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131</xdr:row>
      <xdr:rowOff>0</xdr:rowOff>
    </xdr:from>
    <xdr:ext cx="65" cy="172227"/>
    <xdr:sp macro="" textlink="">
      <xdr:nvSpPr>
        <xdr:cNvPr id="606" name="TextBox 605">
          <a:extLst>
            <a:ext uri="{FF2B5EF4-FFF2-40B4-BE49-F238E27FC236}">
              <a16:creationId xmlns:a16="http://schemas.microsoft.com/office/drawing/2014/main" id="{00000000-0008-0000-0000-000007000000}"/>
            </a:ext>
          </a:extLst>
        </xdr:cNvPr>
        <xdr:cNvSpPr txBox="1"/>
      </xdr:nvSpPr>
      <xdr:spPr>
        <a:xfrm>
          <a:off x="8267700" y="41932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132</xdr:row>
      <xdr:rowOff>0</xdr:rowOff>
    </xdr:from>
    <xdr:ext cx="65" cy="172227"/>
    <xdr:sp macro="" textlink="">
      <xdr:nvSpPr>
        <xdr:cNvPr id="607" name="TextBox 606">
          <a:extLst>
            <a:ext uri="{FF2B5EF4-FFF2-40B4-BE49-F238E27FC236}">
              <a16:creationId xmlns:a16="http://schemas.microsoft.com/office/drawing/2014/main" id="{00000000-0008-0000-0000-000007000000}"/>
            </a:ext>
          </a:extLst>
        </xdr:cNvPr>
        <xdr:cNvSpPr txBox="1"/>
      </xdr:nvSpPr>
      <xdr:spPr>
        <a:xfrm>
          <a:off x="8267700" y="42115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132</xdr:row>
      <xdr:rowOff>0</xdr:rowOff>
    </xdr:from>
    <xdr:ext cx="65" cy="172227"/>
    <xdr:sp macro="" textlink="">
      <xdr:nvSpPr>
        <xdr:cNvPr id="608" name="TextBox 607">
          <a:extLst>
            <a:ext uri="{FF2B5EF4-FFF2-40B4-BE49-F238E27FC236}">
              <a16:creationId xmlns:a16="http://schemas.microsoft.com/office/drawing/2014/main" id="{00000000-0008-0000-0000-000007000000}"/>
            </a:ext>
          </a:extLst>
        </xdr:cNvPr>
        <xdr:cNvSpPr txBox="1"/>
      </xdr:nvSpPr>
      <xdr:spPr>
        <a:xfrm>
          <a:off x="8267700" y="42115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609" name="TextBox 608">
          <a:extLst>
            <a:ext uri="{FF2B5EF4-FFF2-40B4-BE49-F238E27FC236}">
              <a16:creationId xmlns:a16="http://schemas.microsoft.com/office/drawing/2014/main" id="{00000000-0008-0000-0000-000007000000}"/>
            </a:ext>
          </a:extLst>
        </xdr:cNvPr>
        <xdr:cNvSpPr txBox="1"/>
      </xdr:nvSpPr>
      <xdr:spPr>
        <a:xfrm>
          <a:off x="8267700" y="33474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610" name="TextBox 609">
          <a:extLst>
            <a:ext uri="{FF2B5EF4-FFF2-40B4-BE49-F238E27FC236}">
              <a16:creationId xmlns:a16="http://schemas.microsoft.com/office/drawing/2014/main" id="{00000000-0008-0000-0000-000007000000}"/>
            </a:ext>
          </a:extLst>
        </xdr:cNvPr>
        <xdr:cNvSpPr txBox="1"/>
      </xdr:nvSpPr>
      <xdr:spPr>
        <a:xfrm>
          <a:off x="8267700" y="33474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611" name="TextBox 610">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612" name="TextBox 611">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613" name="TextBox 612">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614" name="TextBox 613">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615" name="TextBox 614">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616" name="TextBox 615">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83</xdr:row>
      <xdr:rowOff>0</xdr:rowOff>
    </xdr:from>
    <xdr:ext cx="65" cy="172227"/>
    <xdr:sp macro="" textlink="">
      <xdr:nvSpPr>
        <xdr:cNvPr id="620" name="TextBox 619">
          <a:extLst>
            <a:ext uri="{FF2B5EF4-FFF2-40B4-BE49-F238E27FC236}">
              <a16:creationId xmlns:a16="http://schemas.microsoft.com/office/drawing/2014/main" id="{00000000-0008-0000-0000-000007000000}"/>
            </a:ext>
          </a:extLst>
        </xdr:cNvPr>
        <xdr:cNvSpPr txBox="1"/>
      </xdr:nvSpPr>
      <xdr:spPr>
        <a:xfrm>
          <a:off x="8267700" y="33078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83</xdr:row>
      <xdr:rowOff>0</xdr:rowOff>
    </xdr:from>
    <xdr:ext cx="65" cy="172227"/>
    <xdr:sp macro="" textlink="">
      <xdr:nvSpPr>
        <xdr:cNvPr id="624" name="TextBox 623">
          <a:extLst>
            <a:ext uri="{FF2B5EF4-FFF2-40B4-BE49-F238E27FC236}">
              <a16:creationId xmlns:a16="http://schemas.microsoft.com/office/drawing/2014/main" id="{00000000-0008-0000-0000-000007000000}"/>
            </a:ext>
          </a:extLst>
        </xdr:cNvPr>
        <xdr:cNvSpPr txBox="1"/>
      </xdr:nvSpPr>
      <xdr:spPr>
        <a:xfrm>
          <a:off x="8267700" y="33078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84</xdr:row>
      <xdr:rowOff>0</xdr:rowOff>
    </xdr:from>
    <xdr:ext cx="65" cy="172227"/>
    <xdr:sp macro="" textlink="">
      <xdr:nvSpPr>
        <xdr:cNvPr id="625" name="TextBox 624">
          <a:extLst>
            <a:ext uri="{FF2B5EF4-FFF2-40B4-BE49-F238E27FC236}">
              <a16:creationId xmlns:a16="http://schemas.microsoft.com/office/drawing/2014/main" id="{00000000-0008-0000-0000-000007000000}"/>
            </a:ext>
          </a:extLst>
        </xdr:cNvPr>
        <xdr:cNvSpPr txBox="1"/>
      </xdr:nvSpPr>
      <xdr:spPr>
        <a:xfrm>
          <a:off x="8267700" y="33276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84</xdr:row>
      <xdr:rowOff>0</xdr:rowOff>
    </xdr:from>
    <xdr:ext cx="65" cy="172227"/>
    <xdr:sp macro="" textlink="">
      <xdr:nvSpPr>
        <xdr:cNvPr id="626" name="TextBox 625">
          <a:extLst>
            <a:ext uri="{FF2B5EF4-FFF2-40B4-BE49-F238E27FC236}">
              <a16:creationId xmlns:a16="http://schemas.microsoft.com/office/drawing/2014/main" id="{00000000-0008-0000-0000-000007000000}"/>
            </a:ext>
          </a:extLst>
        </xdr:cNvPr>
        <xdr:cNvSpPr txBox="1"/>
      </xdr:nvSpPr>
      <xdr:spPr>
        <a:xfrm>
          <a:off x="8267700" y="33276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627" name="TextBox 626">
          <a:extLst>
            <a:ext uri="{FF2B5EF4-FFF2-40B4-BE49-F238E27FC236}">
              <a16:creationId xmlns:a16="http://schemas.microsoft.com/office/drawing/2014/main" id="{00000000-0008-0000-0000-000007000000}"/>
            </a:ext>
          </a:extLst>
        </xdr:cNvPr>
        <xdr:cNvSpPr txBox="1"/>
      </xdr:nvSpPr>
      <xdr:spPr>
        <a:xfrm>
          <a:off x="8267700" y="33474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628" name="TextBox 627">
          <a:extLst>
            <a:ext uri="{FF2B5EF4-FFF2-40B4-BE49-F238E27FC236}">
              <a16:creationId xmlns:a16="http://schemas.microsoft.com/office/drawing/2014/main" id="{00000000-0008-0000-0000-000007000000}"/>
            </a:ext>
          </a:extLst>
        </xdr:cNvPr>
        <xdr:cNvSpPr txBox="1"/>
      </xdr:nvSpPr>
      <xdr:spPr>
        <a:xfrm>
          <a:off x="8267700" y="33474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629" name="TextBox 628">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630" name="TextBox 629">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631" name="TextBox 630">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632" name="TextBox 631">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88</xdr:row>
      <xdr:rowOff>0</xdr:rowOff>
    </xdr:from>
    <xdr:ext cx="65" cy="172227"/>
    <xdr:sp macro="" textlink="">
      <xdr:nvSpPr>
        <xdr:cNvPr id="633" name="TextBox 632">
          <a:extLst>
            <a:ext uri="{FF2B5EF4-FFF2-40B4-BE49-F238E27FC236}">
              <a16:creationId xmlns:a16="http://schemas.microsoft.com/office/drawing/2014/main" id="{00000000-0008-0000-0000-000007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88</xdr:row>
      <xdr:rowOff>0</xdr:rowOff>
    </xdr:from>
    <xdr:ext cx="65" cy="172227"/>
    <xdr:sp macro="" textlink="">
      <xdr:nvSpPr>
        <xdr:cNvPr id="634" name="TextBox 633">
          <a:extLst>
            <a:ext uri="{FF2B5EF4-FFF2-40B4-BE49-F238E27FC236}">
              <a16:creationId xmlns:a16="http://schemas.microsoft.com/office/drawing/2014/main" id="{00000000-0008-0000-0000-000007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89</xdr:row>
      <xdr:rowOff>0</xdr:rowOff>
    </xdr:from>
    <xdr:ext cx="65" cy="172227"/>
    <xdr:sp macro="" textlink="">
      <xdr:nvSpPr>
        <xdr:cNvPr id="635" name="TextBox 634">
          <a:extLst>
            <a:ext uri="{FF2B5EF4-FFF2-40B4-BE49-F238E27FC236}">
              <a16:creationId xmlns:a16="http://schemas.microsoft.com/office/drawing/2014/main" id="{00000000-0008-0000-0000-000007000000}"/>
            </a:ext>
          </a:extLst>
        </xdr:cNvPr>
        <xdr:cNvSpPr txBox="1"/>
      </xdr:nvSpPr>
      <xdr:spPr>
        <a:xfrm>
          <a:off x="8267700" y="3425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89</xdr:row>
      <xdr:rowOff>0</xdr:rowOff>
    </xdr:from>
    <xdr:ext cx="65" cy="172227"/>
    <xdr:sp macro="" textlink="">
      <xdr:nvSpPr>
        <xdr:cNvPr id="636" name="TextBox 635">
          <a:extLst>
            <a:ext uri="{FF2B5EF4-FFF2-40B4-BE49-F238E27FC236}">
              <a16:creationId xmlns:a16="http://schemas.microsoft.com/office/drawing/2014/main" id="{00000000-0008-0000-0000-000007000000}"/>
            </a:ext>
          </a:extLst>
        </xdr:cNvPr>
        <xdr:cNvSpPr txBox="1"/>
      </xdr:nvSpPr>
      <xdr:spPr>
        <a:xfrm>
          <a:off x="8267700" y="3425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90</xdr:row>
      <xdr:rowOff>0</xdr:rowOff>
    </xdr:from>
    <xdr:ext cx="65" cy="172227"/>
    <xdr:sp macro="" textlink="">
      <xdr:nvSpPr>
        <xdr:cNvPr id="637" name="TextBox 636">
          <a:extLst>
            <a:ext uri="{FF2B5EF4-FFF2-40B4-BE49-F238E27FC236}">
              <a16:creationId xmlns:a16="http://schemas.microsoft.com/office/drawing/2014/main" id="{00000000-0008-0000-0000-000007000000}"/>
            </a:ext>
          </a:extLst>
        </xdr:cNvPr>
        <xdr:cNvSpPr txBox="1"/>
      </xdr:nvSpPr>
      <xdr:spPr>
        <a:xfrm>
          <a:off x="8267700" y="34434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90</xdr:row>
      <xdr:rowOff>0</xdr:rowOff>
    </xdr:from>
    <xdr:ext cx="65" cy="172227"/>
    <xdr:sp macro="" textlink="">
      <xdr:nvSpPr>
        <xdr:cNvPr id="638" name="TextBox 637">
          <a:extLst>
            <a:ext uri="{FF2B5EF4-FFF2-40B4-BE49-F238E27FC236}">
              <a16:creationId xmlns:a16="http://schemas.microsoft.com/office/drawing/2014/main" id="{00000000-0008-0000-0000-000007000000}"/>
            </a:ext>
          </a:extLst>
        </xdr:cNvPr>
        <xdr:cNvSpPr txBox="1"/>
      </xdr:nvSpPr>
      <xdr:spPr>
        <a:xfrm>
          <a:off x="8267700" y="34434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91</xdr:row>
      <xdr:rowOff>0</xdr:rowOff>
    </xdr:from>
    <xdr:ext cx="65" cy="172227"/>
    <xdr:sp macro="" textlink="">
      <xdr:nvSpPr>
        <xdr:cNvPr id="639" name="TextBox 638">
          <a:extLst>
            <a:ext uri="{FF2B5EF4-FFF2-40B4-BE49-F238E27FC236}">
              <a16:creationId xmlns:a16="http://schemas.microsoft.com/office/drawing/2014/main" id="{00000000-0008-0000-0000-000007000000}"/>
            </a:ext>
          </a:extLst>
        </xdr:cNvPr>
        <xdr:cNvSpPr txBox="1"/>
      </xdr:nvSpPr>
      <xdr:spPr>
        <a:xfrm>
          <a:off x="8267700" y="34617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91</xdr:row>
      <xdr:rowOff>0</xdr:rowOff>
    </xdr:from>
    <xdr:ext cx="65" cy="172227"/>
    <xdr:sp macro="" textlink="">
      <xdr:nvSpPr>
        <xdr:cNvPr id="640" name="TextBox 639">
          <a:extLst>
            <a:ext uri="{FF2B5EF4-FFF2-40B4-BE49-F238E27FC236}">
              <a16:creationId xmlns:a16="http://schemas.microsoft.com/office/drawing/2014/main" id="{00000000-0008-0000-0000-000007000000}"/>
            </a:ext>
          </a:extLst>
        </xdr:cNvPr>
        <xdr:cNvSpPr txBox="1"/>
      </xdr:nvSpPr>
      <xdr:spPr>
        <a:xfrm>
          <a:off x="8267700" y="34617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92</xdr:row>
      <xdr:rowOff>0</xdr:rowOff>
    </xdr:from>
    <xdr:ext cx="65" cy="172227"/>
    <xdr:sp macro="" textlink="">
      <xdr:nvSpPr>
        <xdr:cNvPr id="641" name="TextBox 640">
          <a:extLst>
            <a:ext uri="{FF2B5EF4-FFF2-40B4-BE49-F238E27FC236}">
              <a16:creationId xmlns:a16="http://schemas.microsoft.com/office/drawing/2014/main" id="{00000000-0008-0000-0000-000007000000}"/>
            </a:ext>
          </a:extLst>
        </xdr:cNvPr>
        <xdr:cNvSpPr txBox="1"/>
      </xdr:nvSpPr>
      <xdr:spPr>
        <a:xfrm>
          <a:off x="8267700" y="34800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92</xdr:row>
      <xdr:rowOff>0</xdr:rowOff>
    </xdr:from>
    <xdr:ext cx="65" cy="172227"/>
    <xdr:sp macro="" textlink="">
      <xdr:nvSpPr>
        <xdr:cNvPr id="642" name="TextBox 641">
          <a:extLst>
            <a:ext uri="{FF2B5EF4-FFF2-40B4-BE49-F238E27FC236}">
              <a16:creationId xmlns:a16="http://schemas.microsoft.com/office/drawing/2014/main" id="{00000000-0008-0000-0000-000007000000}"/>
            </a:ext>
          </a:extLst>
        </xdr:cNvPr>
        <xdr:cNvSpPr txBox="1"/>
      </xdr:nvSpPr>
      <xdr:spPr>
        <a:xfrm>
          <a:off x="8267700" y="34800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98</xdr:row>
      <xdr:rowOff>0</xdr:rowOff>
    </xdr:from>
    <xdr:ext cx="65" cy="172227"/>
    <xdr:sp macro="" textlink="">
      <xdr:nvSpPr>
        <xdr:cNvPr id="643" name="TextBox 642">
          <a:extLst>
            <a:ext uri="{FF2B5EF4-FFF2-40B4-BE49-F238E27FC236}">
              <a16:creationId xmlns:a16="http://schemas.microsoft.com/office/drawing/2014/main" id="{00000000-0008-0000-0000-000007000000}"/>
            </a:ext>
          </a:extLst>
        </xdr:cNvPr>
        <xdr:cNvSpPr txBox="1"/>
      </xdr:nvSpPr>
      <xdr:spPr>
        <a:xfrm>
          <a:off x="8267700" y="35897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98</xdr:row>
      <xdr:rowOff>0</xdr:rowOff>
    </xdr:from>
    <xdr:ext cx="65" cy="172227"/>
    <xdr:sp macro="" textlink="">
      <xdr:nvSpPr>
        <xdr:cNvPr id="644" name="TextBox 643">
          <a:extLst>
            <a:ext uri="{FF2B5EF4-FFF2-40B4-BE49-F238E27FC236}">
              <a16:creationId xmlns:a16="http://schemas.microsoft.com/office/drawing/2014/main" id="{00000000-0008-0000-0000-000007000000}"/>
            </a:ext>
          </a:extLst>
        </xdr:cNvPr>
        <xdr:cNvSpPr txBox="1"/>
      </xdr:nvSpPr>
      <xdr:spPr>
        <a:xfrm>
          <a:off x="8267700" y="35897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99</xdr:row>
      <xdr:rowOff>0</xdr:rowOff>
    </xdr:from>
    <xdr:ext cx="65" cy="172227"/>
    <xdr:sp macro="" textlink="">
      <xdr:nvSpPr>
        <xdr:cNvPr id="645" name="TextBox 644">
          <a:extLst>
            <a:ext uri="{FF2B5EF4-FFF2-40B4-BE49-F238E27FC236}">
              <a16:creationId xmlns:a16="http://schemas.microsoft.com/office/drawing/2014/main" id="{00000000-0008-0000-0000-000007000000}"/>
            </a:ext>
          </a:extLst>
        </xdr:cNvPr>
        <xdr:cNvSpPr txBox="1"/>
      </xdr:nvSpPr>
      <xdr:spPr>
        <a:xfrm>
          <a:off x="8267700" y="36080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99</xdr:row>
      <xdr:rowOff>0</xdr:rowOff>
    </xdr:from>
    <xdr:ext cx="65" cy="172227"/>
    <xdr:sp macro="" textlink="">
      <xdr:nvSpPr>
        <xdr:cNvPr id="646" name="TextBox 645">
          <a:extLst>
            <a:ext uri="{FF2B5EF4-FFF2-40B4-BE49-F238E27FC236}">
              <a16:creationId xmlns:a16="http://schemas.microsoft.com/office/drawing/2014/main" id="{00000000-0008-0000-0000-000007000000}"/>
            </a:ext>
          </a:extLst>
        </xdr:cNvPr>
        <xdr:cNvSpPr txBox="1"/>
      </xdr:nvSpPr>
      <xdr:spPr>
        <a:xfrm>
          <a:off x="8267700" y="36080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100</xdr:row>
      <xdr:rowOff>0</xdr:rowOff>
    </xdr:from>
    <xdr:ext cx="65" cy="172227"/>
    <xdr:sp macro="" textlink="">
      <xdr:nvSpPr>
        <xdr:cNvPr id="647" name="TextBox 646">
          <a:extLst>
            <a:ext uri="{FF2B5EF4-FFF2-40B4-BE49-F238E27FC236}">
              <a16:creationId xmlns:a16="http://schemas.microsoft.com/office/drawing/2014/main" id="{00000000-0008-0000-0000-000007000000}"/>
            </a:ext>
          </a:extLst>
        </xdr:cNvPr>
        <xdr:cNvSpPr txBox="1"/>
      </xdr:nvSpPr>
      <xdr:spPr>
        <a:xfrm>
          <a:off x="8267700" y="36263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100</xdr:row>
      <xdr:rowOff>0</xdr:rowOff>
    </xdr:from>
    <xdr:ext cx="65" cy="172227"/>
    <xdr:sp macro="" textlink="">
      <xdr:nvSpPr>
        <xdr:cNvPr id="648" name="TextBox 647">
          <a:extLst>
            <a:ext uri="{FF2B5EF4-FFF2-40B4-BE49-F238E27FC236}">
              <a16:creationId xmlns:a16="http://schemas.microsoft.com/office/drawing/2014/main" id="{00000000-0008-0000-0000-000007000000}"/>
            </a:ext>
          </a:extLst>
        </xdr:cNvPr>
        <xdr:cNvSpPr txBox="1"/>
      </xdr:nvSpPr>
      <xdr:spPr>
        <a:xfrm>
          <a:off x="8267700" y="36263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101</xdr:row>
      <xdr:rowOff>0</xdr:rowOff>
    </xdr:from>
    <xdr:ext cx="65" cy="172227"/>
    <xdr:sp macro="" textlink="">
      <xdr:nvSpPr>
        <xdr:cNvPr id="649" name="TextBox 648">
          <a:extLst>
            <a:ext uri="{FF2B5EF4-FFF2-40B4-BE49-F238E27FC236}">
              <a16:creationId xmlns:a16="http://schemas.microsoft.com/office/drawing/2014/main" id="{00000000-0008-0000-0000-000007000000}"/>
            </a:ext>
          </a:extLst>
        </xdr:cNvPr>
        <xdr:cNvSpPr txBox="1"/>
      </xdr:nvSpPr>
      <xdr:spPr>
        <a:xfrm>
          <a:off x="8267700" y="36446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101</xdr:row>
      <xdr:rowOff>0</xdr:rowOff>
    </xdr:from>
    <xdr:ext cx="65" cy="172227"/>
    <xdr:sp macro="" textlink="">
      <xdr:nvSpPr>
        <xdr:cNvPr id="650" name="TextBox 649">
          <a:extLst>
            <a:ext uri="{FF2B5EF4-FFF2-40B4-BE49-F238E27FC236}">
              <a16:creationId xmlns:a16="http://schemas.microsoft.com/office/drawing/2014/main" id="{00000000-0008-0000-0000-000007000000}"/>
            </a:ext>
          </a:extLst>
        </xdr:cNvPr>
        <xdr:cNvSpPr txBox="1"/>
      </xdr:nvSpPr>
      <xdr:spPr>
        <a:xfrm>
          <a:off x="8267700" y="36446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102</xdr:row>
      <xdr:rowOff>0</xdr:rowOff>
    </xdr:from>
    <xdr:ext cx="65" cy="172227"/>
    <xdr:sp macro="" textlink="">
      <xdr:nvSpPr>
        <xdr:cNvPr id="651" name="TextBox 650">
          <a:extLst>
            <a:ext uri="{FF2B5EF4-FFF2-40B4-BE49-F238E27FC236}">
              <a16:creationId xmlns:a16="http://schemas.microsoft.com/office/drawing/2014/main" id="{00000000-0008-0000-0000-000007000000}"/>
            </a:ext>
          </a:extLst>
        </xdr:cNvPr>
        <xdr:cNvSpPr txBox="1"/>
      </xdr:nvSpPr>
      <xdr:spPr>
        <a:xfrm>
          <a:off x="8267700" y="36629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102</xdr:row>
      <xdr:rowOff>0</xdr:rowOff>
    </xdr:from>
    <xdr:ext cx="65" cy="172227"/>
    <xdr:sp macro="" textlink="">
      <xdr:nvSpPr>
        <xdr:cNvPr id="652" name="TextBox 651">
          <a:extLst>
            <a:ext uri="{FF2B5EF4-FFF2-40B4-BE49-F238E27FC236}">
              <a16:creationId xmlns:a16="http://schemas.microsoft.com/office/drawing/2014/main" id="{00000000-0008-0000-0000-000007000000}"/>
            </a:ext>
          </a:extLst>
        </xdr:cNvPr>
        <xdr:cNvSpPr txBox="1"/>
      </xdr:nvSpPr>
      <xdr:spPr>
        <a:xfrm>
          <a:off x="8267700" y="36629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108</xdr:row>
      <xdr:rowOff>0</xdr:rowOff>
    </xdr:from>
    <xdr:ext cx="65" cy="172227"/>
    <xdr:sp macro="" textlink="">
      <xdr:nvSpPr>
        <xdr:cNvPr id="653" name="TextBox 652">
          <a:extLst>
            <a:ext uri="{FF2B5EF4-FFF2-40B4-BE49-F238E27FC236}">
              <a16:creationId xmlns:a16="http://schemas.microsoft.com/office/drawing/2014/main" id="{00000000-0008-0000-0000-000007000000}"/>
            </a:ext>
          </a:extLst>
        </xdr:cNvPr>
        <xdr:cNvSpPr txBox="1"/>
      </xdr:nvSpPr>
      <xdr:spPr>
        <a:xfrm>
          <a:off x="8267700" y="3772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108</xdr:row>
      <xdr:rowOff>0</xdr:rowOff>
    </xdr:from>
    <xdr:ext cx="65" cy="172227"/>
    <xdr:sp macro="" textlink="">
      <xdr:nvSpPr>
        <xdr:cNvPr id="654" name="TextBox 653">
          <a:extLst>
            <a:ext uri="{FF2B5EF4-FFF2-40B4-BE49-F238E27FC236}">
              <a16:creationId xmlns:a16="http://schemas.microsoft.com/office/drawing/2014/main" id="{00000000-0008-0000-0000-000007000000}"/>
            </a:ext>
          </a:extLst>
        </xdr:cNvPr>
        <xdr:cNvSpPr txBox="1"/>
      </xdr:nvSpPr>
      <xdr:spPr>
        <a:xfrm>
          <a:off x="8267700" y="3772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109</xdr:row>
      <xdr:rowOff>0</xdr:rowOff>
    </xdr:from>
    <xdr:ext cx="65" cy="172227"/>
    <xdr:sp macro="" textlink="">
      <xdr:nvSpPr>
        <xdr:cNvPr id="655" name="TextBox 654">
          <a:extLst>
            <a:ext uri="{FF2B5EF4-FFF2-40B4-BE49-F238E27FC236}">
              <a16:creationId xmlns:a16="http://schemas.microsoft.com/office/drawing/2014/main" id="{00000000-0008-0000-0000-000007000000}"/>
            </a:ext>
          </a:extLst>
        </xdr:cNvPr>
        <xdr:cNvSpPr txBox="1"/>
      </xdr:nvSpPr>
      <xdr:spPr>
        <a:xfrm>
          <a:off x="8267700" y="37909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109</xdr:row>
      <xdr:rowOff>0</xdr:rowOff>
    </xdr:from>
    <xdr:ext cx="65" cy="172227"/>
    <xdr:sp macro="" textlink="">
      <xdr:nvSpPr>
        <xdr:cNvPr id="656" name="TextBox 655">
          <a:extLst>
            <a:ext uri="{FF2B5EF4-FFF2-40B4-BE49-F238E27FC236}">
              <a16:creationId xmlns:a16="http://schemas.microsoft.com/office/drawing/2014/main" id="{00000000-0008-0000-0000-000007000000}"/>
            </a:ext>
          </a:extLst>
        </xdr:cNvPr>
        <xdr:cNvSpPr txBox="1"/>
      </xdr:nvSpPr>
      <xdr:spPr>
        <a:xfrm>
          <a:off x="8267700" y="37909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110</xdr:row>
      <xdr:rowOff>0</xdr:rowOff>
    </xdr:from>
    <xdr:ext cx="65" cy="172227"/>
    <xdr:sp macro="" textlink="">
      <xdr:nvSpPr>
        <xdr:cNvPr id="657" name="TextBox 656">
          <a:extLst>
            <a:ext uri="{FF2B5EF4-FFF2-40B4-BE49-F238E27FC236}">
              <a16:creationId xmlns:a16="http://schemas.microsoft.com/office/drawing/2014/main" id="{00000000-0008-0000-0000-000007000000}"/>
            </a:ext>
          </a:extLst>
        </xdr:cNvPr>
        <xdr:cNvSpPr txBox="1"/>
      </xdr:nvSpPr>
      <xdr:spPr>
        <a:xfrm>
          <a:off x="8267700" y="3809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110</xdr:row>
      <xdr:rowOff>0</xdr:rowOff>
    </xdr:from>
    <xdr:ext cx="65" cy="172227"/>
    <xdr:sp macro="" textlink="">
      <xdr:nvSpPr>
        <xdr:cNvPr id="658" name="TextBox 657">
          <a:extLst>
            <a:ext uri="{FF2B5EF4-FFF2-40B4-BE49-F238E27FC236}">
              <a16:creationId xmlns:a16="http://schemas.microsoft.com/office/drawing/2014/main" id="{00000000-0008-0000-0000-000007000000}"/>
            </a:ext>
          </a:extLst>
        </xdr:cNvPr>
        <xdr:cNvSpPr txBox="1"/>
      </xdr:nvSpPr>
      <xdr:spPr>
        <a:xfrm>
          <a:off x="8267700" y="3809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111</xdr:row>
      <xdr:rowOff>0</xdr:rowOff>
    </xdr:from>
    <xdr:ext cx="65" cy="172227"/>
    <xdr:sp macro="" textlink="">
      <xdr:nvSpPr>
        <xdr:cNvPr id="659" name="TextBox 658">
          <a:extLst>
            <a:ext uri="{FF2B5EF4-FFF2-40B4-BE49-F238E27FC236}">
              <a16:creationId xmlns:a16="http://schemas.microsoft.com/office/drawing/2014/main" id="{00000000-0008-0000-0000-000007000000}"/>
            </a:ext>
          </a:extLst>
        </xdr:cNvPr>
        <xdr:cNvSpPr txBox="1"/>
      </xdr:nvSpPr>
      <xdr:spPr>
        <a:xfrm>
          <a:off x="8267700" y="3827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111</xdr:row>
      <xdr:rowOff>0</xdr:rowOff>
    </xdr:from>
    <xdr:ext cx="65" cy="172227"/>
    <xdr:sp macro="" textlink="">
      <xdr:nvSpPr>
        <xdr:cNvPr id="660" name="TextBox 659">
          <a:extLst>
            <a:ext uri="{FF2B5EF4-FFF2-40B4-BE49-F238E27FC236}">
              <a16:creationId xmlns:a16="http://schemas.microsoft.com/office/drawing/2014/main" id="{00000000-0008-0000-0000-000007000000}"/>
            </a:ext>
          </a:extLst>
        </xdr:cNvPr>
        <xdr:cNvSpPr txBox="1"/>
      </xdr:nvSpPr>
      <xdr:spPr>
        <a:xfrm>
          <a:off x="8267700" y="3827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112</xdr:row>
      <xdr:rowOff>0</xdr:rowOff>
    </xdr:from>
    <xdr:ext cx="65" cy="172227"/>
    <xdr:sp macro="" textlink="">
      <xdr:nvSpPr>
        <xdr:cNvPr id="661" name="TextBox 660">
          <a:extLst>
            <a:ext uri="{FF2B5EF4-FFF2-40B4-BE49-F238E27FC236}">
              <a16:creationId xmlns:a16="http://schemas.microsoft.com/office/drawing/2014/main" id="{00000000-0008-0000-0000-000007000000}"/>
            </a:ext>
          </a:extLst>
        </xdr:cNvPr>
        <xdr:cNvSpPr txBox="1"/>
      </xdr:nvSpPr>
      <xdr:spPr>
        <a:xfrm>
          <a:off x="8267700" y="38458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112</xdr:row>
      <xdr:rowOff>0</xdr:rowOff>
    </xdr:from>
    <xdr:ext cx="65" cy="172227"/>
    <xdr:sp macro="" textlink="">
      <xdr:nvSpPr>
        <xdr:cNvPr id="662" name="TextBox 661">
          <a:extLst>
            <a:ext uri="{FF2B5EF4-FFF2-40B4-BE49-F238E27FC236}">
              <a16:creationId xmlns:a16="http://schemas.microsoft.com/office/drawing/2014/main" id="{00000000-0008-0000-0000-000007000000}"/>
            </a:ext>
          </a:extLst>
        </xdr:cNvPr>
        <xdr:cNvSpPr txBox="1"/>
      </xdr:nvSpPr>
      <xdr:spPr>
        <a:xfrm>
          <a:off x="8267700" y="38458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118</xdr:row>
      <xdr:rowOff>0</xdr:rowOff>
    </xdr:from>
    <xdr:ext cx="65" cy="172227"/>
    <xdr:sp macro="" textlink="">
      <xdr:nvSpPr>
        <xdr:cNvPr id="663" name="TextBox 662">
          <a:extLst>
            <a:ext uri="{FF2B5EF4-FFF2-40B4-BE49-F238E27FC236}">
              <a16:creationId xmlns:a16="http://schemas.microsoft.com/office/drawing/2014/main" id="{00000000-0008-0000-0000-000007000000}"/>
            </a:ext>
          </a:extLst>
        </xdr:cNvPr>
        <xdr:cNvSpPr txBox="1"/>
      </xdr:nvSpPr>
      <xdr:spPr>
        <a:xfrm>
          <a:off x="8267700" y="39555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118</xdr:row>
      <xdr:rowOff>0</xdr:rowOff>
    </xdr:from>
    <xdr:ext cx="65" cy="172227"/>
    <xdr:sp macro="" textlink="">
      <xdr:nvSpPr>
        <xdr:cNvPr id="664" name="TextBox 663">
          <a:extLst>
            <a:ext uri="{FF2B5EF4-FFF2-40B4-BE49-F238E27FC236}">
              <a16:creationId xmlns:a16="http://schemas.microsoft.com/office/drawing/2014/main" id="{00000000-0008-0000-0000-000007000000}"/>
            </a:ext>
          </a:extLst>
        </xdr:cNvPr>
        <xdr:cNvSpPr txBox="1"/>
      </xdr:nvSpPr>
      <xdr:spPr>
        <a:xfrm>
          <a:off x="8267700" y="39555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119</xdr:row>
      <xdr:rowOff>0</xdr:rowOff>
    </xdr:from>
    <xdr:ext cx="65" cy="172227"/>
    <xdr:sp macro="" textlink="">
      <xdr:nvSpPr>
        <xdr:cNvPr id="665" name="TextBox 664">
          <a:extLst>
            <a:ext uri="{FF2B5EF4-FFF2-40B4-BE49-F238E27FC236}">
              <a16:creationId xmlns:a16="http://schemas.microsoft.com/office/drawing/2014/main" id="{00000000-0008-0000-0000-000007000000}"/>
            </a:ext>
          </a:extLst>
        </xdr:cNvPr>
        <xdr:cNvSpPr txBox="1"/>
      </xdr:nvSpPr>
      <xdr:spPr>
        <a:xfrm>
          <a:off x="8267700" y="39738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119</xdr:row>
      <xdr:rowOff>0</xdr:rowOff>
    </xdr:from>
    <xdr:ext cx="65" cy="172227"/>
    <xdr:sp macro="" textlink="">
      <xdr:nvSpPr>
        <xdr:cNvPr id="666" name="TextBox 665">
          <a:extLst>
            <a:ext uri="{FF2B5EF4-FFF2-40B4-BE49-F238E27FC236}">
              <a16:creationId xmlns:a16="http://schemas.microsoft.com/office/drawing/2014/main" id="{00000000-0008-0000-0000-000007000000}"/>
            </a:ext>
          </a:extLst>
        </xdr:cNvPr>
        <xdr:cNvSpPr txBox="1"/>
      </xdr:nvSpPr>
      <xdr:spPr>
        <a:xfrm>
          <a:off x="8267700" y="39738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120</xdr:row>
      <xdr:rowOff>0</xdr:rowOff>
    </xdr:from>
    <xdr:ext cx="65" cy="172227"/>
    <xdr:sp macro="" textlink="">
      <xdr:nvSpPr>
        <xdr:cNvPr id="667" name="TextBox 666">
          <a:extLst>
            <a:ext uri="{FF2B5EF4-FFF2-40B4-BE49-F238E27FC236}">
              <a16:creationId xmlns:a16="http://schemas.microsoft.com/office/drawing/2014/main" id="{00000000-0008-0000-0000-000007000000}"/>
            </a:ext>
          </a:extLst>
        </xdr:cNvPr>
        <xdr:cNvSpPr txBox="1"/>
      </xdr:nvSpPr>
      <xdr:spPr>
        <a:xfrm>
          <a:off x="8267700" y="39921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120</xdr:row>
      <xdr:rowOff>0</xdr:rowOff>
    </xdr:from>
    <xdr:ext cx="65" cy="172227"/>
    <xdr:sp macro="" textlink="">
      <xdr:nvSpPr>
        <xdr:cNvPr id="668" name="TextBox 667">
          <a:extLst>
            <a:ext uri="{FF2B5EF4-FFF2-40B4-BE49-F238E27FC236}">
              <a16:creationId xmlns:a16="http://schemas.microsoft.com/office/drawing/2014/main" id="{00000000-0008-0000-0000-000007000000}"/>
            </a:ext>
          </a:extLst>
        </xdr:cNvPr>
        <xdr:cNvSpPr txBox="1"/>
      </xdr:nvSpPr>
      <xdr:spPr>
        <a:xfrm>
          <a:off x="8267700" y="39921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121</xdr:row>
      <xdr:rowOff>0</xdr:rowOff>
    </xdr:from>
    <xdr:ext cx="65" cy="172227"/>
    <xdr:sp macro="" textlink="">
      <xdr:nvSpPr>
        <xdr:cNvPr id="669" name="TextBox 668">
          <a:extLst>
            <a:ext uri="{FF2B5EF4-FFF2-40B4-BE49-F238E27FC236}">
              <a16:creationId xmlns:a16="http://schemas.microsoft.com/office/drawing/2014/main" id="{00000000-0008-0000-0000-000007000000}"/>
            </a:ext>
          </a:extLst>
        </xdr:cNvPr>
        <xdr:cNvSpPr txBox="1"/>
      </xdr:nvSpPr>
      <xdr:spPr>
        <a:xfrm>
          <a:off x="8267700" y="40104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121</xdr:row>
      <xdr:rowOff>0</xdr:rowOff>
    </xdr:from>
    <xdr:ext cx="65" cy="172227"/>
    <xdr:sp macro="" textlink="">
      <xdr:nvSpPr>
        <xdr:cNvPr id="670" name="TextBox 669">
          <a:extLst>
            <a:ext uri="{FF2B5EF4-FFF2-40B4-BE49-F238E27FC236}">
              <a16:creationId xmlns:a16="http://schemas.microsoft.com/office/drawing/2014/main" id="{00000000-0008-0000-0000-000007000000}"/>
            </a:ext>
          </a:extLst>
        </xdr:cNvPr>
        <xdr:cNvSpPr txBox="1"/>
      </xdr:nvSpPr>
      <xdr:spPr>
        <a:xfrm>
          <a:off x="8267700" y="40104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122</xdr:row>
      <xdr:rowOff>0</xdr:rowOff>
    </xdr:from>
    <xdr:ext cx="65" cy="172227"/>
    <xdr:sp macro="" textlink="">
      <xdr:nvSpPr>
        <xdr:cNvPr id="671" name="TextBox 670">
          <a:extLst>
            <a:ext uri="{FF2B5EF4-FFF2-40B4-BE49-F238E27FC236}">
              <a16:creationId xmlns:a16="http://schemas.microsoft.com/office/drawing/2014/main" id="{00000000-0008-0000-0000-000007000000}"/>
            </a:ext>
          </a:extLst>
        </xdr:cNvPr>
        <xdr:cNvSpPr txBox="1"/>
      </xdr:nvSpPr>
      <xdr:spPr>
        <a:xfrm>
          <a:off x="8267700" y="40286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122</xdr:row>
      <xdr:rowOff>0</xdr:rowOff>
    </xdr:from>
    <xdr:ext cx="65" cy="172227"/>
    <xdr:sp macro="" textlink="">
      <xdr:nvSpPr>
        <xdr:cNvPr id="672" name="TextBox 671">
          <a:extLst>
            <a:ext uri="{FF2B5EF4-FFF2-40B4-BE49-F238E27FC236}">
              <a16:creationId xmlns:a16="http://schemas.microsoft.com/office/drawing/2014/main" id="{00000000-0008-0000-0000-000007000000}"/>
            </a:ext>
          </a:extLst>
        </xdr:cNvPr>
        <xdr:cNvSpPr txBox="1"/>
      </xdr:nvSpPr>
      <xdr:spPr>
        <a:xfrm>
          <a:off x="8267700" y="40286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128</xdr:row>
      <xdr:rowOff>0</xdr:rowOff>
    </xdr:from>
    <xdr:ext cx="65" cy="172227"/>
    <xdr:sp macro="" textlink="">
      <xdr:nvSpPr>
        <xdr:cNvPr id="673" name="TextBox 672">
          <a:extLst>
            <a:ext uri="{FF2B5EF4-FFF2-40B4-BE49-F238E27FC236}">
              <a16:creationId xmlns:a16="http://schemas.microsoft.com/office/drawing/2014/main" id="{00000000-0008-0000-0000-000007000000}"/>
            </a:ext>
          </a:extLst>
        </xdr:cNvPr>
        <xdr:cNvSpPr txBox="1"/>
      </xdr:nvSpPr>
      <xdr:spPr>
        <a:xfrm>
          <a:off x="8267700" y="41384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128</xdr:row>
      <xdr:rowOff>0</xdr:rowOff>
    </xdr:from>
    <xdr:ext cx="65" cy="172227"/>
    <xdr:sp macro="" textlink="">
      <xdr:nvSpPr>
        <xdr:cNvPr id="674" name="TextBox 673">
          <a:extLst>
            <a:ext uri="{FF2B5EF4-FFF2-40B4-BE49-F238E27FC236}">
              <a16:creationId xmlns:a16="http://schemas.microsoft.com/office/drawing/2014/main" id="{00000000-0008-0000-0000-000007000000}"/>
            </a:ext>
          </a:extLst>
        </xdr:cNvPr>
        <xdr:cNvSpPr txBox="1"/>
      </xdr:nvSpPr>
      <xdr:spPr>
        <a:xfrm>
          <a:off x="8267700" y="41384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129</xdr:row>
      <xdr:rowOff>0</xdr:rowOff>
    </xdr:from>
    <xdr:ext cx="65" cy="172227"/>
    <xdr:sp macro="" textlink="">
      <xdr:nvSpPr>
        <xdr:cNvPr id="675" name="TextBox 674">
          <a:extLst>
            <a:ext uri="{FF2B5EF4-FFF2-40B4-BE49-F238E27FC236}">
              <a16:creationId xmlns:a16="http://schemas.microsoft.com/office/drawing/2014/main" id="{00000000-0008-0000-0000-000007000000}"/>
            </a:ext>
          </a:extLst>
        </xdr:cNvPr>
        <xdr:cNvSpPr txBox="1"/>
      </xdr:nvSpPr>
      <xdr:spPr>
        <a:xfrm>
          <a:off x="8267700" y="4156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129</xdr:row>
      <xdr:rowOff>0</xdr:rowOff>
    </xdr:from>
    <xdr:ext cx="65" cy="172227"/>
    <xdr:sp macro="" textlink="">
      <xdr:nvSpPr>
        <xdr:cNvPr id="676" name="TextBox 675">
          <a:extLst>
            <a:ext uri="{FF2B5EF4-FFF2-40B4-BE49-F238E27FC236}">
              <a16:creationId xmlns:a16="http://schemas.microsoft.com/office/drawing/2014/main" id="{00000000-0008-0000-0000-000007000000}"/>
            </a:ext>
          </a:extLst>
        </xdr:cNvPr>
        <xdr:cNvSpPr txBox="1"/>
      </xdr:nvSpPr>
      <xdr:spPr>
        <a:xfrm>
          <a:off x="8267700" y="4156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130</xdr:row>
      <xdr:rowOff>0</xdr:rowOff>
    </xdr:from>
    <xdr:ext cx="65" cy="172227"/>
    <xdr:sp macro="" textlink="">
      <xdr:nvSpPr>
        <xdr:cNvPr id="677" name="TextBox 676">
          <a:extLst>
            <a:ext uri="{FF2B5EF4-FFF2-40B4-BE49-F238E27FC236}">
              <a16:creationId xmlns:a16="http://schemas.microsoft.com/office/drawing/2014/main" id="{00000000-0008-0000-0000-000007000000}"/>
            </a:ext>
          </a:extLst>
        </xdr:cNvPr>
        <xdr:cNvSpPr txBox="1"/>
      </xdr:nvSpPr>
      <xdr:spPr>
        <a:xfrm>
          <a:off x="8267700" y="41749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130</xdr:row>
      <xdr:rowOff>0</xdr:rowOff>
    </xdr:from>
    <xdr:ext cx="65" cy="172227"/>
    <xdr:sp macro="" textlink="">
      <xdr:nvSpPr>
        <xdr:cNvPr id="678" name="TextBox 677">
          <a:extLst>
            <a:ext uri="{FF2B5EF4-FFF2-40B4-BE49-F238E27FC236}">
              <a16:creationId xmlns:a16="http://schemas.microsoft.com/office/drawing/2014/main" id="{00000000-0008-0000-0000-000007000000}"/>
            </a:ext>
          </a:extLst>
        </xdr:cNvPr>
        <xdr:cNvSpPr txBox="1"/>
      </xdr:nvSpPr>
      <xdr:spPr>
        <a:xfrm>
          <a:off x="8267700" y="41749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131</xdr:row>
      <xdr:rowOff>0</xdr:rowOff>
    </xdr:from>
    <xdr:ext cx="65" cy="172227"/>
    <xdr:sp macro="" textlink="">
      <xdr:nvSpPr>
        <xdr:cNvPr id="679" name="TextBox 678">
          <a:extLst>
            <a:ext uri="{FF2B5EF4-FFF2-40B4-BE49-F238E27FC236}">
              <a16:creationId xmlns:a16="http://schemas.microsoft.com/office/drawing/2014/main" id="{00000000-0008-0000-0000-000007000000}"/>
            </a:ext>
          </a:extLst>
        </xdr:cNvPr>
        <xdr:cNvSpPr txBox="1"/>
      </xdr:nvSpPr>
      <xdr:spPr>
        <a:xfrm>
          <a:off x="8267700" y="41932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131</xdr:row>
      <xdr:rowOff>0</xdr:rowOff>
    </xdr:from>
    <xdr:ext cx="65" cy="172227"/>
    <xdr:sp macro="" textlink="">
      <xdr:nvSpPr>
        <xdr:cNvPr id="680" name="TextBox 679">
          <a:extLst>
            <a:ext uri="{FF2B5EF4-FFF2-40B4-BE49-F238E27FC236}">
              <a16:creationId xmlns:a16="http://schemas.microsoft.com/office/drawing/2014/main" id="{00000000-0008-0000-0000-000007000000}"/>
            </a:ext>
          </a:extLst>
        </xdr:cNvPr>
        <xdr:cNvSpPr txBox="1"/>
      </xdr:nvSpPr>
      <xdr:spPr>
        <a:xfrm>
          <a:off x="8267700" y="41932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132</xdr:row>
      <xdr:rowOff>0</xdr:rowOff>
    </xdr:from>
    <xdr:ext cx="65" cy="172227"/>
    <xdr:sp macro="" textlink="">
      <xdr:nvSpPr>
        <xdr:cNvPr id="681" name="TextBox 680">
          <a:extLst>
            <a:ext uri="{FF2B5EF4-FFF2-40B4-BE49-F238E27FC236}">
              <a16:creationId xmlns:a16="http://schemas.microsoft.com/office/drawing/2014/main" id="{00000000-0008-0000-0000-000007000000}"/>
            </a:ext>
          </a:extLst>
        </xdr:cNvPr>
        <xdr:cNvSpPr txBox="1"/>
      </xdr:nvSpPr>
      <xdr:spPr>
        <a:xfrm>
          <a:off x="8267700" y="42115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132</xdr:row>
      <xdr:rowOff>0</xdr:rowOff>
    </xdr:from>
    <xdr:ext cx="65" cy="172227"/>
    <xdr:sp macro="" textlink="">
      <xdr:nvSpPr>
        <xdr:cNvPr id="682" name="TextBox 681">
          <a:extLst>
            <a:ext uri="{FF2B5EF4-FFF2-40B4-BE49-F238E27FC236}">
              <a16:creationId xmlns:a16="http://schemas.microsoft.com/office/drawing/2014/main" id="{00000000-0008-0000-0000-000007000000}"/>
            </a:ext>
          </a:extLst>
        </xdr:cNvPr>
        <xdr:cNvSpPr txBox="1"/>
      </xdr:nvSpPr>
      <xdr:spPr>
        <a:xfrm>
          <a:off x="8267700" y="42115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683" name="TextBox 682">
          <a:extLst>
            <a:ext uri="{FF2B5EF4-FFF2-40B4-BE49-F238E27FC236}">
              <a16:creationId xmlns:a16="http://schemas.microsoft.com/office/drawing/2014/main" id="{00000000-0008-0000-0000-000007000000}"/>
            </a:ext>
          </a:extLst>
        </xdr:cNvPr>
        <xdr:cNvSpPr txBox="1"/>
      </xdr:nvSpPr>
      <xdr:spPr>
        <a:xfrm>
          <a:off x="8267700" y="33474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684" name="TextBox 683">
          <a:extLst>
            <a:ext uri="{FF2B5EF4-FFF2-40B4-BE49-F238E27FC236}">
              <a16:creationId xmlns:a16="http://schemas.microsoft.com/office/drawing/2014/main" id="{00000000-0008-0000-0000-000007000000}"/>
            </a:ext>
          </a:extLst>
        </xdr:cNvPr>
        <xdr:cNvSpPr txBox="1"/>
      </xdr:nvSpPr>
      <xdr:spPr>
        <a:xfrm>
          <a:off x="8267700" y="33474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685" name="TextBox 684">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686" name="TextBox 685">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687" name="TextBox 686">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688" name="TextBox 687">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689" name="TextBox 688">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690" name="TextBox 689">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84</xdr:row>
      <xdr:rowOff>0</xdr:rowOff>
    </xdr:from>
    <xdr:ext cx="65" cy="172227"/>
    <xdr:sp macro="" textlink="">
      <xdr:nvSpPr>
        <xdr:cNvPr id="691" name="TextBox 690">
          <a:extLst>
            <a:ext uri="{FF2B5EF4-FFF2-40B4-BE49-F238E27FC236}">
              <a16:creationId xmlns:a16="http://schemas.microsoft.com/office/drawing/2014/main" id="{00000000-0008-0000-0000-000007000000}"/>
            </a:ext>
          </a:extLst>
        </xdr:cNvPr>
        <xdr:cNvSpPr txBox="1"/>
      </xdr:nvSpPr>
      <xdr:spPr>
        <a:xfrm>
          <a:off x="8267700" y="33276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84</xdr:row>
      <xdr:rowOff>0</xdr:rowOff>
    </xdr:from>
    <xdr:ext cx="65" cy="172227"/>
    <xdr:sp macro="" textlink="">
      <xdr:nvSpPr>
        <xdr:cNvPr id="692" name="TextBox 691">
          <a:extLst>
            <a:ext uri="{FF2B5EF4-FFF2-40B4-BE49-F238E27FC236}">
              <a16:creationId xmlns:a16="http://schemas.microsoft.com/office/drawing/2014/main" id="{00000000-0008-0000-0000-000007000000}"/>
            </a:ext>
          </a:extLst>
        </xdr:cNvPr>
        <xdr:cNvSpPr txBox="1"/>
      </xdr:nvSpPr>
      <xdr:spPr>
        <a:xfrm>
          <a:off x="8267700" y="33276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693" name="TextBox 692">
          <a:extLst>
            <a:ext uri="{FF2B5EF4-FFF2-40B4-BE49-F238E27FC236}">
              <a16:creationId xmlns:a16="http://schemas.microsoft.com/office/drawing/2014/main" id="{00000000-0008-0000-0000-000007000000}"/>
            </a:ext>
          </a:extLst>
        </xdr:cNvPr>
        <xdr:cNvSpPr txBox="1"/>
      </xdr:nvSpPr>
      <xdr:spPr>
        <a:xfrm>
          <a:off x="8267700" y="33474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694" name="TextBox 693">
          <a:extLst>
            <a:ext uri="{FF2B5EF4-FFF2-40B4-BE49-F238E27FC236}">
              <a16:creationId xmlns:a16="http://schemas.microsoft.com/office/drawing/2014/main" id="{00000000-0008-0000-0000-000007000000}"/>
            </a:ext>
          </a:extLst>
        </xdr:cNvPr>
        <xdr:cNvSpPr txBox="1"/>
      </xdr:nvSpPr>
      <xdr:spPr>
        <a:xfrm>
          <a:off x="8267700" y="33474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695" name="TextBox 694">
          <a:extLst>
            <a:ext uri="{FF2B5EF4-FFF2-40B4-BE49-F238E27FC236}">
              <a16:creationId xmlns:a16="http://schemas.microsoft.com/office/drawing/2014/main" id="{00000000-0008-0000-0000-000007000000}"/>
            </a:ext>
          </a:extLst>
        </xdr:cNvPr>
        <xdr:cNvSpPr txBox="1"/>
      </xdr:nvSpPr>
      <xdr:spPr>
        <a:xfrm>
          <a:off x="8267700" y="33474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696" name="TextBox 695">
          <a:extLst>
            <a:ext uri="{FF2B5EF4-FFF2-40B4-BE49-F238E27FC236}">
              <a16:creationId xmlns:a16="http://schemas.microsoft.com/office/drawing/2014/main" id="{00000000-0008-0000-0000-000007000000}"/>
            </a:ext>
          </a:extLst>
        </xdr:cNvPr>
        <xdr:cNvSpPr txBox="1"/>
      </xdr:nvSpPr>
      <xdr:spPr>
        <a:xfrm>
          <a:off x="8267700" y="33474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697" name="TextBox 696">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698" name="TextBox 697">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699" name="TextBox 698">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700" name="TextBox 699">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701" name="TextBox 700">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702" name="TextBox 701">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703" name="TextBox 702">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704" name="TextBox 703">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83</xdr:row>
      <xdr:rowOff>0</xdr:rowOff>
    </xdr:from>
    <xdr:ext cx="65" cy="172227"/>
    <xdr:sp macro="" textlink="">
      <xdr:nvSpPr>
        <xdr:cNvPr id="708" name="TextBox 707">
          <a:extLst>
            <a:ext uri="{FF2B5EF4-FFF2-40B4-BE49-F238E27FC236}">
              <a16:creationId xmlns:a16="http://schemas.microsoft.com/office/drawing/2014/main" id="{00000000-0008-0000-0000-000007000000}"/>
            </a:ext>
          </a:extLst>
        </xdr:cNvPr>
        <xdr:cNvSpPr txBox="1"/>
      </xdr:nvSpPr>
      <xdr:spPr>
        <a:xfrm>
          <a:off x="8267700" y="33078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83</xdr:row>
      <xdr:rowOff>0</xdr:rowOff>
    </xdr:from>
    <xdr:ext cx="65" cy="172227"/>
    <xdr:sp macro="" textlink="">
      <xdr:nvSpPr>
        <xdr:cNvPr id="712" name="TextBox 711">
          <a:extLst>
            <a:ext uri="{FF2B5EF4-FFF2-40B4-BE49-F238E27FC236}">
              <a16:creationId xmlns:a16="http://schemas.microsoft.com/office/drawing/2014/main" id="{00000000-0008-0000-0000-000007000000}"/>
            </a:ext>
          </a:extLst>
        </xdr:cNvPr>
        <xdr:cNvSpPr txBox="1"/>
      </xdr:nvSpPr>
      <xdr:spPr>
        <a:xfrm>
          <a:off x="8267700" y="33078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84</xdr:row>
      <xdr:rowOff>0</xdr:rowOff>
    </xdr:from>
    <xdr:ext cx="65" cy="172227"/>
    <xdr:sp macro="" textlink="">
      <xdr:nvSpPr>
        <xdr:cNvPr id="713" name="TextBox 712">
          <a:extLst>
            <a:ext uri="{FF2B5EF4-FFF2-40B4-BE49-F238E27FC236}">
              <a16:creationId xmlns:a16="http://schemas.microsoft.com/office/drawing/2014/main" id="{00000000-0008-0000-0000-000007000000}"/>
            </a:ext>
          </a:extLst>
        </xdr:cNvPr>
        <xdr:cNvSpPr txBox="1"/>
      </xdr:nvSpPr>
      <xdr:spPr>
        <a:xfrm>
          <a:off x="8267700" y="33276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84</xdr:row>
      <xdr:rowOff>0</xdr:rowOff>
    </xdr:from>
    <xdr:ext cx="65" cy="172227"/>
    <xdr:sp macro="" textlink="">
      <xdr:nvSpPr>
        <xdr:cNvPr id="714" name="TextBox 713">
          <a:extLst>
            <a:ext uri="{FF2B5EF4-FFF2-40B4-BE49-F238E27FC236}">
              <a16:creationId xmlns:a16="http://schemas.microsoft.com/office/drawing/2014/main" id="{00000000-0008-0000-0000-000007000000}"/>
            </a:ext>
          </a:extLst>
        </xdr:cNvPr>
        <xdr:cNvSpPr txBox="1"/>
      </xdr:nvSpPr>
      <xdr:spPr>
        <a:xfrm>
          <a:off x="8267700" y="33276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715" name="TextBox 714">
          <a:extLst>
            <a:ext uri="{FF2B5EF4-FFF2-40B4-BE49-F238E27FC236}">
              <a16:creationId xmlns:a16="http://schemas.microsoft.com/office/drawing/2014/main" id="{00000000-0008-0000-0000-000007000000}"/>
            </a:ext>
          </a:extLst>
        </xdr:cNvPr>
        <xdr:cNvSpPr txBox="1"/>
      </xdr:nvSpPr>
      <xdr:spPr>
        <a:xfrm>
          <a:off x="8267700" y="33474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716" name="TextBox 715">
          <a:extLst>
            <a:ext uri="{FF2B5EF4-FFF2-40B4-BE49-F238E27FC236}">
              <a16:creationId xmlns:a16="http://schemas.microsoft.com/office/drawing/2014/main" id="{00000000-0008-0000-0000-000007000000}"/>
            </a:ext>
          </a:extLst>
        </xdr:cNvPr>
        <xdr:cNvSpPr txBox="1"/>
      </xdr:nvSpPr>
      <xdr:spPr>
        <a:xfrm>
          <a:off x="8267700" y="33474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717" name="TextBox 716">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718" name="TextBox 717">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719" name="TextBox 718">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720" name="TextBox 719">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88</xdr:row>
      <xdr:rowOff>0</xdr:rowOff>
    </xdr:from>
    <xdr:ext cx="65" cy="172227"/>
    <xdr:sp macro="" textlink="">
      <xdr:nvSpPr>
        <xdr:cNvPr id="721" name="TextBox 720">
          <a:extLst>
            <a:ext uri="{FF2B5EF4-FFF2-40B4-BE49-F238E27FC236}">
              <a16:creationId xmlns:a16="http://schemas.microsoft.com/office/drawing/2014/main" id="{00000000-0008-0000-0000-000007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88</xdr:row>
      <xdr:rowOff>0</xdr:rowOff>
    </xdr:from>
    <xdr:ext cx="65" cy="172227"/>
    <xdr:sp macro="" textlink="">
      <xdr:nvSpPr>
        <xdr:cNvPr id="722" name="TextBox 721">
          <a:extLst>
            <a:ext uri="{FF2B5EF4-FFF2-40B4-BE49-F238E27FC236}">
              <a16:creationId xmlns:a16="http://schemas.microsoft.com/office/drawing/2014/main" id="{00000000-0008-0000-0000-000007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89</xdr:row>
      <xdr:rowOff>0</xdr:rowOff>
    </xdr:from>
    <xdr:ext cx="65" cy="172227"/>
    <xdr:sp macro="" textlink="">
      <xdr:nvSpPr>
        <xdr:cNvPr id="723" name="TextBox 722">
          <a:extLst>
            <a:ext uri="{FF2B5EF4-FFF2-40B4-BE49-F238E27FC236}">
              <a16:creationId xmlns:a16="http://schemas.microsoft.com/office/drawing/2014/main" id="{00000000-0008-0000-0000-000007000000}"/>
            </a:ext>
          </a:extLst>
        </xdr:cNvPr>
        <xdr:cNvSpPr txBox="1"/>
      </xdr:nvSpPr>
      <xdr:spPr>
        <a:xfrm>
          <a:off x="8267700" y="3425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89</xdr:row>
      <xdr:rowOff>0</xdr:rowOff>
    </xdr:from>
    <xdr:ext cx="65" cy="172227"/>
    <xdr:sp macro="" textlink="">
      <xdr:nvSpPr>
        <xdr:cNvPr id="724" name="TextBox 723">
          <a:extLst>
            <a:ext uri="{FF2B5EF4-FFF2-40B4-BE49-F238E27FC236}">
              <a16:creationId xmlns:a16="http://schemas.microsoft.com/office/drawing/2014/main" id="{00000000-0008-0000-0000-000007000000}"/>
            </a:ext>
          </a:extLst>
        </xdr:cNvPr>
        <xdr:cNvSpPr txBox="1"/>
      </xdr:nvSpPr>
      <xdr:spPr>
        <a:xfrm>
          <a:off x="8267700" y="3425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90</xdr:row>
      <xdr:rowOff>0</xdr:rowOff>
    </xdr:from>
    <xdr:ext cx="65" cy="172227"/>
    <xdr:sp macro="" textlink="">
      <xdr:nvSpPr>
        <xdr:cNvPr id="725" name="TextBox 724">
          <a:extLst>
            <a:ext uri="{FF2B5EF4-FFF2-40B4-BE49-F238E27FC236}">
              <a16:creationId xmlns:a16="http://schemas.microsoft.com/office/drawing/2014/main" id="{00000000-0008-0000-0000-000007000000}"/>
            </a:ext>
          </a:extLst>
        </xdr:cNvPr>
        <xdr:cNvSpPr txBox="1"/>
      </xdr:nvSpPr>
      <xdr:spPr>
        <a:xfrm>
          <a:off x="8267700" y="34434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90</xdr:row>
      <xdr:rowOff>0</xdr:rowOff>
    </xdr:from>
    <xdr:ext cx="65" cy="172227"/>
    <xdr:sp macro="" textlink="">
      <xdr:nvSpPr>
        <xdr:cNvPr id="726" name="TextBox 725">
          <a:extLst>
            <a:ext uri="{FF2B5EF4-FFF2-40B4-BE49-F238E27FC236}">
              <a16:creationId xmlns:a16="http://schemas.microsoft.com/office/drawing/2014/main" id="{00000000-0008-0000-0000-000007000000}"/>
            </a:ext>
          </a:extLst>
        </xdr:cNvPr>
        <xdr:cNvSpPr txBox="1"/>
      </xdr:nvSpPr>
      <xdr:spPr>
        <a:xfrm>
          <a:off x="8267700" y="34434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91</xdr:row>
      <xdr:rowOff>0</xdr:rowOff>
    </xdr:from>
    <xdr:ext cx="65" cy="172227"/>
    <xdr:sp macro="" textlink="">
      <xdr:nvSpPr>
        <xdr:cNvPr id="727" name="TextBox 726">
          <a:extLst>
            <a:ext uri="{FF2B5EF4-FFF2-40B4-BE49-F238E27FC236}">
              <a16:creationId xmlns:a16="http://schemas.microsoft.com/office/drawing/2014/main" id="{00000000-0008-0000-0000-000007000000}"/>
            </a:ext>
          </a:extLst>
        </xdr:cNvPr>
        <xdr:cNvSpPr txBox="1"/>
      </xdr:nvSpPr>
      <xdr:spPr>
        <a:xfrm>
          <a:off x="8267700" y="34617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91</xdr:row>
      <xdr:rowOff>0</xdr:rowOff>
    </xdr:from>
    <xdr:ext cx="65" cy="172227"/>
    <xdr:sp macro="" textlink="">
      <xdr:nvSpPr>
        <xdr:cNvPr id="728" name="TextBox 727">
          <a:extLst>
            <a:ext uri="{FF2B5EF4-FFF2-40B4-BE49-F238E27FC236}">
              <a16:creationId xmlns:a16="http://schemas.microsoft.com/office/drawing/2014/main" id="{00000000-0008-0000-0000-000007000000}"/>
            </a:ext>
          </a:extLst>
        </xdr:cNvPr>
        <xdr:cNvSpPr txBox="1"/>
      </xdr:nvSpPr>
      <xdr:spPr>
        <a:xfrm>
          <a:off x="8267700" y="34617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92</xdr:row>
      <xdr:rowOff>0</xdr:rowOff>
    </xdr:from>
    <xdr:ext cx="65" cy="172227"/>
    <xdr:sp macro="" textlink="">
      <xdr:nvSpPr>
        <xdr:cNvPr id="729" name="TextBox 728">
          <a:extLst>
            <a:ext uri="{FF2B5EF4-FFF2-40B4-BE49-F238E27FC236}">
              <a16:creationId xmlns:a16="http://schemas.microsoft.com/office/drawing/2014/main" id="{00000000-0008-0000-0000-000007000000}"/>
            </a:ext>
          </a:extLst>
        </xdr:cNvPr>
        <xdr:cNvSpPr txBox="1"/>
      </xdr:nvSpPr>
      <xdr:spPr>
        <a:xfrm>
          <a:off x="8267700" y="34800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92</xdr:row>
      <xdr:rowOff>0</xdr:rowOff>
    </xdr:from>
    <xdr:ext cx="65" cy="172227"/>
    <xdr:sp macro="" textlink="">
      <xdr:nvSpPr>
        <xdr:cNvPr id="730" name="TextBox 729">
          <a:extLst>
            <a:ext uri="{FF2B5EF4-FFF2-40B4-BE49-F238E27FC236}">
              <a16:creationId xmlns:a16="http://schemas.microsoft.com/office/drawing/2014/main" id="{00000000-0008-0000-0000-000007000000}"/>
            </a:ext>
          </a:extLst>
        </xdr:cNvPr>
        <xdr:cNvSpPr txBox="1"/>
      </xdr:nvSpPr>
      <xdr:spPr>
        <a:xfrm>
          <a:off x="8267700" y="34800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98</xdr:row>
      <xdr:rowOff>0</xdr:rowOff>
    </xdr:from>
    <xdr:ext cx="65" cy="172227"/>
    <xdr:sp macro="" textlink="">
      <xdr:nvSpPr>
        <xdr:cNvPr id="731" name="TextBox 730">
          <a:extLst>
            <a:ext uri="{FF2B5EF4-FFF2-40B4-BE49-F238E27FC236}">
              <a16:creationId xmlns:a16="http://schemas.microsoft.com/office/drawing/2014/main" id="{00000000-0008-0000-0000-000007000000}"/>
            </a:ext>
          </a:extLst>
        </xdr:cNvPr>
        <xdr:cNvSpPr txBox="1"/>
      </xdr:nvSpPr>
      <xdr:spPr>
        <a:xfrm>
          <a:off x="8267700" y="35897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98</xdr:row>
      <xdr:rowOff>0</xdr:rowOff>
    </xdr:from>
    <xdr:ext cx="65" cy="172227"/>
    <xdr:sp macro="" textlink="">
      <xdr:nvSpPr>
        <xdr:cNvPr id="732" name="TextBox 731">
          <a:extLst>
            <a:ext uri="{FF2B5EF4-FFF2-40B4-BE49-F238E27FC236}">
              <a16:creationId xmlns:a16="http://schemas.microsoft.com/office/drawing/2014/main" id="{00000000-0008-0000-0000-000007000000}"/>
            </a:ext>
          </a:extLst>
        </xdr:cNvPr>
        <xdr:cNvSpPr txBox="1"/>
      </xdr:nvSpPr>
      <xdr:spPr>
        <a:xfrm>
          <a:off x="8267700" y="35897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99</xdr:row>
      <xdr:rowOff>0</xdr:rowOff>
    </xdr:from>
    <xdr:ext cx="65" cy="172227"/>
    <xdr:sp macro="" textlink="">
      <xdr:nvSpPr>
        <xdr:cNvPr id="733" name="TextBox 732">
          <a:extLst>
            <a:ext uri="{FF2B5EF4-FFF2-40B4-BE49-F238E27FC236}">
              <a16:creationId xmlns:a16="http://schemas.microsoft.com/office/drawing/2014/main" id="{00000000-0008-0000-0000-000007000000}"/>
            </a:ext>
          </a:extLst>
        </xdr:cNvPr>
        <xdr:cNvSpPr txBox="1"/>
      </xdr:nvSpPr>
      <xdr:spPr>
        <a:xfrm>
          <a:off x="8267700" y="36080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99</xdr:row>
      <xdr:rowOff>0</xdr:rowOff>
    </xdr:from>
    <xdr:ext cx="65" cy="172227"/>
    <xdr:sp macro="" textlink="">
      <xdr:nvSpPr>
        <xdr:cNvPr id="734" name="TextBox 733">
          <a:extLst>
            <a:ext uri="{FF2B5EF4-FFF2-40B4-BE49-F238E27FC236}">
              <a16:creationId xmlns:a16="http://schemas.microsoft.com/office/drawing/2014/main" id="{00000000-0008-0000-0000-000007000000}"/>
            </a:ext>
          </a:extLst>
        </xdr:cNvPr>
        <xdr:cNvSpPr txBox="1"/>
      </xdr:nvSpPr>
      <xdr:spPr>
        <a:xfrm>
          <a:off x="8267700" y="36080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100</xdr:row>
      <xdr:rowOff>0</xdr:rowOff>
    </xdr:from>
    <xdr:ext cx="65" cy="172227"/>
    <xdr:sp macro="" textlink="">
      <xdr:nvSpPr>
        <xdr:cNvPr id="735" name="TextBox 734">
          <a:extLst>
            <a:ext uri="{FF2B5EF4-FFF2-40B4-BE49-F238E27FC236}">
              <a16:creationId xmlns:a16="http://schemas.microsoft.com/office/drawing/2014/main" id="{00000000-0008-0000-0000-000007000000}"/>
            </a:ext>
          </a:extLst>
        </xdr:cNvPr>
        <xdr:cNvSpPr txBox="1"/>
      </xdr:nvSpPr>
      <xdr:spPr>
        <a:xfrm>
          <a:off x="8267700" y="36263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100</xdr:row>
      <xdr:rowOff>0</xdr:rowOff>
    </xdr:from>
    <xdr:ext cx="65" cy="172227"/>
    <xdr:sp macro="" textlink="">
      <xdr:nvSpPr>
        <xdr:cNvPr id="736" name="TextBox 735">
          <a:extLst>
            <a:ext uri="{FF2B5EF4-FFF2-40B4-BE49-F238E27FC236}">
              <a16:creationId xmlns:a16="http://schemas.microsoft.com/office/drawing/2014/main" id="{00000000-0008-0000-0000-000007000000}"/>
            </a:ext>
          </a:extLst>
        </xdr:cNvPr>
        <xdr:cNvSpPr txBox="1"/>
      </xdr:nvSpPr>
      <xdr:spPr>
        <a:xfrm>
          <a:off x="8267700" y="36263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101</xdr:row>
      <xdr:rowOff>0</xdr:rowOff>
    </xdr:from>
    <xdr:ext cx="65" cy="172227"/>
    <xdr:sp macro="" textlink="">
      <xdr:nvSpPr>
        <xdr:cNvPr id="737" name="TextBox 736">
          <a:extLst>
            <a:ext uri="{FF2B5EF4-FFF2-40B4-BE49-F238E27FC236}">
              <a16:creationId xmlns:a16="http://schemas.microsoft.com/office/drawing/2014/main" id="{00000000-0008-0000-0000-000007000000}"/>
            </a:ext>
          </a:extLst>
        </xdr:cNvPr>
        <xdr:cNvSpPr txBox="1"/>
      </xdr:nvSpPr>
      <xdr:spPr>
        <a:xfrm>
          <a:off x="8267700" y="36446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101</xdr:row>
      <xdr:rowOff>0</xdr:rowOff>
    </xdr:from>
    <xdr:ext cx="65" cy="172227"/>
    <xdr:sp macro="" textlink="">
      <xdr:nvSpPr>
        <xdr:cNvPr id="738" name="TextBox 737">
          <a:extLst>
            <a:ext uri="{FF2B5EF4-FFF2-40B4-BE49-F238E27FC236}">
              <a16:creationId xmlns:a16="http://schemas.microsoft.com/office/drawing/2014/main" id="{00000000-0008-0000-0000-000007000000}"/>
            </a:ext>
          </a:extLst>
        </xdr:cNvPr>
        <xdr:cNvSpPr txBox="1"/>
      </xdr:nvSpPr>
      <xdr:spPr>
        <a:xfrm>
          <a:off x="8267700" y="36446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102</xdr:row>
      <xdr:rowOff>0</xdr:rowOff>
    </xdr:from>
    <xdr:ext cx="65" cy="172227"/>
    <xdr:sp macro="" textlink="">
      <xdr:nvSpPr>
        <xdr:cNvPr id="739" name="TextBox 738">
          <a:extLst>
            <a:ext uri="{FF2B5EF4-FFF2-40B4-BE49-F238E27FC236}">
              <a16:creationId xmlns:a16="http://schemas.microsoft.com/office/drawing/2014/main" id="{00000000-0008-0000-0000-000007000000}"/>
            </a:ext>
          </a:extLst>
        </xdr:cNvPr>
        <xdr:cNvSpPr txBox="1"/>
      </xdr:nvSpPr>
      <xdr:spPr>
        <a:xfrm>
          <a:off x="8267700" y="36629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102</xdr:row>
      <xdr:rowOff>0</xdr:rowOff>
    </xdr:from>
    <xdr:ext cx="65" cy="172227"/>
    <xdr:sp macro="" textlink="">
      <xdr:nvSpPr>
        <xdr:cNvPr id="740" name="TextBox 739">
          <a:extLst>
            <a:ext uri="{FF2B5EF4-FFF2-40B4-BE49-F238E27FC236}">
              <a16:creationId xmlns:a16="http://schemas.microsoft.com/office/drawing/2014/main" id="{00000000-0008-0000-0000-000007000000}"/>
            </a:ext>
          </a:extLst>
        </xdr:cNvPr>
        <xdr:cNvSpPr txBox="1"/>
      </xdr:nvSpPr>
      <xdr:spPr>
        <a:xfrm>
          <a:off x="8267700" y="36629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108</xdr:row>
      <xdr:rowOff>0</xdr:rowOff>
    </xdr:from>
    <xdr:ext cx="65" cy="172227"/>
    <xdr:sp macro="" textlink="">
      <xdr:nvSpPr>
        <xdr:cNvPr id="741" name="TextBox 740">
          <a:extLst>
            <a:ext uri="{FF2B5EF4-FFF2-40B4-BE49-F238E27FC236}">
              <a16:creationId xmlns:a16="http://schemas.microsoft.com/office/drawing/2014/main" id="{00000000-0008-0000-0000-000007000000}"/>
            </a:ext>
          </a:extLst>
        </xdr:cNvPr>
        <xdr:cNvSpPr txBox="1"/>
      </xdr:nvSpPr>
      <xdr:spPr>
        <a:xfrm>
          <a:off x="8267700" y="3772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108</xdr:row>
      <xdr:rowOff>0</xdr:rowOff>
    </xdr:from>
    <xdr:ext cx="65" cy="172227"/>
    <xdr:sp macro="" textlink="">
      <xdr:nvSpPr>
        <xdr:cNvPr id="742" name="TextBox 741">
          <a:extLst>
            <a:ext uri="{FF2B5EF4-FFF2-40B4-BE49-F238E27FC236}">
              <a16:creationId xmlns:a16="http://schemas.microsoft.com/office/drawing/2014/main" id="{00000000-0008-0000-0000-000007000000}"/>
            </a:ext>
          </a:extLst>
        </xdr:cNvPr>
        <xdr:cNvSpPr txBox="1"/>
      </xdr:nvSpPr>
      <xdr:spPr>
        <a:xfrm>
          <a:off x="8267700" y="3772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109</xdr:row>
      <xdr:rowOff>0</xdr:rowOff>
    </xdr:from>
    <xdr:ext cx="65" cy="172227"/>
    <xdr:sp macro="" textlink="">
      <xdr:nvSpPr>
        <xdr:cNvPr id="743" name="TextBox 742">
          <a:extLst>
            <a:ext uri="{FF2B5EF4-FFF2-40B4-BE49-F238E27FC236}">
              <a16:creationId xmlns:a16="http://schemas.microsoft.com/office/drawing/2014/main" id="{00000000-0008-0000-0000-000007000000}"/>
            </a:ext>
          </a:extLst>
        </xdr:cNvPr>
        <xdr:cNvSpPr txBox="1"/>
      </xdr:nvSpPr>
      <xdr:spPr>
        <a:xfrm>
          <a:off x="8267700" y="37909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109</xdr:row>
      <xdr:rowOff>0</xdr:rowOff>
    </xdr:from>
    <xdr:ext cx="65" cy="172227"/>
    <xdr:sp macro="" textlink="">
      <xdr:nvSpPr>
        <xdr:cNvPr id="744" name="TextBox 743">
          <a:extLst>
            <a:ext uri="{FF2B5EF4-FFF2-40B4-BE49-F238E27FC236}">
              <a16:creationId xmlns:a16="http://schemas.microsoft.com/office/drawing/2014/main" id="{00000000-0008-0000-0000-000007000000}"/>
            </a:ext>
          </a:extLst>
        </xdr:cNvPr>
        <xdr:cNvSpPr txBox="1"/>
      </xdr:nvSpPr>
      <xdr:spPr>
        <a:xfrm>
          <a:off x="8267700" y="37909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110</xdr:row>
      <xdr:rowOff>0</xdr:rowOff>
    </xdr:from>
    <xdr:ext cx="65" cy="172227"/>
    <xdr:sp macro="" textlink="">
      <xdr:nvSpPr>
        <xdr:cNvPr id="745" name="TextBox 744">
          <a:extLst>
            <a:ext uri="{FF2B5EF4-FFF2-40B4-BE49-F238E27FC236}">
              <a16:creationId xmlns:a16="http://schemas.microsoft.com/office/drawing/2014/main" id="{00000000-0008-0000-0000-000007000000}"/>
            </a:ext>
          </a:extLst>
        </xdr:cNvPr>
        <xdr:cNvSpPr txBox="1"/>
      </xdr:nvSpPr>
      <xdr:spPr>
        <a:xfrm>
          <a:off x="8267700" y="3809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110</xdr:row>
      <xdr:rowOff>0</xdr:rowOff>
    </xdr:from>
    <xdr:ext cx="65" cy="172227"/>
    <xdr:sp macro="" textlink="">
      <xdr:nvSpPr>
        <xdr:cNvPr id="746" name="TextBox 745">
          <a:extLst>
            <a:ext uri="{FF2B5EF4-FFF2-40B4-BE49-F238E27FC236}">
              <a16:creationId xmlns:a16="http://schemas.microsoft.com/office/drawing/2014/main" id="{00000000-0008-0000-0000-000007000000}"/>
            </a:ext>
          </a:extLst>
        </xdr:cNvPr>
        <xdr:cNvSpPr txBox="1"/>
      </xdr:nvSpPr>
      <xdr:spPr>
        <a:xfrm>
          <a:off x="8267700" y="3809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111</xdr:row>
      <xdr:rowOff>0</xdr:rowOff>
    </xdr:from>
    <xdr:ext cx="65" cy="172227"/>
    <xdr:sp macro="" textlink="">
      <xdr:nvSpPr>
        <xdr:cNvPr id="747" name="TextBox 746">
          <a:extLst>
            <a:ext uri="{FF2B5EF4-FFF2-40B4-BE49-F238E27FC236}">
              <a16:creationId xmlns:a16="http://schemas.microsoft.com/office/drawing/2014/main" id="{00000000-0008-0000-0000-000007000000}"/>
            </a:ext>
          </a:extLst>
        </xdr:cNvPr>
        <xdr:cNvSpPr txBox="1"/>
      </xdr:nvSpPr>
      <xdr:spPr>
        <a:xfrm>
          <a:off x="8267700" y="3827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111</xdr:row>
      <xdr:rowOff>0</xdr:rowOff>
    </xdr:from>
    <xdr:ext cx="65" cy="172227"/>
    <xdr:sp macro="" textlink="">
      <xdr:nvSpPr>
        <xdr:cNvPr id="748" name="TextBox 747">
          <a:extLst>
            <a:ext uri="{FF2B5EF4-FFF2-40B4-BE49-F238E27FC236}">
              <a16:creationId xmlns:a16="http://schemas.microsoft.com/office/drawing/2014/main" id="{00000000-0008-0000-0000-000007000000}"/>
            </a:ext>
          </a:extLst>
        </xdr:cNvPr>
        <xdr:cNvSpPr txBox="1"/>
      </xdr:nvSpPr>
      <xdr:spPr>
        <a:xfrm>
          <a:off x="8267700" y="3827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112</xdr:row>
      <xdr:rowOff>0</xdr:rowOff>
    </xdr:from>
    <xdr:ext cx="65" cy="172227"/>
    <xdr:sp macro="" textlink="">
      <xdr:nvSpPr>
        <xdr:cNvPr id="749" name="TextBox 748">
          <a:extLst>
            <a:ext uri="{FF2B5EF4-FFF2-40B4-BE49-F238E27FC236}">
              <a16:creationId xmlns:a16="http://schemas.microsoft.com/office/drawing/2014/main" id="{00000000-0008-0000-0000-000007000000}"/>
            </a:ext>
          </a:extLst>
        </xdr:cNvPr>
        <xdr:cNvSpPr txBox="1"/>
      </xdr:nvSpPr>
      <xdr:spPr>
        <a:xfrm>
          <a:off x="8267700" y="38458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112</xdr:row>
      <xdr:rowOff>0</xdr:rowOff>
    </xdr:from>
    <xdr:ext cx="65" cy="172227"/>
    <xdr:sp macro="" textlink="">
      <xdr:nvSpPr>
        <xdr:cNvPr id="750" name="TextBox 749">
          <a:extLst>
            <a:ext uri="{FF2B5EF4-FFF2-40B4-BE49-F238E27FC236}">
              <a16:creationId xmlns:a16="http://schemas.microsoft.com/office/drawing/2014/main" id="{00000000-0008-0000-0000-000007000000}"/>
            </a:ext>
          </a:extLst>
        </xdr:cNvPr>
        <xdr:cNvSpPr txBox="1"/>
      </xdr:nvSpPr>
      <xdr:spPr>
        <a:xfrm>
          <a:off x="8267700" y="38458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118</xdr:row>
      <xdr:rowOff>0</xdr:rowOff>
    </xdr:from>
    <xdr:ext cx="65" cy="172227"/>
    <xdr:sp macro="" textlink="">
      <xdr:nvSpPr>
        <xdr:cNvPr id="751" name="TextBox 750">
          <a:extLst>
            <a:ext uri="{FF2B5EF4-FFF2-40B4-BE49-F238E27FC236}">
              <a16:creationId xmlns:a16="http://schemas.microsoft.com/office/drawing/2014/main" id="{00000000-0008-0000-0000-000007000000}"/>
            </a:ext>
          </a:extLst>
        </xdr:cNvPr>
        <xdr:cNvSpPr txBox="1"/>
      </xdr:nvSpPr>
      <xdr:spPr>
        <a:xfrm>
          <a:off x="8267700" y="39555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118</xdr:row>
      <xdr:rowOff>0</xdr:rowOff>
    </xdr:from>
    <xdr:ext cx="65" cy="172227"/>
    <xdr:sp macro="" textlink="">
      <xdr:nvSpPr>
        <xdr:cNvPr id="752" name="TextBox 751">
          <a:extLst>
            <a:ext uri="{FF2B5EF4-FFF2-40B4-BE49-F238E27FC236}">
              <a16:creationId xmlns:a16="http://schemas.microsoft.com/office/drawing/2014/main" id="{00000000-0008-0000-0000-000007000000}"/>
            </a:ext>
          </a:extLst>
        </xdr:cNvPr>
        <xdr:cNvSpPr txBox="1"/>
      </xdr:nvSpPr>
      <xdr:spPr>
        <a:xfrm>
          <a:off x="8267700" y="39555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119</xdr:row>
      <xdr:rowOff>0</xdr:rowOff>
    </xdr:from>
    <xdr:ext cx="65" cy="172227"/>
    <xdr:sp macro="" textlink="">
      <xdr:nvSpPr>
        <xdr:cNvPr id="753" name="TextBox 752">
          <a:extLst>
            <a:ext uri="{FF2B5EF4-FFF2-40B4-BE49-F238E27FC236}">
              <a16:creationId xmlns:a16="http://schemas.microsoft.com/office/drawing/2014/main" id="{00000000-0008-0000-0000-000007000000}"/>
            </a:ext>
          </a:extLst>
        </xdr:cNvPr>
        <xdr:cNvSpPr txBox="1"/>
      </xdr:nvSpPr>
      <xdr:spPr>
        <a:xfrm>
          <a:off x="8267700" y="39738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119</xdr:row>
      <xdr:rowOff>0</xdr:rowOff>
    </xdr:from>
    <xdr:ext cx="65" cy="172227"/>
    <xdr:sp macro="" textlink="">
      <xdr:nvSpPr>
        <xdr:cNvPr id="754" name="TextBox 753">
          <a:extLst>
            <a:ext uri="{FF2B5EF4-FFF2-40B4-BE49-F238E27FC236}">
              <a16:creationId xmlns:a16="http://schemas.microsoft.com/office/drawing/2014/main" id="{00000000-0008-0000-0000-000007000000}"/>
            </a:ext>
          </a:extLst>
        </xdr:cNvPr>
        <xdr:cNvSpPr txBox="1"/>
      </xdr:nvSpPr>
      <xdr:spPr>
        <a:xfrm>
          <a:off x="8267700" y="39738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120</xdr:row>
      <xdr:rowOff>0</xdr:rowOff>
    </xdr:from>
    <xdr:ext cx="65" cy="172227"/>
    <xdr:sp macro="" textlink="">
      <xdr:nvSpPr>
        <xdr:cNvPr id="755" name="TextBox 754">
          <a:extLst>
            <a:ext uri="{FF2B5EF4-FFF2-40B4-BE49-F238E27FC236}">
              <a16:creationId xmlns:a16="http://schemas.microsoft.com/office/drawing/2014/main" id="{00000000-0008-0000-0000-000007000000}"/>
            </a:ext>
          </a:extLst>
        </xdr:cNvPr>
        <xdr:cNvSpPr txBox="1"/>
      </xdr:nvSpPr>
      <xdr:spPr>
        <a:xfrm>
          <a:off x="8267700" y="39921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120</xdr:row>
      <xdr:rowOff>0</xdr:rowOff>
    </xdr:from>
    <xdr:ext cx="65" cy="172227"/>
    <xdr:sp macro="" textlink="">
      <xdr:nvSpPr>
        <xdr:cNvPr id="756" name="TextBox 755">
          <a:extLst>
            <a:ext uri="{FF2B5EF4-FFF2-40B4-BE49-F238E27FC236}">
              <a16:creationId xmlns:a16="http://schemas.microsoft.com/office/drawing/2014/main" id="{00000000-0008-0000-0000-000007000000}"/>
            </a:ext>
          </a:extLst>
        </xdr:cNvPr>
        <xdr:cNvSpPr txBox="1"/>
      </xdr:nvSpPr>
      <xdr:spPr>
        <a:xfrm>
          <a:off x="8267700" y="39921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121</xdr:row>
      <xdr:rowOff>0</xdr:rowOff>
    </xdr:from>
    <xdr:ext cx="65" cy="172227"/>
    <xdr:sp macro="" textlink="">
      <xdr:nvSpPr>
        <xdr:cNvPr id="757" name="TextBox 756">
          <a:extLst>
            <a:ext uri="{FF2B5EF4-FFF2-40B4-BE49-F238E27FC236}">
              <a16:creationId xmlns:a16="http://schemas.microsoft.com/office/drawing/2014/main" id="{00000000-0008-0000-0000-000007000000}"/>
            </a:ext>
          </a:extLst>
        </xdr:cNvPr>
        <xdr:cNvSpPr txBox="1"/>
      </xdr:nvSpPr>
      <xdr:spPr>
        <a:xfrm>
          <a:off x="8267700" y="40104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121</xdr:row>
      <xdr:rowOff>0</xdr:rowOff>
    </xdr:from>
    <xdr:ext cx="65" cy="172227"/>
    <xdr:sp macro="" textlink="">
      <xdr:nvSpPr>
        <xdr:cNvPr id="758" name="TextBox 757">
          <a:extLst>
            <a:ext uri="{FF2B5EF4-FFF2-40B4-BE49-F238E27FC236}">
              <a16:creationId xmlns:a16="http://schemas.microsoft.com/office/drawing/2014/main" id="{00000000-0008-0000-0000-000007000000}"/>
            </a:ext>
          </a:extLst>
        </xdr:cNvPr>
        <xdr:cNvSpPr txBox="1"/>
      </xdr:nvSpPr>
      <xdr:spPr>
        <a:xfrm>
          <a:off x="8267700" y="40104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122</xdr:row>
      <xdr:rowOff>0</xdr:rowOff>
    </xdr:from>
    <xdr:ext cx="65" cy="172227"/>
    <xdr:sp macro="" textlink="">
      <xdr:nvSpPr>
        <xdr:cNvPr id="759" name="TextBox 758">
          <a:extLst>
            <a:ext uri="{FF2B5EF4-FFF2-40B4-BE49-F238E27FC236}">
              <a16:creationId xmlns:a16="http://schemas.microsoft.com/office/drawing/2014/main" id="{00000000-0008-0000-0000-000007000000}"/>
            </a:ext>
          </a:extLst>
        </xdr:cNvPr>
        <xdr:cNvSpPr txBox="1"/>
      </xdr:nvSpPr>
      <xdr:spPr>
        <a:xfrm>
          <a:off x="8267700" y="40286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122</xdr:row>
      <xdr:rowOff>0</xdr:rowOff>
    </xdr:from>
    <xdr:ext cx="65" cy="172227"/>
    <xdr:sp macro="" textlink="">
      <xdr:nvSpPr>
        <xdr:cNvPr id="760" name="TextBox 759">
          <a:extLst>
            <a:ext uri="{FF2B5EF4-FFF2-40B4-BE49-F238E27FC236}">
              <a16:creationId xmlns:a16="http://schemas.microsoft.com/office/drawing/2014/main" id="{00000000-0008-0000-0000-000007000000}"/>
            </a:ext>
          </a:extLst>
        </xdr:cNvPr>
        <xdr:cNvSpPr txBox="1"/>
      </xdr:nvSpPr>
      <xdr:spPr>
        <a:xfrm>
          <a:off x="8267700" y="40286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128</xdr:row>
      <xdr:rowOff>0</xdr:rowOff>
    </xdr:from>
    <xdr:ext cx="65" cy="172227"/>
    <xdr:sp macro="" textlink="">
      <xdr:nvSpPr>
        <xdr:cNvPr id="761" name="TextBox 760">
          <a:extLst>
            <a:ext uri="{FF2B5EF4-FFF2-40B4-BE49-F238E27FC236}">
              <a16:creationId xmlns:a16="http://schemas.microsoft.com/office/drawing/2014/main" id="{00000000-0008-0000-0000-000007000000}"/>
            </a:ext>
          </a:extLst>
        </xdr:cNvPr>
        <xdr:cNvSpPr txBox="1"/>
      </xdr:nvSpPr>
      <xdr:spPr>
        <a:xfrm>
          <a:off x="8267700" y="41384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128</xdr:row>
      <xdr:rowOff>0</xdr:rowOff>
    </xdr:from>
    <xdr:ext cx="65" cy="172227"/>
    <xdr:sp macro="" textlink="">
      <xdr:nvSpPr>
        <xdr:cNvPr id="762" name="TextBox 761">
          <a:extLst>
            <a:ext uri="{FF2B5EF4-FFF2-40B4-BE49-F238E27FC236}">
              <a16:creationId xmlns:a16="http://schemas.microsoft.com/office/drawing/2014/main" id="{00000000-0008-0000-0000-000007000000}"/>
            </a:ext>
          </a:extLst>
        </xdr:cNvPr>
        <xdr:cNvSpPr txBox="1"/>
      </xdr:nvSpPr>
      <xdr:spPr>
        <a:xfrm>
          <a:off x="8267700" y="41384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129</xdr:row>
      <xdr:rowOff>0</xdr:rowOff>
    </xdr:from>
    <xdr:ext cx="65" cy="172227"/>
    <xdr:sp macro="" textlink="">
      <xdr:nvSpPr>
        <xdr:cNvPr id="763" name="TextBox 762">
          <a:extLst>
            <a:ext uri="{FF2B5EF4-FFF2-40B4-BE49-F238E27FC236}">
              <a16:creationId xmlns:a16="http://schemas.microsoft.com/office/drawing/2014/main" id="{00000000-0008-0000-0000-000007000000}"/>
            </a:ext>
          </a:extLst>
        </xdr:cNvPr>
        <xdr:cNvSpPr txBox="1"/>
      </xdr:nvSpPr>
      <xdr:spPr>
        <a:xfrm>
          <a:off x="8267700" y="4156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129</xdr:row>
      <xdr:rowOff>0</xdr:rowOff>
    </xdr:from>
    <xdr:ext cx="65" cy="172227"/>
    <xdr:sp macro="" textlink="">
      <xdr:nvSpPr>
        <xdr:cNvPr id="764" name="TextBox 763">
          <a:extLst>
            <a:ext uri="{FF2B5EF4-FFF2-40B4-BE49-F238E27FC236}">
              <a16:creationId xmlns:a16="http://schemas.microsoft.com/office/drawing/2014/main" id="{00000000-0008-0000-0000-000007000000}"/>
            </a:ext>
          </a:extLst>
        </xdr:cNvPr>
        <xdr:cNvSpPr txBox="1"/>
      </xdr:nvSpPr>
      <xdr:spPr>
        <a:xfrm>
          <a:off x="8267700" y="4156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130</xdr:row>
      <xdr:rowOff>0</xdr:rowOff>
    </xdr:from>
    <xdr:ext cx="65" cy="172227"/>
    <xdr:sp macro="" textlink="">
      <xdr:nvSpPr>
        <xdr:cNvPr id="765" name="TextBox 764">
          <a:extLst>
            <a:ext uri="{FF2B5EF4-FFF2-40B4-BE49-F238E27FC236}">
              <a16:creationId xmlns:a16="http://schemas.microsoft.com/office/drawing/2014/main" id="{00000000-0008-0000-0000-000007000000}"/>
            </a:ext>
          </a:extLst>
        </xdr:cNvPr>
        <xdr:cNvSpPr txBox="1"/>
      </xdr:nvSpPr>
      <xdr:spPr>
        <a:xfrm>
          <a:off x="8267700" y="41749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130</xdr:row>
      <xdr:rowOff>0</xdr:rowOff>
    </xdr:from>
    <xdr:ext cx="65" cy="172227"/>
    <xdr:sp macro="" textlink="">
      <xdr:nvSpPr>
        <xdr:cNvPr id="766" name="TextBox 765">
          <a:extLst>
            <a:ext uri="{FF2B5EF4-FFF2-40B4-BE49-F238E27FC236}">
              <a16:creationId xmlns:a16="http://schemas.microsoft.com/office/drawing/2014/main" id="{00000000-0008-0000-0000-000007000000}"/>
            </a:ext>
          </a:extLst>
        </xdr:cNvPr>
        <xdr:cNvSpPr txBox="1"/>
      </xdr:nvSpPr>
      <xdr:spPr>
        <a:xfrm>
          <a:off x="8267700" y="41749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131</xdr:row>
      <xdr:rowOff>0</xdr:rowOff>
    </xdr:from>
    <xdr:ext cx="65" cy="172227"/>
    <xdr:sp macro="" textlink="">
      <xdr:nvSpPr>
        <xdr:cNvPr id="767" name="TextBox 766">
          <a:extLst>
            <a:ext uri="{FF2B5EF4-FFF2-40B4-BE49-F238E27FC236}">
              <a16:creationId xmlns:a16="http://schemas.microsoft.com/office/drawing/2014/main" id="{00000000-0008-0000-0000-000007000000}"/>
            </a:ext>
          </a:extLst>
        </xdr:cNvPr>
        <xdr:cNvSpPr txBox="1"/>
      </xdr:nvSpPr>
      <xdr:spPr>
        <a:xfrm>
          <a:off x="8267700" y="41932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131</xdr:row>
      <xdr:rowOff>0</xdr:rowOff>
    </xdr:from>
    <xdr:ext cx="65" cy="172227"/>
    <xdr:sp macro="" textlink="">
      <xdr:nvSpPr>
        <xdr:cNvPr id="768" name="TextBox 767">
          <a:extLst>
            <a:ext uri="{FF2B5EF4-FFF2-40B4-BE49-F238E27FC236}">
              <a16:creationId xmlns:a16="http://schemas.microsoft.com/office/drawing/2014/main" id="{00000000-0008-0000-0000-000007000000}"/>
            </a:ext>
          </a:extLst>
        </xdr:cNvPr>
        <xdr:cNvSpPr txBox="1"/>
      </xdr:nvSpPr>
      <xdr:spPr>
        <a:xfrm>
          <a:off x="8267700" y="41932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132</xdr:row>
      <xdr:rowOff>0</xdr:rowOff>
    </xdr:from>
    <xdr:ext cx="65" cy="172227"/>
    <xdr:sp macro="" textlink="">
      <xdr:nvSpPr>
        <xdr:cNvPr id="769" name="TextBox 768">
          <a:extLst>
            <a:ext uri="{FF2B5EF4-FFF2-40B4-BE49-F238E27FC236}">
              <a16:creationId xmlns:a16="http://schemas.microsoft.com/office/drawing/2014/main" id="{00000000-0008-0000-0000-000007000000}"/>
            </a:ext>
          </a:extLst>
        </xdr:cNvPr>
        <xdr:cNvSpPr txBox="1"/>
      </xdr:nvSpPr>
      <xdr:spPr>
        <a:xfrm>
          <a:off x="8267700" y="42115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132</xdr:row>
      <xdr:rowOff>0</xdr:rowOff>
    </xdr:from>
    <xdr:ext cx="65" cy="172227"/>
    <xdr:sp macro="" textlink="">
      <xdr:nvSpPr>
        <xdr:cNvPr id="770" name="TextBox 769">
          <a:extLst>
            <a:ext uri="{FF2B5EF4-FFF2-40B4-BE49-F238E27FC236}">
              <a16:creationId xmlns:a16="http://schemas.microsoft.com/office/drawing/2014/main" id="{00000000-0008-0000-0000-000007000000}"/>
            </a:ext>
          </a:extLst>
        </xdr:cNvPr>
        <xdr:cNvSpPr txBox="1"/>
      </xdr:nvSpPr>
      <xdr:spPr>
        <a:xfrm>
          <a:off x="8267700" y="42115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771" name="TextBox 770">
          <a:extLst>
            <a:ext uri="{FF2B5EF4-FFF2-40B4-BE49-F238E27FC236}">
              <a16:creationId xmlns:a16="http://schemas.microsoft.com/office/drawing/2014/main" id="{00000000-0008-0000-0000-000007000000}"/>
            </a:ext>
          </a:extLst>
        </xdr:cNvPr>
        <xdr:cNvSpPr txBox="1"/>
      </xdr:nvSpPr>
      <xdr:spPr>
        <a:xfrm>
          <a:off x="8267700" y="33474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772" name="TextBox 771">
          <a:extLst>
            <a:ext uri="{FF2B5EF4-FFF2-40B4-BE49-F238E27FC236}">
              <a16:creationId xmlns:a16="http://schemas.microsoft.com/office/drawing/2014/main" id="{00000000-0008-0000-0000-000007000000}"/>
            </a:ext>
          </a:extLst>
        </xdr:cNvPr>
        <xdr:cNvSpPr txBox="1"/>
      </xdr:nvSpPr>
      <xdr:spPr>
        <a:xfrm>
          <a:off x="8267700" y="33474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773" name="TextBox 772">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774" name="TextBox 773">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775" name="TextBox 774">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776" name="TextBox 775">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777" name="TextBox 776">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778" name="TextBox 777">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84</xdr:row>
      <xdr:rowOff>0</xdr:rowOff>
    </xdr:from>
    <xdr:ext cx="65" cy="172227"/>
    <xdr:sp macro="" textlink="">
      <xdr:nvSpPr>
        <xdr:cNvPr id="779" name="TextBox 778">
          <a:extLst>
            <a:ext uri="{FF2B5EF4-FFF2-40B4-BE49-F238E27FC236}">
              <a16:creationId xmlns:a16="http://schemas.microsoft.com/office/drawing/2014/main" id="{00000000-0008-0000-0000-000007000000}"/>
            </a:ext>
          </a:extLst>
        </xdr:cNvPr>
        <xdr:cNvSpPr txBox="1"/>
      </xdr:nvSpPr>
      <xdr:spPr>
        <a:xfrm>
          <a:off x="8267700" y="33276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84</xdr:row>
      <xdr:rowOff>0</xdr:rowOff>
    </xdr:from>
    <xdr:ext cx="65" cy="172227"/>
    <xdr:sp macro="" textlink="">
      <xdr:nvSpPr>
        <xdr:cNvPr id="780" name="TextBox 779">
          <a:extLst>
            <a:ext uri="{FF2B5EF4-FFF2-40B4-BE49-F238E27FC236}">
              <a16:creationId xmlns:a16="http://schemas.microsoft.com/office/drawing/2014/main" id="{00000000-0008-0000-0000-000007000000}"/>
            </a:ext>
          </a:extLst>
        </xdr:cNvPr>
        <xdr:cNvSpPr txBox="1"/>
      </xdr:nvSpPr>
      <xdr:spPr>
        <a:xfrm>
          <a:off x="8267700" y="33276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781" name="TextBox 780">
          <a:extLst>
            <a:ext uri="{FF2B5EF4-FFF2-40B4-BE49-F238E27FC236}">
              <a16:creationId xmlns:a16="http://schemas.microsoft.com/office/drawing/2014/main" id="{00000000-0008-0000-0000-000007000000}"/>
            </a:ext>
          </a:extLst>
        </xdr:cNvPr>
        <xdr:cNvSpPr txBox="1"/>
      </xdr:nvSpPr>
      <xdr:spPr>
        <a:xfrm>
          <a:off x="8267700" y="33474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782" name="TextBox 781">
          <a:extLst>
            <a:ext uri="{FF2B5EF4-FFF2-40B4-BE49-F238E27FC236}">
              <a16:creationId xmlns:a16="http://schemas.microsoft.com/office/drawing/2014/main" id="{00000000-0008-0000-0000-000007000000}"/>
            </a:ext>
          </a:extLst>
        </xdr:cNvPr>
        <xdr:cNvSpPr txBox="1"/>
      </xdr:nvSpPr>
      <xdr:spPr>
        <a:xfrm>
          <a:off x="8267700" y="33474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783" name="TextBox 782">
          <a:extLst>
            <a:ext uri="{FF2B5EF4-FFF2-40B4-BE49-F238E27FC236}">
              <a16:creationId xmlns:a16="http://schemas.microsoft.com/office/drawing/2014/main" id="{00000000-0008-0000-0000-000007000000}"/>
            </a:ext>
          </a:extLst>
        </xdr:cNvPr>
        <xdr:cNvSpPr txBox="1"/>
      </xdr:nvSpPr>
      <xdr:spPr>
        <a:xfrm>
          <a:off x="8267700" y="33474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784" name="TextBox 783">
          <a:extLst>
            <a:ext uri="{FF2B5EF4-FFF2-40B4-BE49-F238E27FC236}">
              <a16:creationId xmlns:a16="http://schemas.microsoft.com/office/drawing/2014/main" id="{00000000-0008-0000-0000-000007000000}"/>
            </a:ext>
          </a:extLst>
        </xdr:cNvPr>
        <xdr:cNvSpPr txBox="1"/>
      </xdr:nvSpPr>
      <xdr:spPr>
        <a:xfrm>
          <a:off x="8267700" y="33474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785" name="TextBox 784">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786" name="TextBox 785">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787" name="TextBox 786">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788" name="TextBox 787">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789" name="TextBox 788">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790" name="TextBox 789">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791" name="TextBox 790">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792" name="TextBox 791">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84</xdr:row>
      <xdr:rowOff>0</xdr:rowOff>
    </xdr:from>
    <xdr:ext cx="65" cy="172227"/>
    <xdr:sp macro="" textlink="">
      <xdr:nvSpPr>
        <xdr:cNvPr id="793" name="TextBox 792">
          <a:extLst>
            <a:ext uri="{FF2B5EF4-FFF2-40B4-BE49-F238E27FC236}">
              <a16:creationId xmlns:a16="http://schemas.microsoft.com/office/drawing/2014/main" id="{00000000-0008-0000-0000-000007000000}"/>
            </a:ext>
          </a:extLst>
        </xdr:cNvPr>
        <xdr:cNvSpPr txBox="1"/>
      </xdr:nvSpPr>
      <xdr:spPr>
        <a:xfrm>
          <a:off x="8267700" y="33276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84</xdr:row>
      <xdr:rowOff>0</xdr:rowOff>
    </xdr:from>
    <xdr:ext cx="65" cy="172227"/>
    <xdr:sp macro="" textlink="">
      <xdr:nvSpPr>
        <xdr:cNvPr id="794" name="TextBox 793">
          <a:extLst>
            <a:ext uri="{FF2B5EF4-FFF2-40B4-BE49-F238E27FC236}">
              <a16:creationId xmlns:a16="http://schemas.microsoft.com/office/drawing/2014/main" id="{00000000-0008-0000-0000-000007000000}"/>
            </a:ext>
          </a:extLst>
        </xdr:cNvPr>
        <xdr:cNvSpPr txBox="1"/>
      </xdr:nvSpPr>
      <xdr:spPr>
        <a:xfrm>
          <a:off x="8267700" y="33276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83</xdr:row>
      <xdr:rowOff>0</xdr:rowOff>
    </xdr:from>
    <xdr:ext cx="65" cy="172227"/>
    <xdr:sp macro="" textlink="">
      <xdr:nvSpPr>
        <xdr:cNvPr id="796" name="TextBox 795">
          <a:extLst>
            <a:ext uri="{FF2B5EF4-FFF2-40B4-BE49-F238E27FC236}">
              <a16:creationId xmlns:a16="http://schemas.microsoft.com/office/drawing/2014/main" id="{00000000-0008-0000-0000-000007000000}"/>
            </a:ext>
          </a:extLst>
        </xdr:cNvPr>
        <xdr:cNvSpPr txBox="1"/>
      </xdr:nvSpPr>
      <xdr:spPr>
        <a:xfrm>
          <a:off x="8267700" y="33078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83</xdr:row>
      <xdr:rowOff>0</xdr:rowOff>
    </xdr:from>
    <xdr:ext cx="65" cy="172227"/>
    <xdr:sp macro="" textlink="">
      <xdr:nvSpPr>
        <xdr:cNvPr id="800" name="TextBox 799">
          <a:extLst>
            <a:ext uri="{FF2B5EF4-FFF2-40B4-BE49-F238E27FC236}">
              <a16:creationId xmlns:a16="http://schemas.microsoft.com/office/drawing/2014/main" id="{00000000-0008-0000-0000-000007000000}"/>
            </a:ext>
          </a:extLst>
        </xdr:cNvPr>
        <xdr:cNvSpPr txBox="1"/>
      </xdr:nvSpPr>
      <xdr:spPr>
        <a:xfrm>
          <a:off x="8267700" y="33078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84</xdr:row>
      <xdr:rowOff>0</xdr:rowOff>
    </xdr:from>
    <xdr:ext cx="65" cy="172227"/>
    <xdr:sp macro="" textlink="">
      <xdr:nvSpPr>
        <xdr:cNvPr id="801" name="TextBox 800">
          <a:extLst>
            <a:ext uri="{FF2B5EF4-FFF2-40B4-BE49-F238E27FC236}">
              <a16:creationId xmlns:a16="http://schemas.microsoft.com/office/drawing/2014/main" id="{00000000-0008-0000-0000-000007000000}"/>
            </a:ext>
          </a:extLst>
        </xdr:cNvPr>
        <xdr:cNvSpPr txBox="1"/>
      </xdr:nvSpPr>
      <xdr:spPr>
        <a:xfrm>
          <a:off x="8267700" y="33276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84</xdr:row>
      <xdr:rowOff>0</xdr:rowOff>
    </xdr:from>
    <xdr:ext cx="65" cy="172227"/>
    <xdr:sp macro="" textlink="">
      <xdr:nvSpPr>
        <xdr:cNvPr id="802" name="TextBox 801">
          <a:extLst>
            <a:ext uri="{FF2B5EF4-FFF2-40B4-BE49-F238E27FC236}">
              <a16:creationId xmlns:a16="http://schemas.microsoft.com/office/drawing/2014/main" id="{00000000-0008-0000-0000-000007000000}"/>
            </a:ext>
          </a:extLst>
        </xdr:cNvPr>
        <xdr:cNvSpPr txBox="1"/>
      </xdr:nvSpPr>
      <xdr:spPr>
        <a:xfrm>
          <a:off x="8267700" y="33276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803" name="TextBox 802">
          <a:extLst>
            <a:ext uri="{FF2B5EF4-FFF2-40B4-BE49-F238E27FC236}">
              <a16:creationId xmlns:a16="http://schemas.microsoft.com/office/drawing/2014/main" id="{00000000-0008-0000-0000-000007000000}"/>
            </a:ext>
          </a:extLst>
        </xdr:cNvPr>
        <xdr:cNvSpPr txBox="1"/>
      </xdr:nvSpPr>
      <xdr:spPr>
        <a:xfrm>
          <a:off x="8267700" y="33474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804" name="TextBox 803">
          <a:extLst>
            <a:ext uri="{FF2B5EF4-FFF2-40B4-BE49-F238E27FC236}">
              <a16:creationId xmlns:a16="http://schemas.microsoft.com/office/drawing/2014/main" id="{00000000-0008-0000-0000-000007000000}"/>
            </a:ext>
          </a:extLst>
        </xdr:cNvPr>
        <xdr:cNvSpPr txBox="1"/>
      </xdr:nvSpPr>
      <xdr:spPr>
        <a:xfrm>
          <a:off x="8267700" y="33474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805" name="TextBox 804">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806" name="TextBox 805">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807" name="TextBox 806">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808" name="TextBox 807">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88</xdr:row>
      <xdr:rowOff>0</xdr:rowOff>
    </xdr:from>
    <xdr:ext cx="65" cy="172227"/>
    <xdr:sp macro="" textlink="">
      <xdr:nvSpPr>
        <xdr:cNvPr id="809" name="TextBox 808">
          <a:extLst>
            <a:ext uri="{FF2B5EF4-FFF2-40B4-BE49-F238E27FC236}">
              <a16:creationId xmlns:a16="http://schemas.microsoft.com/office/drawing/2014/main" id="{00000000-0008-0000-0000-000007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88</xdr:row>
      <xdr:rowOff>0</xdr:rowOff>
    </xdr:from>
    <xdr:ext cx="65" cy="172227"/>
    <xdr:sp macro="" textlink="">
      <xdr:nvSpPr>
        <xdr:cNvPr id="810" name="TextBox 809">
          <a:extLst>
            <a:ext uri="{FF2B5EF4-FFF2-40B4-BE49-F238E27FC236}">
              <a16:creationId xmlns:a16="http://schemas.microsoft.com/office/drawing/2014/main" id="{00000000-0008-0000-0000-000007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89</xdr:row>
      <xdr:rowOff>0</xdr:rowOff>
    </xdr:from>
    <xdr:ext cx="65" cy="172227"/>
    <xdr:sp macro="" textlink="">
      <xdr:nvSpPr>
        <xdr:cNvPr id="811" name="TextBox 810">
          <a:extLst>
            <a:ext uri="{FF2B5EF4-FFF2-40B4-BE49-F238E27FC236}">
              <a16:creationId xmlns:a16="http://schemas.microsoft.com/office/drawing/2014/main" id="{00000000-0008-0000-0000-000007000000}"/>
            </a:ext>
          </a:extLst>
        </xdr:cNvPr>
        <xdr:cNvSpPr txBox="1"/>
      </xdr:nvSpPr>
      <xdr:spPr>
        <a:xfrm>
          <a:off x="8267700" y="3425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89</xdr:row>
      <xdr:rowOff>0</xdr:rowOff>
    </xdr:from>
    <xdr:ext cx="65" cy="172227"/>
    <xdr:sp macro="" textlink="">
      <xdr:nvSpPr>
        <xdr:cNvPr id="812" name="TextBox 811">
          <a:extLst>
            <a:ext uri="{FF2B5EF4-FFF2-40B4-BE49-F238E27FC236}">
              <a16:creationId xmlns:a16="http://schemas.microsoft.com/office/drawing/2014/main" id="{00000000-0008-0000-0000-000007000000}"/>
            </a:ext>
          </a:extLst>
        </xdr:cNvPr>
        <xdr:cNvSpPr txBox="1"/>
      </xdr:nvSpPr>
      <xdr:spPr>
        <a:xfrm>
          <a:off x="8267700" y="3425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90</xdr:row>
      <xdr:rowOff>0</xdr:rowOff>
    </xdr:from>
    <xdr:ext cx="65" cy="172227"/>
    <xdr:sp macro="" textlink="">
      <xdr:nvSpPr>
        <xdr:cNvPr id="813" name="TextBox 812">
          <a:extLst>
            <a:ext uri="{FF2B5EF4-FFF2-40B4-BE49-F238E27FC236}">
              <a16:creationId xmlns:a16="http://schemas.microsoft.com/office/drawing/2014/main" id="{00000000-0008-0000-0000-000007000000}"/>
            </a:ext>
          </a:extLst>
        </xdr:cNvPr>
        <xdr:cNvSpPr txBox="1"/>
      </xdr:nvSpPr>
      <xdr:spPr>
        <a:xfrm>
          <a:off x="8267700" y="34434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90</xdr:row>
      <xdr:rowOff>0</xdr:rowOff>
    </xdr:from>
    <xdr:ext cx="65" cy="172227"/>
    <xdr:sp macro="" textlink="">
      <xdr:nvSpPr>
        <xdr:cNvPr id="814" name="TextBox 813">
          <a:extLst>
            <a:ext uri="{FF2B5EF4-FFF2-40B4-BE49-F238E27FC236}">
              <a16:creationId xmlns:a16="http://schemas.microsoft.com/office/drawing/2014/main" id="{00000000-0008-0000-0000-000007000000}"/>
            </a:ext>
          </a:extLst>
        </xdr:cNvPr>
        <xdr:cNvSpPr txBox="1"/>
      </xdr:nvSpPr>
      <xdr:spPr>
        <a:xfrm>
          <a:off x="8267700" y="34434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91</xdr:row>
      <xdr:rowOff>0</xdr:rowOff>
    </xdr:from>
    <xdr:ext cx="65" cy="172227"/>
    <xdr:sp macro="" textlink="">
      <xdr:nvSpPr>
        <xdr:cNvPr id="815" name="TextBox 814">
          <a:extLst>
            <a:ext uri="{FF2B5EF4-FFF2-40B4-BE49-F238E27FC236}">
              <a16:creationId xmlns:a16="http://schemas.microsoft.com/office/drawing/2014/main" id="{00000000-0008-0000-0000-000007000000}"/>
            </a:ext>
          </a:extLst>
        </xdr:cNvPr>
        <xdr:cNvSpPr txBox="1"/>
      </xdr:nvSpPr>
      <xdr:spPr>
        <a:xfrm>
          <a:off x="8267700" y="34617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91</xdr:row>
      <xdr:rowOff>0</xdr:rowOff>
    </xdr:from>
    <xdr:ext cx="65" cy="172227"/>
    <xdr:sp macro="" textlink="">
      <xdr:nvSpPr>
        <xdr:cNvPr id="816" name="TextBox 815">
          <a:extLst>
            <a:ext uri="{FF2B5EF4-FFF2-40B4-BE49-F238E27FC236}">
              <a16:creationId xmlns:a16="http://schemas.microsoft.com/office/drawing/2014/main" id="{00000000-0008-0000-0000-000007000000}"/>
            </a:ext>
          </a:extLst>
        </xdr:cNvPr>
        <xdr:cNvSpPr txBox="1"/>
      </xdr:nvSpPr>
      <xdr:spPr>
        <a:xfrm>
          <a:off x="8267700" y="34617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92</xdr:row>
      <xdr:rowOff>0</xdr:rowOff>
    </xdr:from>
    <xdr:ext cx="65" cy="172227"/>
    <xdr:sp macro="" textlink="">
      <xdr:nvSpPr>
        <xdr:cNvPr id="817" name="TextBox 816">
          <a:extLst>
            <a:ext uri="{FF2B5EF4-FFF2-40B4-BE49-F238E27FC236}">
              <a16:creationId xmlns:a16="http://schemas.microsoft.com/office/drawing/2014/main" id="{00000000-0008-0000-0000-000007000000}"/>
            </a:ext>
          </a:extLst>
        </xdr:cNvPr>
        <xdr:cNvSpPr txBox="1"/>
      </xdr:nvSpPr>
      <xdr:spPr>
        <a:xfrm>
          <a:off x="8267700" y="34800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92</xdr:row>
      <xdr:rowOff>0</xdr:rowOff>
    </xdr:from>
    <xdr:ext cx="65" cy="172227"/>
    <xdr:sp macro="" textlink="">
      <xdr:nvSpPr>
        <xdr:cNvPr id="818" name="TextBox 817">
          <a:extLst>
            <a:ext uri="{FF2B5EF4-FFF2-40B4-BE49-F238E27FC236}">
              <a16:creationId xmlns:a16="http://schemas.microsoft.com/office/drawing/2014/main" id="{00000000-0008-0000-0000-000007000000}"/>
            </a:ext>
          </a:extLst>
        </xdr:cNvPr>
        <xdr:cNvSpPr txBox="1"/>
      </xdr:nvSpPr>
      <xdr:spPr>
        <a:xfrm>
          <a:off x="8267700" y="34800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98</xdr:row>
      <xdr:rowOff>0</xdr:rowOff>
    </xdr:from>
    <xdr:ext cx="65" cy="172227"/>
    <xdr:sp macro="" textlink="">
      <xdr:nvSpPr>
        <xdr:cNvPr id="819" name="TextBox 818">
          <a:extLst>
            <a:ext uri="{FF2B5EF4-FFF2-40B4-BE49-F238E27FC236}">
              <a16:creationId xmlns:a16="http://schemas.microsoft.com/office/drawing/2014/main" id="{00000000-0008-0000-0000-000007000000}"/>
            </a:ext>
          </a:extLst>
        </xdr:cNvPr>
        <xdr:cNvSpPr txBox="1"/>
      </xdr:nvSpPr>
      <xdr:spPr>
        <a:xfrm>
          <a:off x="8267700" y="35897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98</xdr:row>
      <xdr:rowOff>0</xdr:rowOff>
    </xdr:from>
    <xdr:ext cx="65" cy="172227"/>
    <xdr:sp macro="" textlink="">
      <xdr:nvSpPr>
        <xdr:cNvPr id="820" name="TextBox 819">
          <a:extLst>
            <a:ext uri="{FF2B5EF4-FFF2-40B4-BE49-F238E27FC236}">
              <a16:creationId xmlns:a16="http://schemas.microsoft.com/office/drawing/2014/main" id="{00000000-0008-0000-0000-000007000000}"/>
            </a:ext>
          </a:extLst>
        </xdr:cNvPr>
        <xdr:cNvSpPr txBox="1"/>
      </xdr:nvSpPr>
      <xdr:spPr>
        <a:xfrm>
          <a:off x="8267700" y="35897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99</xdr:row>
      <xdr:rowOff>0</xdr:rowOff>
    </xdr:from>
    <xdr:ext cx="65" cy="172227"/>
    <xdr:sp macro="" textlink="">
      <xdr:nvSpPr>
        <xdr:cNvPr id="821" name="TextBox 820">
          <a:extLst>
            <a:ext uri="{FF2B5EF4-FFF2-40B4-BE49-F238E27FC236}">
              <a16:creationId xmlns:a16="http://schemas.microsoft.com/office/drawing/2014/main" id="{00000000-0008-0000-0000-000007000000}"/>
            </a:ext>
          </a:extLst>
        </xdr:cNvPr>
        <xdr:cNvSpPr txBox="1"/>
      </xdr:nvSpPr>
      <xdr:spPr>
        <a:xfrm>
          <a:off x="8267700" y="36080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99</xdr:row>
      <xdr:rowOff>0</xdr:rowOff>
    </xdr:from>
    <xdr:ext cx="65" cy="172227"/>
    <xdr:sp macro="" textlink="">
      <xdr:nvSpPr>
        <xdr:cNvPr id="822" name="TextBox 821">
          <a:extLst>
            <a:ext uri="{FF2B5EF4-FFF2-40B4-BE49-F238E27FC236}">
              <a16:creationId xmlns:a16="http://schemas.microsoft.com/office/drawing/2014/main" id="{00000000-0008-0000-0000-000007000000}"/>
            </a:ext>
          </a:extLst>
        </xdr:cNvPr>
        <xdr:cNvSpPr txBox="1"/>
      </xdr:nvSpPr>
      <xdr:spPr>
        <a:xfrm>
          <a:off x="8267700" y="36080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100</xdr:row>
      <xdr:rowOff>0</xdr:rowOff>
    </xdr:from>
    <xdr:ext cx="65" cy="172227"/>
    <xdr:sp macro="" textlink="">
      <xdr:nvSpPr>
        <xdr:cNvPr id="823" name="TextBox 822">
          <a:extLst>
            <a:ext uri="{FF2B5EF4-FFF2-40B4-BE49-F238E27FC236}">
              <a16:creationId xmlns:a16="http://schemas.microsoft.com/office/drawing/2014/main" id="{00000000-0008-0000-0000-000007000000}"/>
            </a:ext>
          </a:extLst>
        </xdr:cNvPr>
        <xdr:cNvSpPr txBox="1"/>
      </xdr:nvSpPr>
      <xdr:spPr>
        <a:xfrm>
          <a:off x="8267700" y="36263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100</xdr:row>
      <xdr:rowOff>0</xdr:rowOff>
    </xdr:from>
    <xdr:ext cx="65" cy="172227"/>
    <xdr:sp macro="" textlink="">
      <xdr:nvSpPr>
        <xdr:cNvPr id="824" name="TextBox 823">
          <a:extLst>
            <a:ext uri="{FF2B5EF4-FFF2-40B4-BE49-F238E27FC236}">
              <a16:creationId xmlns:a16="http://schemas.microsoft.com/office/drawing/2014/main" id="{00000000-0008-0000-0000-000007000000}"/>
            </a:ext>
          </a:extLst>
        </xdr:cNvPr>
        <xdr:cNvSpPr txBox="1"/>
      </xdr:nvSpPr>
      <xdr:spPr>
        <a:xfrm>
          <a:off x="8267700" y="36263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101</xdr:row>
      <xdr:rowOff>0</xdr:rowOff>
    </xdr:from>
    <xdr:ext cx="65" cy="172227"/>
    <xdr:sp macro="" textlink="">
      <xdr:nvSpPr>
        <xdr:cNvPr id="825" name="TextBox 824">
          <a:extLst>
            <a:ext uri="{FF2B5EF4-FFF2-40B4-BE49-F238E27FC236}">
              <a16:creationId xmlns:a16="http://schemas.microsoft.com/office/drawing/2014/main" id="{00000000-0008-0000-0000-000007000000}"/>
            </a:ext>
          </a:extLst>
        </xdr:cNvPr>
        <xdr:cNvSpPr txBox="1"/>
      </xdr:nvSpPr>
      <xdr:spPr>
        <a:xfrm>
          <a:off x="8267700" y="36446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101</xdr:row>
      <xdr:rowOff>0</xdr:rowOff>
    </xdr:from>
    <xdr:ext cx="65" cy="172227"/>
    <xdr:sp macro="" textlink="">
      <xdr:nvSpPr>
        <xdr:cNvPr id="826" name="TextBox 825">
          <a:extLst>
            <a:ext uri="{FF2B5EF4-FFF2-40B4-BE49-F238E27FC236}">
              <a16:creationId xmlns:a16="http://schemas.microsoft.com/office/drawing/2014/main" id="{00000000-0008-0000-0000-000007000000}"/>
            </a:ext>
          </a:extLst>
        </xdr:cNvPr>
        <xdr:cNvSpPr txBox="1"/>
      </xdr:nvSpPr>
      <xdr:spPr>
        <a:xfrm>
          <a:off x="8267700" y="36446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102</xdr:row>
      <xdr:rowOff>0</xdr:rowOff>
    </xdr:from>
    <xdr:ext cx="65" cy="172227"/>
    <xdr:sp macro="" textlink="">
      <xdr:nvSpPr>
        <xdr:cNvPr id="827" name="TextBox 826">
          <a:extLst>
            <a:ext uri="{FF2B5EF4-FFF2-40B4-BE49-F238E27FC236}">
              <a16:creationId xmlns:a16="http://schemas.microsoft.com/office/drawing/2014/main" id="{00000000-0008-0000-0000-000007000000}"/>
            </a:ext>
          </a:extLst>
        </xdr:cNvPr>
        <xdr:cNvSpPr txBox="1"/>
      </xdr:nvSpPr>
      <xdr:spPr>
        <a:xfrm>
          <a:off x="8267700" y="36629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102</xdr:row>
      <xdr:rowOff>0</xdr:rowOff>
    </xdr:from>
    <xdr:ext cx="65" cy="172227"/>
    <xdr:sp macro="" textlink="">
      <xdr:nvSpPr>
        <xdr:cNvPr id="828" name="TextBox 827">
          <a:extLst>
            <a:ext uri="{FF2B5EF4-FFF2-40B4-BE49-F238E27FC236}">
              <a16:creationId xmlns:a16="http://schemas.microsoft.com/office/drawing/2014/main" id="{00000000-0008-0000-0000-000007000000}"/>
            </a:ext>
          </a:extLst>
        </xdr:cNvPr>
        <xdr:cNvSpPr txBox="1"/>
      </xdr:nvSpPr>
      <xdr:spPr>
        <a:xfrm>
          <a:off x="8267700" y="36629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108</xdr:row>
      <xdr:rowOff>0</xdr:rowOff>
    </xdr:from>
    <xdr:ext cx="65" cy="172227"/>
    <xdr:sp macro="" textlink="">
      <xdr:nvSpPr>
        <xdr:cNvPr id="829" name="TextBox 828">
          <a:extLst>
            <a:ext uri="{FF2B5EF4-FFF2-40B4-BE49-F238E27FC236}">
              <a16:creationId xmlns:a16="http://schemas.microsoft.com/office/drawing/2014/main" id="{00000000-0008-0000-0000-000007000000}"/>
            </a:ext>
          </a:extLst>
        </xdr:cNvPr>
        <xdr:cNvSpPr txBox="1"/>
      </xdr:nvSpPr>
      <xdr:spPr>
        <a:xfrm>
          <a:off x="8267700" y="3772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108</xdr:row>
      <xdr:rowOff>0</xdr:rowOff>
    </xdr:from>
    <xdr:ext cx="65" cy="172227"/>
    <xdr:sp macro="" textlink="">
      <xdr:nvSpPr>
        <xdr:cNvPr id="830" name="TextBox 829">
          <a:extLst>
            <a:ext uri="{FF2B5EF4-FFF2-40B4-BE49-F238E27FC236}">
              <a16:creationId xmlns:a16="http://schemas.microsoft.com/office/drawing/2014/main" id="{00000000-0008-0000-0000-000007000000}"/>
            </a:ext>
          </a:extLst>
        </xdr:cNvPr>
        <xdr:cNvSpPr txBox="1"/>
      </xdr:nvSpPr>
      <xdr:spPr>
        <a:xfrm>
          <a:off x="8267700" y="3772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109</xdr:row>
      <xdr:rowOff>0</xdr:rowOff>
    </xdr:from>
    <xdr:ext cx="65" cy="172227"/>
    <xdr:sp macro="" textlink="">
      <xdr:nvSpPr>
        <xdr:cNvPr id="831" name="TextBox 830">
          <a:extLst>
            <a:ext uri="{FF2B5EF4-FFF2-40B4-BE49-F238E27FC236}">
              <a16:creationId xmlns:a16="http://schemas.microsoft.com/office/drawing/2014/main" id="{00000000-0008-0000-0000-000007000000}"/>
            </a:ext>
          </a:extLst>
        </xdr:cNvPr>
        <xdr:cNvSpPr txBox="1"/>
      </xdr:nvSpPr>
      <xdr:spPr>
        <a:xfrm>
          <a:off x="8267700" y="37909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109</xdr:row>
      <xdr:rowOff>0</xdr:rowOff>
    </xdr:from>
    <xdr:ext cx="65" cy="172227"/>
    <xdr:sp macro="" textlink="">
      <xdr:nvSpPr>
        <xdr:cNvPr id="832" name="TextBox 831">
          <a:extLst>
            <a:ext uri="{FF2B5EF4-FFF2-40B4-BE49-F238E27FC236}">
              <a16:creationId xmlns:a16="http://schemas.microsoft.com/office/drawing/2014/main" id="{00000000-0008-0000-0000-000007000000}"/>
            </a:ext>
          </a:extLst>
        </xdr:cNvPr>
        <xdr:cNvSpPr txBox="1"/>
      </xdr:nvSpPr>
      <xdr:spPr>
        <a:xfrm>
          <a:off x="8267700" y="37909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110</xdr:row>
      <xdr:rowOff>0</xdr:rowOff>
    </xdr:from>
    <xdr:ext cx="65" cy="172227"/>
    <xdr:sp macro="" textlink="">
      <xdr:nvSpPr>
        <xdr:cNvPr id="833" name="TextBox 832">
          <a:extLst>
            <a:ext uri="{FF2B5EF4-FFF2-40B4-BE49-F238E27FC236}">
              <a16:creationId xmlns:a16="http://schemas.microsoft.com/office/drawing/2014/main" id="{00000000-0008-0000-0000-000007000000}"/>
            </a:ext>
          </a:extLst>
        </xdr:cNvPr>
        <xdr:cNvSpPr txBox="1"/>
      </xdr:nvSpPr>
      <xdr:spPr>
        <a:xfrm>
          <a:off x="8267700" y="3809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110</xdr:row>
      <xdr:rowOff>0</xdr:rowOff>
    </xdr:from>
    <xdr:ext cx="65" cy="172227"/>
    <xdr:sp macro="" textlink="">
      <xdr:nvSpPr>
        <xdr:cNvPr id="834" name="TextBox 833">
          <a:extLst>
            <a:ext uri="{FF2B5EF4-FFF2-40B4-BE49-F238E27FC236}">
              <a16:creationId xmlns:a16="http://schemas.microsoft.com/office/drawing/2014/main" id="{00000000-0008-0000-0000-000007000000}"/>
            </a:ext>
          </a:extLst>
        </xdr:cNvPr>
        <xdr:cNvSpPr txBox="1"/>
      </xdr:nvSpPr>
      <xdr:spPr>
        <a:xfrm>
          <a:off x="8267700" y="3809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111</xdr:row>
      <xdr:rowOff>0</xdr:rowOff>
    </xdr:from>
    <xdr:ext cx="65" cy="172227"/>
    <xdr:sp macro="" textlink="">
      <xdr:nvSpPr>
        <xdr:cNvPr id="835" name="TextBox 834">
          <a:extLst>
            <a:ext uri="{FF2B5EF4-FFF2-40B4-BE49-F238E27FC236}">
              <a16:creationId xmlns:a16="http://schemas.microsoft.com/office/drawing/2014/main" id="{00000000-0008-0000-0000-000007000000}"/>
            </a:ext>
          </a:extLst>
        </xdr:cNvPr>
        <xdr:cNvSpPr txBox="1"/>
      </xdr:nvSpPr>
      <xdr:spPr>
        <a:xfrm>
          <a:off x="8267700" y="3827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111</xdr:row>
      <xdr:rowOff>0</xdr:rowOff>
    </xdr:from>
    <xdr:ext cx="65" cy="172227"/>
    <xdr:sp macro="" textlink="">
      <xdr:nvSpPr>
        <xdr:cNvPr id="836" name="TextBox 835">
          <a:extLst>
            <a:ext uri="{FF2B5EF4-FFF2-40B4-BE49-F238E27FC236}">
              <a16:creationId xmlns:a16="http://schemas.microsoft.com/office/drawing/2014/main" id="{00000000-0008-0000-0000-000007000000}"/>
            </a:ext>
          </a:extLst>
        </xdr:cNvPr>
        <xdr:cNvSpPr txBox="1"/>
      </xdr:nvSpPr>
      <xdr:spPr>
        <a:xfrm>
          <a:off x="8267700" y="3827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112</xdr:row>
      <xdr:rowOff>0</xdr:rowOff>
    </xdr:from>
    <xdr:ext cx="65" cy="172227"/>
    <xdr:sp macro="" textlink="">
      <xdr:nvSpPr>
        <xdr:cNvPr id="837" name="TextBox 836">
          <a:extLst>
            <a:ext uri="{FF2B5EF4-FFF2-40B4-BE49-F238E27FC236}">
              <a16:creationId xmlns:a16="http://schemas.microsoft.com/office/drawing/2014/main" id="{00000000-0008-0000-0000-000007000000}"/>
            </a:ext>
          </a:extLst>
        </xdr:cNvPr>
        <xdr:cNvSpPr txBox="1"/>
      </xdr:nvSpPr>
      <xdr:spPr>
        <a:xfrm>
          <a:off x="8267700" y="38458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112</xdr:row>
      <xdr:rowOff>0</xdr:rowOff>
    </xdr:from>
    <xdr:ext cx="65" cy="172227"/>
    <xdr:sp macro="" textlink="">
      <xdr:nvSpPr>
        <xdr:cNvPr id="838" name="TextBox 837">
          <a:extLst>
            <a:ext uri="{FF2B5EF4-FFF2-40B4-BE49-F238E27FC236}">
              <a16:creationId xmlns:a16="http://schemas.microsoft.com/office/drawing/2014/main" id="{00000000-0008-0000-0000-000007000000}"/>
            </a:ext>
          </a:extLst>
        </xdr:cNvPr>
        <xdr:cNvSpPr txBox="1"/>
      </xdr:nvSpPr>
      <xdr:spPr>
        <a:xfrm>
          <a:off x="8267700" y="38458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118</xdr:row>
      <xdr:rowOff>0</xdr:rowOff>
    </xdr:from>
    <xdr:ext cx="65" cy="172227"/>
    <xdr:sp macro="" textlink="">
      <xdr:nvSpPr>
        <xdr:cNvPr id="839" name="TextBox 838">
          <a:extLst>
            <a:ext uri="{FF2B5EF4-FFF2-40B4-BE49-F238E27FC236}">
              <a16:creationId xmlns:a16="http://schemas.microsoft.com/office/drawing/2014/main" id="{00000000-0008-0000-0000-000007000000}"/>
            </a:ext>
          </a:extLst>
        </xdr:cNvPr>
        <xdr:cNvSpPr txBox="1"/>
      </xdr:nvSpPr>
      <xdr:spPr>
        <a:xfrm>
          <a:off x="8267700" y="39555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118</xdr:row>
      <xdr:rowOff>0</xdr:rowOff>
    </xdr:from>
    <xdr:ext cx="65" cy="172227"/>
    <xdr:sp macro="" textlink="">
      <xdr:nvSpPr>
        <xdr:cNvPr id="840" name="TextBox 839">
          <a:extLst>
            <a:ext uri="{FF2B5EF4-FFF2-40B4-BE49-F238E27FC236}">
              <a16:creationId xmlns:a16="http://schemas.microsoft.com/office/drawing/2014/main" id="{00000000-0008-0000-0000-000007000000}"/>
            </a:ext>
          </a:extLst>
        </xdr:cNvPr>
        <xdr:cNvSpPr txBox="1"/>
      </xdr:nvSpPr>
      <xdr:spPr>
        <a:xfrm>
          <a:off x="8267700" y="39555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119</xdr:row>
      <xdr:rowOff>0</xdr:rowOff>
    </xdr:from>
    <xdr:ext cx="65" cy="172227"/>
    <xdr:sp macro="" textlink="">
      <xdr:nvSpPr>
        <xdr:cNvPr id="841" name="TextBox 840">
          <a:extLst>
            <a:ext uri="{FF2B5EF4-FFF2-40B4-BE49-F238E27FC236}">
              <a16:creationId xmlns:a16="http://schemas.microsoft.com/office/drawing/2014/main" id="{00000000-0008-0000-0000-000007000000}"/>
            </a:ext>
          </a:extLst>
        </xdr:cNvPr>
        <xdr:cNvSpPr txBox="1"/>
      </xdr:nvSpPr>
      <xdr:spPr>
        <a:xfrm>
          <a:off x="8267700" y="39738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119</xdr:row>
      <xdr:rowOff>0</xdr:rowOff>
    </xdr:from>
    <xdr:ext cx="65" cy="172227"/>
    <xdr:sp macro="" textlink="">
      <xdr:nvSpPr>
        <xdr:cNvPr id="842" name="TextBox 841">
          <a:extLst>
            <a:ext uri="{FF2B5EF4-FFF2-40B4-BE49-F238E27FC236}">
              <a16:creationId xmlns:a16="http://schemas.microsoft.com/office/drawing/2014/main" id="{00000000-0008-0000-0000-000007000000}"/>
            </a:ext>
          </a:extLst>
        </xdr:cNvPr>
        <xdr:cNvSpPr txBox="1"/>
      </xdr:nvSpPr>
      <xdr:spPr>
        <a:xfrm>
          <a:off x="8267700" y="39738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120</xdr:row>
      <xdr:rowOff>0</xdr:rowOff>
    </xdr:from>
    <xdr:ext cx="65" cy="172227"/>
    <xdr:sp macro="" textlink="">
      <xdr:nvSpPr>
        <xdr:cNvPr id="843" name="TextBox 842">
          <a:extLst>
            <a:ext uri="{FF2B5EF4-FFF2-40B4-BE49-F238E27FC236}">
              <a16:creationId xmlns:a16="http://schemas.microsoft.com/office/drawing/2014/main" id="{00000000-0008-0000-0000-000007000000}"/>
            </a:ext>
          </a:extLst>
        </xdr:cNvPr>
        <xdr:cNvSpPr txBox="1"/>
      </xdr:nvSpPr>
      <xdr:spPr>
        <a:xfrm>
          <a:off x="8267700" y="39921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120</xdr:row>
      <xdr:rowOff>0</xdr:rowOff>
    </xdr:from>
    <xdr:ext cx="65" cy="172227"/>
    <xdr:sp macro="" textlink="">
      <xdr:nvSpPr>
        <xdr:cNvPr id="844" name="TextBox 843">
          <a:extLst>
            <a:ext uri="{FF2B5EF4-FFF2-40B4-BE49-F238E27FC236}">
              <a16:creationId xmlns:a16="http://schemas.microsoft.com/office/drawing/2014/main" id="{00000000-0008-0000-0000-000007000000}"/>
            </a:ext>
          </a:extLst>
        </xdr:cNvPr>
        <xdr:cNvSpPr txBox="1"/>
      </xdr:nvSpPr>
      <xdr:spPr>
        <a:xfrm>
          <a:off x="8267700" y="39921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121</xdr:row>
      <xdr:rowOff>0</xdr:rowOff>
    </xdr:from>
    <xdr:ext cx="65" cy="172227"/>
    <xdr:sp macro="" textlink="">
      <xdr:nvSpPr>
        <xdr:cNvPr id="845" name="TextBox 844">
          <a:extLst>
            <a:ext uri="{FF2B5EF4-FFF2-40B4-BE49-F238E27FC236}">
              <a16:creationId xmlns:a16="http://schemas.microsoft.com/office/drawing/2014/main" id="{00000000-0008-0000-0000-000007000000}"/>
            </a:ext>
          </a:extLst>
        </xdr:cNvPr>
        <xdr:cNvSpPr txBox="1"/>
      </xdr:nvSpPr>
      <xdr:spPr>
        <a:xfrm>
          <a:off x="8267700" y="40104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121</xdr:row>
      <xdr:rowOff>0</xdr:rowOff>
    </xdr:from>
    <xdr:ext cx="65" cy="172227"/>
    <xdr:sp macro="" textlink="">
      <xdr:nvSpPr>
        <xdr:cNvPr id="846" name="TextBox 845">
          <a:extLst>
            <a:ext uri="{FF2B5EF4-FFF2-40B4-BE49-F238E27FC236}">
              <a16:creationId xmlns:a16="http://schemas.microsoft.com/office/drawing/2014/main" id="{00000000-0008-0000-0000-000007000000}"/>
            </a:ext>
          </a:extLst>
        </xdr:cNvPr>
        <xdr:cNvSpPr txBox="1"/>
      </xdr:nvSpPr>
      <xdr:spPr>
        <a:xfrm>
          <a:off x="8267700" y="40104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122</xdr:row>
      <xdr:rowOff>0</xdr:rowOff>
    </xdr:from>
    <xdr:ext cx="65" cy="172227"/>
    <xdr:sp macro="" textlink="">
      <xdr:nvSpPr>
        <xdr:cNvPr id="847" name="TextBox 846">
          <a:extLst>
            <a:ext uri="{FF2B5EF4-FFF2-40B4-BE49-F238E27FC236}">
              <a16:creationId xmlns:a16="http://schemas.microsoft.com/office/drawing/2014/main" id="{00000000-0008-0000-0000-000007000000}"/>
            </a:ext>
          </a:extLst>
        </xdr:cNvPr>
        <xdr:cNvSpPr txBox="1"/>
      </xdr:nvSpPr>
      <xdr:spPr>
        <a:xfrm>
          <a:off x="8267700" y="40286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122</xdr:row>
      <xdr:rowOff>0</xdr:rowOff>
    </xdr:from>
    <xdr:ext cx="65" cy="172227"/>
    <xdr:sp macro="" textlink="">
      <xdr:nvSpPr>
        <xdr:cNvPr id="848" name="TextBox 847">
          <a:extLst>
            <a:ext uri="{FF2B5EF4-FFF2-40B4-BE49-F238E27FC236}">
              <a16:creationId xmlns:a16="http://schemas.microsoft.com/office/drawing/2014/main" id="{00000000-0008-0000-0000-000007000000}"/>
            </a:ext>
          </a:extLst>
        </xdr:cNvPr>
        <xdr:cNvSpPr txBox="1"/>
      </xdr:nvSpPr>
      <xdr:spPr>
        <a:xfrm>
          <a:off x="8267700" y="40286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128</xdr:row>
      <xdr:rowOff>0</xdr:rowOff>
    </xdr:from>
    <xdr:ext cx="65" cy="172227"/>
    <xdr:sp macro="" textlink="">
      <xdr:nvSpPr>
        <xdr:cNvPr id="849" name="TextBox 848">
          <a:extLst>
            <a:ext uri="{FF2B5EF4-FFF2-40B4-BE49-F238E27FC236}">
              <a16:creationId xmlns:a16="http://schemas.microsoft.com/office/drawing/2014/main" id="{00000000-0008-0000-0000-000007000000}"/>
            </a:ext>
          </a:extLst>
        </xdr:cNvPr>
        <xdr:cNvSpPr txBox="1"/>
      </xdr:nvSpPr>
      <xdr:spPr>
        <a:xfrm>
          <a:off x="8267700" y="41384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128</xdr:row>
      <xdr:rowOff>0</xdr:rowOff>
    </xdr:from>
    <xdr:ext cx="65" cy="172227"/>
    <xdr:sp macro="" textlink="">
      <xdr:nvSpPr>
        <xdr:cNvPr id="850" name="TextBox 849">
          <a:extLst>
            <a:ext uri="{FF2B5EF4-FFF2-40B4-BE49-F238E27FC236}">
              <a16:creationId xmlns:a16="http://schemas.microsoft.com/office/drawing/2014/main" id="{00000000-0008-0000-0000-000007000000}"/>
            </a:ext>
          </a:extLst>
        </xdr:cNvPr>
        <xdr:cNvSpPr txBox="1"/>
      </xdr:nvSpPr>
      <xdr:spPr>
        <a:xfrm>
          <a:off x="8267700" y="41384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129</xdr:row>
      <xdr:rowOff>0</xdr:rowOff>
    </xdr:from>
    <xdr:ext cx="65" cy="172227"/>
    <xdr:sp macro="" textlink="">
      <xdr:nvSpPr>
        <xdr:cNvPr id="851" name="TextBox 850">
          <a:extLst>
            <a:ext uri="{FF2B5EF4-FFF2-40B4-BE49-F238E27FC236}">
              <a16:creationId xmlns:a16="http://schemas.microsoft.com/office/drawing/2014/main" id="{00000000-0008-0000-0000-000007000000}"/>
            </a:ext>
          </a:extLst>
        </xdr:cNvPr>
        <xdr:cNvSpPr txBox="1"/>
      </xdr:nvSpPr>
      <xdr:spPr>
        <a:xfrm>
          <a:off x="8267700" y="4156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129</xdr:row>
      <xdr:rowOff>0</xdr:rowOff>
    </xdr:from>
    <xdr:ext cx="65" cy="172227"/>
    <xdr:sp macro="" textlink="">
      <xdr:nvSpPr>
        <xdr:cNvPr id="852" name="TextBox 851">
          <a:extLst>
            <a:ext uri="{FF2B5EF4-FFF2-40B4-BE49-F238E27FC236}">
              <a16:creationId xmlns:a16="http://schemas.microsoft.com/office/drawing/2014/main" id="{00000000-0008-0000-0000-000007000000}"/>
            </a:ext>
          </a:extLst>
        </xdr:cNvPr>
        <xdr:cNvSpPr txBox="1"/>
      </xdr:nvSpPr>
      <xdr:spPr>
        <a:xfrm>
          <a:off x="8267700" y="4156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130</xdr:row>
      <xdr:rowOff>0</xdr:rowOff>
    </xdr:from>
    <xdr:ext cx="65" cy="172227"/>
    <xdr:sp macro="" textlink="">
      <xdr:nvSpPr>
        <xdr:cNvPr id="853" name="TextBox 852">
          <a:extLst>
            <a:ext uri="{FF2B5EF4-FFF2-40B4-BE49-F238E27FC236}">
              <a16:creationId xmlns:a16="http://schemas.microsoft.com/office/drawing/2014/main" id="{00000000-0008-0000-0000-000007000000}"/>
            </a:ext>
          </a:extLst>
        </xdr:cNvPr>
        <xdr:cNvSpPr txBox="1"/>
      </xdr:nvSpPr>
      <xdr:spPr>
        <a:xfrm>
          <a:off x="8267700" y="41749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130</xdr:row>
      <xdr:rowOff>0</xdr:rowOff>
    </xdr:from>
    <xdr:ext cx="65" cy="172227"/>
    <xdr:sp macro="" textlink="">
      <xdr:nvSpPr>
        <xdr:cNvPr id="854" name="TextBox 853">
          <a:extLst>
            <a:ext uri="{FF2B5EF4-FFF2-40B4-BE49-F238E27FC236}">
              <a16:creationId xmlns:a16="http://schemas.microsoft.com/office/drawing/2014/main" id="{00000000-0008-0000-0000-000007000000}"/>
            </a:ext>
          </a:extLst>
        </xdr:cNvPr>
        <xdr:cNvSpPr txBox="1"/>
      </xdr:nvSpPr>
      <xdr:spPr>
        <a:xfrm>
          <a:off x="8267700" y="41749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131</xdr:row>
      <xdr:rowOff>0</xdr:rowOff>
    </xdr:from>
    <xdr:ext cx="65" cy="172227"/>
    <xdr:sp macro="" textlink="">
      <xdr:nvSpPr>
        <xdr:cNvPr id="855" name="TextBox 854">
          <a:extLst>
            <a:ext uri="{FF2B5EF4-FFF2-40B4-BE49-F238E27FC236}">
              <a16:creationId xmlns:a16="http://schemas.microsoft.com/office/drawing/2014/main" id="{00000000-0008-0000-0000-000007000000}"/>
            </a:ext>
          </a:extLst>
        </xdr:cNvPr>
        <xdr:cNvSpPr txBox="1"/>
      </xdr:nvSpPr>
      <xdr:spPr>
        <a:xfrm>
          <a:off x="8267700" y="41932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131</xdr:row>
      <xdr:rowOff>0</xdr:rowOff>
    </xdr:from>
    <xdr:ext cx="65" cy="172227"/>
    <xdr:sp macro="" textlink="">
      <xdr:nvSpPr>
        <xdr:cNvPr id="856" name="TextBox 855">
          <a:extLst>
            <a:ext uri="{FF2B5EF4-FFF2-40B4-BE49-F238E27FC236}">
              <a16:creationId xmlns:a16="http://schemas.microsoft.com/office/drawing/2014/main" id="{00000000-0008-0000-0000-000007000000}"/>
            </a:ext>
          </a:extLst>
        </xdr:cNvPr>
        <xdr:cNvSpPr txBox="1"/>
      </xdr:nvSpPr>
      <xdr:spPr>
        <a:xfrm>
          <a:off x="8267700" y="41932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132</xdr:row>
      <xdr:rowOff>0</xdr:rowOff>
    </xdr:from>
    <xdr:ext cx="65" cy="172227"/>
    <xdr:sp macro="" textlink="">
      <xdr:nvSpPr>
        <xdr:cNvPr id="857" name="TextBox 856">
          <a:extLst>
            <a:ext uri="{FF2B5EF4-FFF2-40B4-BE49-F238E27FC236}">
              <a16:creationId xmlns:a16="http://schemas.microsoft.com/office/drawing/2014/main" id="{00000000-0008-0000-0000-000007000000}"/>
            </a:ext>
          </a:extLst>
        </xdr:cNvPr>
        <xdr:cNvSpPr txBox="1"/>
      </xdr:nvSpPr>
      <xdr:spPr>
        <a:xfrm>
          <a:off x="8267700" y="42115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132</xdr:row>
      <xdr:rowOff>0</xdr:rowOff>
    </xdr:from>
    <xdr:ext cx="65" cy="172227"/>
    <xdr:sp macro="" textlink="">
      <xdr:nvSpPr>
        <xdr:cNvPr id="858" name="TextBox 857">
          <a:extLst>
            <a:ext uri="{FF2B5EF4-FFF2-40B4-BE49-F238E27FC236}">
              <a16:creationId xmlns:a16="http://schemas.microsoft.com/office/drawing/2014/main" id="{00000000-0008-0000-0000-000007000000}"/>
            </a:ext>
          </a:extLst>
        </xdr:cNvPr>
        <xdr:cNvSpPr txBox="1"/>
      </xdr:nvSpPr>
      <xdr:spPr>
        <a:xfrm>
          <a:off x="8267700" y="42115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859" name="TextBox 858">
          <a:extLst>
            <a:ext uri="{FF2B5EF4-FFF2-40B4-BE49-F238E27FC236}">
              <a16:creationId xmlns:a16="http://schemas.microsoft.com/office/drawing/2014/main" id="{00000000-0008-0000-0000-000007000000}"/>
            </a:ext>
          </a:extLst>
        </xdr:cNvPr>
        <xdr:cNvSpPr txBox="1"/>
      </xdr:nvSpPr>
      <xdr:spPr>
        <a:xfrm>
          <a:off x="8267700" y="33474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860" name="TextBox 859">
          <a:extLst>
            <a:ext uri="{FF2B5EF4-FFF2-40B4-BE49-F238E27FC236}">
              <a16:creationId xmlns:a16="http://schemas.microsoft.com/office/drawing/2014/main" id="{00000000-0008-0000-0000-000007000000}"/>
            </a:ext>
          </a:extLst>
        </xdr:cNvPr>
        <xdr:cNvSpPr txBox="1"/>
      </xdr:nvSpPr>
      <xdr:spPr>
        <a:xfrm>
          <a:off x="8267700" y="33474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861" name="TextBox 860">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862" name="TextBox 861">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863" name="TextBox 862">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864" name="TextBox 863">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865" name="TextBox 864">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866" name="TextBox 865">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84</xdr:row>
      <xdr:rowOff>0</xdr:rowOff>
    </xdr:from>
    <xdr:ext cx="65" cy="172227"/>
    <xdr:sp macro="" textlink="">
      <xdr:nvSpPr>
        <xdr:cNvPr id="867" name="TextBox 866">
          <a:extLst>
            <a:ext uri="{FF2B5EF4-FFF2-40B4-BE49-F238E27FC236}">
              <a16:creationId xmlns:a16="http://schemas.microsoft.com/office/drawing/2014/main" id="{00000000-0008-0000-0000-000007000000}"/>
            </a:ext>
          </a:extLst>
        </xdr:cNvPr>
        <xdr:cNvSpPr txBox="1"/>
      </xdr:nvSpPr>
      <xdr:spPr>
        <a:xfrm>
          <a:off x="8267700" y="33276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84</xdr:row>
      <xdr:rowOff>0</xdr:rowOff>
    </xdr:from>
    <xdr:ext cx="65" cy="172227"/>
    <xdr:sp macro="" textlink="">
      <xdr:nvSpPr>
        <xdr:cNvPr id="868" name="TextBox 867">
          <a:extLst>
            <a:ext uri="{FF2B5EF4-FFF2-40B4-BE49-F238E27FC236}">
              <a16:creationId xmlns:a16="http://schemas.microsoft.com/office/drawing/2014/main" id="{00000000-0008-0000-0000-000007000000}"/>
            </a:ext>
          </a:extLst>
        </xdr:cNvPr>
        <xdr:cNvSpPr txBox="1"/>
      </xdr:nvSpPr>
      <xdr:spPr>
        <a:xfrm>
          <a:off x="8267700" y="33276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869" name="TextBox 868">
          <a:extLst>
            <a:ext uri="{FF2B5EF4-FFF2-40B4-BE49-F238E27FC236}">
              <a16:creationId xmlns:a16="http://schemas.microsoft.com/office/drawing/2014/main" id="{00000000-0008-0000-0000-000007000000}"/>
            </a:ext>
          </a:extLst>
        </xdr:cNvPr>
        <xdr:cNvSpPr txBox="1"/>
      </xdr:nvSpPr>
      <xdr:spPr>
        <a:xfrm>
          <a:off x="8267700" y="33474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870" name="TextBox 869">
          <a:extLst>
            <a:ext uri="{FF2B5EF4-FFF2-40B4-BE49-F238E27FC236}">
              <a16:creationId xmlns:a16="http://schemas.microsoft.com/office/drawing/2014/main" id="{00000000-0008-0000-0000-000007000000}"/>
            </a:ext>
          </a:extLst>
        </xdr:cNvPr>
        <xdr:cNvSpPr txBox="1"/>
      </xdr:nvSpPr>
      <xdr:spPr>
        <a:xfrm>
          <a:off x="8267700" y="33474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871" name="TextBox 870">
          <a:extLst>
            <a:ext uri="{FF2B5EF4-FFF2-40B4-BE49-F238E27FC236}">
              <a16:creationId xmlns:a16="http://schemas.microsoft.com/office/drawing/2014/main" id="{00000000-0008-0000-0000-000007000000}"/>
            </a:ext>
          </a:extLst>
        </xdr:cNvPr>
        <xdr:cNvSpPr txBox="1"/>
      </xdr:nvSpPr>
      <xdr:spPr>
        <a:xfrm>
          <a:off x="8267700" y="33474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872" name="TextBox 871">
          <a:extLst>
            <a:ext uri="{FF2B5EF4-FFF2-40B4-BE49-F238E27FC236}">
              <a16:creationId xmlns:a16="http://schemas.microsoft.com/office/drawing/2014/main" id="{00000000-0008-0000-0000-000007000000}"/>
            </a:ext>
          </a:extLst>
        </xdr:cNvPr>
        <xdr:cNvSpPr txBox="1"/>
      </xdr:nvSpPr>
      <xdr:spPr>
        <a:xfrm>
          <a:off x="8267700" y="33474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873" name="TextBox 872">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874" name="TextBox 873">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875" name="TextBox 874">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876" name="TextBox 875">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877" name="TextBox 876">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878" name="TextBox 877">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879" name="TextBox 878">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880" name="TextBox 879">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84</xdr:row>
      <xdr:rowOff>0</xdr:rowOff>
    </xdr:from>
    <xdr:ext cx="65" cy="172227"/>
    <xdr:sp macro="" textlink="">
      <xdr:nvSpPr>
        <xdr:cNvPr id="881" name="TextBox 880">
          <a:extLst>
            <a:ext uri="{FF2B5EF4-FFF2-40B4-BE49-F238E27FC236}">
              <a16:creationId xmlns:a16="http://schemas.microsoft.com/office/drawing/2014/main" id="{00000000-0008-0000-0000-000007000000}"/>
            </a:ext>
          </a:extLst>
        </xdr:cNvPr>
        <xdr:cNvSpPr txBox="1"/>
      </xdr:nvSpPr>
      <xdr:spPr>
        <a:xfrm>
          <a:off x="8267700" y="33276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84</xdr:row>
      <xdr:rowOff>0</xdr:rowOff>
    </xdr:from>
    <xdr:ext cx="65" cy="172227"/>
    <xdr:sp macro="" textlink="">
      <xdr:nvSpPr>
        <xdr:cNvPr id="882" name="TextBox 881">
          <a:extLst>
            <a:ext uri="{FF2B5EF4-FFF2-40B4-BE49-F238E27FC236}">
              <a16:creationId xmlns:a16="http://schemas.microsoft.com/office/drawing/2014/main" id="{00000000-0008-0000-0000-000007000000}"/>
            </a:ext>
          </a:extLst>
        </xdr:cNvPr>
        <xdr:cNvSpPr txBox="1"/>
      </xdr:nvSpPr>
      <xdr:spPr>
        <a:xfrm>
          <a:off x="8267700" y="33276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83</xdr:row>
      <xdr:rowOff>0</xdr:rowOff>
    </xdr:from>
    <xdr:ext cx="65" cy="172227"/>
    <xdr:sp macro="" textlink="">
      <xdr:nvSpPr>
        <xdr:cNvPr id="799" name="TextBox 798">
          <a:extLst>
            <a:ext uri="{FF2B5EF4-FFF2-40B4-BE49-F238E27FC236}">
              <a16:creationId xmlns:a16="http://schemas.microsoft.com/office/drawing/2014/main" id="{00000000-0008-0000-0000-000007000000}"/>
            </a:ext>
          </a:extLst>
        </xdr:cNvPr>
        <xdr:cNvSpPr txBox="1"/>
      </xdr:nvSpPr>
      <xdr:spPr>
        <a:xfrm>
          <a:off x="8267700" y="33078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83</xdr:row>
      <xdr:rowOff>0</xdr:rowOff>
    </xdr:from>
    <xdr:ext cx="65" cy="172227"/>
    <xdr:sp macro="" textlink="">
      <xdr:nvSpPr>
        <xdr:cNvPr id="886" name="TextBox 885">
          <a:extLst>
            <a:ext uri="{FF2B5EF4-FFF2-40B4-BE49-F238E27FC236}">
              <a16:creationId xmlns:a16="http://schemas.microsoft.com/office/drawing/2014/main" id="{00000000-0008-0000-0000-000007000000}"/>
            </a:ext>
          </a:extLst>
        </xdr:cNvPr>
        <xdr:cNvSpPr txBox="1"/>
      </xdr:nvSpPr>
      <xdr:spPr>
        <a:xfrm>
          <a:off x="8267700" y="33078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84</xdr:row>
      <xdr:rowOff>0</xdr:rowOff>
    </xdr:from>
    <xdr:ext cx="65" cy="172227"/>
    <xdr:sp macro="" textlink="">
      <xdr:nvSpPr>
        <xdr:cNvPr id="887" name="TextBox 886">
          <a:extLst>
            <a:ext uri="{FF2B5EF4-FFF2-40B4-BE49-F238E27FC236}">
              <a16:creationId xmlns:a16="http://schemas.microsoft.com/office/drawing/2014/main" id="{00000000-0008-0000-0000-000007000000}"/>
            </a:ext>
          </a:extLst>
        </xdr:cNvPr>
        <xdr:cNvSpPr txBox="1"/>
      </xdr:nvSpPr>
      <xdr:spPr>
        <a:xfrm>
          <a:off x="8267700" y="33276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84</xdr:row>
      <xdr:rowOff>0</xdr:rowOff>
    </xdr:from>
    <xdr:ext cx="65" cy="172227"/>
    <xdr:sp macro="" textlink="">
      <xdr:nvSpPr>
        <xdr:cNvPr id="888" name="TextBox 887">
          <a:extLst>
            <a:ext uri="{FF2B5EF4-FFF2-40B4-BE49-F238E27FC236}">
              <a16:creationId xmlns:a16="http://schemas.microsoft.com/office/drawing/2014/main" id="{00000000-0008-0000-0000-000007000000}"/>
            </a:ext>
          </a:extLst>
        </xdr:cNvPr>
        <xdr:cNvSpPr txBox="1"/>
      </xdr:nvSpPr>
      <xdr:spPr>
        <a:xfrm>
          <a:off x="8267700" y="33276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889" name="TextBox 888">
          <a:extLst>
            <a:ext uri="{FF2B5EF4-FFF2-40B4-BE49-F238E27FC236}">
              <a16:creationId xmlns:a16="http://schemas.microsoft.com/office/drawing/2014/main" id="{00000000-0008-0000-0000-000007000000}"/>
            </a:ext>
          </a:extLst>
        </xdr:cNvPr>
        <xdr:cNvSpPr txBox="1"/>
      </xdr:nvSpPr>
      <xdr:spPr>
        <a:xfrm>
          <a:off x="8267700" y="33474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890" name="TextBox 889">
          <a:extLst>
            <a:ext uri="{FF2B5EF4-FFF2-40B4-BE49-F238E27FC236}">
              <a16:creationId xmlns:a16="http://schemas.microsoft.com/office/drawing/2014/main" id="{00000000-0008-0000-0000-000007000000}"/>
            </a:ext>
          </a:extLst>
        </xdr:cNvPr>
        <xdr:cNvSpPr txBox="1"/>
      </xdr:nvSpPr>
      <xdr:spPr>
        <a:xfrm>
          <a:off x="8267700" y="33474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891" name="TextBox 890">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892" name="TextBox 891">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893" name="TextBox 892">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894" name="TextBox 893">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88</xdr:row>
      <xdr:rowOff>0</xdr:rowOff>
    </xdr:from>
    <xdr:ext cx="65" cy="172227"/>
    <xdr:sp macro="" textlink="">
      <xdr:nvSpPr>
        <xdr:cNvPr id="895" name="TextBox 894">
          <a:extLst>
            <a:ext uri="{FF2B5EF4-FFF2-40B4-BE49-F238E27FC236}">
              <a16:creationId xmlns:a16="http://schemas.microsoft.com/office/drawing/2014/main" id="{00000000-0008-0000-0000-000007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88</xdr:row>
      <xdr:rowOff>0</xdr:rowOff>
    </xdr:from>
    <xdr:ext cx="65" cy="172227"/>
    <xdr:sp macro="" textlink="">
      <xdr:nvSpPr>
        <xdr:cNvPr id="896" name="TextBox 895">
          <a:extLst>
            <a:ext uri="{FF2B5EF4-FFF2-40B4-BE49-F238E27FC236}">
              <a16:creationId xmlns:a16="http://schemas.microsoft.com/office/drawing/2014/main" id="{00000000-0008-0000-0000-000007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89</xdr:row>
      <xdr:rowOff>0</xdr:rowOff>
    </xdr:from>
    <xdr:ext cx="65" cy="172227"/>
    <xdr:sp macro="" textlink="">
      <xdr:nvSpPr>
        <xdr:cNvPr id="897" name="TextBox 896">
          <a:extLst>
            <a:ext uri="{FF2B5EF4-FFF2-40B4-BE49-F238E27FC236}">
              <a16:creationId xmlns:a16="http://schemas.microsoft.com/office/drawing/2014/main" id="{00000000-0008-0000-0000-000007000000}"/>
            </a:ext>
          </a:extLst>
        </xdr:cNvPr>
        <xdr:cNvSpPr txBox="1"/>
      </xdr:nvSpPr>
      <xdr:spPr>
        <a:xfrm>
          <a:off x="8267700" y="3425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89</xdr:row>
      <xdr:rowOff>0</xdr:rowOff>
    </xdr:from>
    <xdr:ext cx="65" cy="172227"/>
    <xdr:sp macro="" textlink="">
      <xdr:nvSpPr>
        <xdr:cNvPr id="898" name="TextBox 897">
          <a:extLst>
            <a:ext uri="{FF2B5EF4-FFF2-40B4-BE49-F238E27FC236}">
              <a16:creationId xmlns:a16="http://schemas.microsoft.com/office/drawing/2014/main" id="{00000000-0008-0000-0000-000007000000}"/>
            </a:ext>
          </a:extLst>
        </xdr:cNvPr>
        <xdr:cNvSpPr txBox="1"/>
      </xdr:nvSpPr>
      <xdr:spPr>
        <a:xfrm>
          <a:off x="8267700" y="3425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90</xdr:row>
      <xdr:rowOff>0</xdr:rowOff>
    </xdr:from>
    <xdr:ext cx="65" cy="172227"/>
    <xdr:sp macro="" textlink="">
      <xdr:nvSpPr>
        <xdr:cNvPr id="899" name="TextBox 898">
          <a:extLst>
            <a:ext uri="{FF2B5EF4-FFF2-40B4-BE49-F238E27FC236}">
              <a16:creationId xmlns:a16="http://schemas.microsoft.com/office/drawing/2014/main" id="{00000000-0008-0000-0000-000007000000}"/>
            </a:ext>
          </a:extLst>
        </xdr:cNvPr>
        <xdr:cNvSpPr txBox="1"/>
      </xdr:nvSpPr>
      <xdr:spPr>
        <a:xfrm>
          <a:off x="8267700" y="34434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90</xdr:row>
      <xdr:rowOff>0</xdr:rowOff>
    </xdr:from>
    <xdr:ext cx="65" cy="172227"/>
    <xdr:sp macro="" textlink="">
      <xdr:nvSpPr>
        <xdr:cNvPr id="900" name="TextBox 899">
          <a:extLst>
            <a:ext uri="{FF2B5EF4-FFF2-40B4-BE49-F238E27FC236}">
              <a16:creationId xmlns:a16="http://schemas.microsoft.com/office/drawing/2014/main" id="{00000000-0008-0000-0000-000007000000}"/>
            </a:ext>
          </a:extLst>
        </xdr:cNvPr>
        <xdr:cNvSpPr txBox="1"/>
      </xdr:nvSpPr>
      <xdr:spPr>
        <a:xfrm>
          <a:off x="8267700" y="34434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91</xdr:row>
      <xdr:rowOff>0</xdr:rowOff>
    </xdr:from>
    <xdr:ext cx="65" cy="172227"/>
    <xdr:sp macro="" textlink="">
      <xdr:nvSpPr>
        <xdr:cNvPr id="901" name="TextBox 900">
          <a:extLst>
            <a:ext uri="{FF2B5EF4-FFF2-40B4-BE49-F238E27FC236}">
              <a16:creationId xmlns:a16="http://schemas.microsoft.com/office/drawing/2014/main" id="{00000000-0008-0000-0000-000007000000}"/>
            </a:ext>
          </a:extLst>
        </xdr:cNvPr>
        <xdr:cNvSpPr txBox="1"/>
      </xdr:nvSpPr>
      <xdr:spPr>
        <a:xfrm>
          <a:off x="8267700" y="34617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91</xdr:row>
      <xdr:rowOff>0</xdr:rowOff>
    </xdr:from>
    <xdr:ext cx="65" cy="172227"/>
    <xdr:sp macro="" textlink="">
      <xdr:nvSpPr>
        <xdr:cNvPr id="902" name="TextBox 901">
          <a:extLst>
            <a:ext uri="{FF2B5EF4-FFF2-40B4-BE49-F238E27FC236}">
              <a16:creationId xmlns:a16="http://schemas.microsoft.com/office/drawing/2014/main" id="{00000000-0008-0000-0000-000007000000}"/>
            </a:ext>
          </a:extLst>
        </xdr:cNvPr>
        <xdr:cNvSpPr txBox="1"/>
      </xdr:nvSpPr>
      <xdr:spPr>
        <a:xfrm>
          <a:off x="8267700" y="34617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92</xdr:row>
      <xdr:rowOff>0</xdr:rowOff>
    </xdr:from>
    <xdr:ext cx="65" cy="172227"/>
    <xdr:sp macro="" textlink="">
      <xdr:nvSpPr>
        <xdr:cNvPr id="903" name="TextBox 902">
          <a:extLst>
            <a:ext uri="{FF2B5EF4-FFF2-40B4-BE49-F238E27FC236}">
              <a16:creationId xmlns:a16="http://schemas.microsoft.com/office/drawing/2014/main" id="{00000000-0008-0000-0000-000007000000}"/>
            </a:ext>
          </a:extLst>
        </xdr:cNvPr>
        <xdr:cNvSpPr txBox="1"/>
      </xdr:nvSpPr>
      <xdr:spPr>
        <a:xfrm>
          <a:off x="8267700" y="34800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92</xdr:row>
      <xdr:rowOff>0</xdr:rowOff>
    </xdr:from>
    <xdr:ext cx="65" cy="172227"/>
    <xdr:sp macro="" textlink="">
      <xdr:nvSpPr>
        <xdr:cNvPr id="904" name="TextBox 903">
          <a:extLst>
            <a:ext uri="{FF2B5EF4-FFF2-40B4-BE49-F238E27FC236}">
              <a16:creationId xmlns:a16="http://schemas.microsoft.com/office/drawing/2014/main" id="{00000000-0008-0000-0000-000007000000}"/>
            </a:ext>
          </a:extLst>
        </xdr:cNvPr>
        <xdr:cNvSpPr txBox="1"/>
      </xdr:nvSpPr>
      <xdr:spPr>
        <a:xfrm>
          <a:off x="8267700" y="34800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98</xdr:row>
      <xdr:rowOff>0</xdr:rowOff>
    </xdr:from>
    <xdr:ext cx="65" cy="172227"/>
    <xdr:sp macro="" textlink="">
      <xdr:nvSpPr>
        <xdr:cNvPr id="905" name="TextBox 904">
          <a:extLst>
            <a:ext uri="{FF2B5EF4-FFF2-40B4-BE49-F238E27FC236}">
              <a16:creationId xmlns:a16="http://schemas.microsoft.com/office/drawing/2014/main" id="{00000000-0008-0000-0000-000007000000}"/>
            </a:ext>
          </a:extLst>
        </xdr:cNvPr>
        <xdr:cNvSpPr txBox="1"/>
      </xdr:nvSpPr>
      <xdr:spPr>
        <a:xfrm>
          <a:off x="8267700" y="35897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98</xdr:row>
      <xdr:rowOff>0</xdr:rowOff>
    </xdr:from>
    <xdr:ext cx="65" cy="172227"/>
    <xdr:sp macro="" textlink="">
      <xdr:nvSpPr>
        <xdr:cNvPr id="906" name="TextBox 905">
          <a:extLst>
            <a:ext uri="{FF2B5EF4-FFF2-40B4-BE49-F238E27FC236}">
              <a16:creationId xmlns:a16="http://schemas.microsoft.com/office/drawing/2014/main" id="{00000000-0008-0000-0000-000007000000}"/>
            </a:ext>
          </a:extLst>
        </xdr:cNvPr>
        <xdr:cNvSpPr txBox="1"/>
      </xdr:nvSpPr>
      <xdr:spPr>
        <a:xfrm>
          <a:off x="8267700" y="35897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99</xdr:row>
      <xdr:rowOff>0</xdr:rowOff>
    </xdr:from>
    <xdr:ext cx="65" cy="172227"/>
    <xdr:sp macro="" textlink="">
      <xdr:nvSpPr>
        <xdr:cNvPr id="907" name="TextBox 906">
          <a:extLst>
            <a:ext uri="{FF2B5EF4-FFF2-40B4-BE49-F238E27FC236}">
              <a16:creationId xmlns:a16="http://schemas.microsoft.com/office/drawing/2014/main" id="{00000000-0008-0000-0000-000007000000}"/>
            </a:ext>
          </a:extLst>
        </xdr:cNvPr>
        <xdr:cNvSpPr txBox="1"/>
      </xdr:nvSpPr>
      <xdr:spPr>
        <a:xfrm>
          <a:off x="8267700" y="36080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99</xdr:row>
      <xdr:rowOff>0</xdr:rowOff>
    </xdr:from>
    <xdr:ext cx="65" cy="172227"/>
    <xdr:sp macro="" textlink="">
      <xdr:nvSpPr>
        <xdr:cNvPr id="908" name="TextBox 907">
          <a:extLst>
            <a:ext uri="{FF2B5EF4-FFF2-40B4-BE49-F238E27FC236}">
              <a16:creationId xmlns:a16="http://schemas.microsoft.com/office/drawing/2014/main" id="{00000000-0008-0000-0000-000007000000}"/>
            </a:ext>
          </a:extLst>
        </xdr:cNvPr>
        <xdr:cNvSpPr txBox="1"/>
      </xdr:nvSpPr>
      <xdr:spPr>
        <a:xfrm>
          <a:off x="8267700" y="36080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100</xdr:row>
      <xdr:rowOff>0</xdr:rowOff>
    </xdr:from>
    <xdr:ext cx="65" cy="172227"/>
    <xdr:sp macro="" textlink="">
      <xdr:nvSpPr>
        <xdr:cNvPr id="909" name="TextBox 908">
          <a:extLst>
            <a:ext uri="{FF2B5EF4-FFF2-40B4-BE49-F238E27FC236}">
              <a16:creationId xmlns:a16="http://schemas.microsoft.com/office/drawing/2014/main" id="{00000000-0008-0000-0000-000007000000}"/>
            </a:ext>
          </a:extLst>
        </xdr:cNvPr>
        <xdr:cNvSpPr txBox="1"/>
      </xdr:nvSpPr>
      <xdr:spPr>
        <a:xfrm>
          <a:off x="8267700" y="36263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100</xdr:row>
      <xdr:rowOff>0</xdr:rowOff>
    </xdr:from>
    <xdr:ext cx="65" cy="172227"/>
    <xdr:sp macro="" textlink="">
      <xdr:nvSpPr>
        <xdr:cNvPr id="910" name="TextBox 909">
          <a:extLst>
            <a:ext uri="{FF2B5EF4-FFF2-40B4-BE49-F238E27FC236}">
              <a16:creationId xmlns:a16="http://schemas.microsoft.com/office/drawing/2014/main" id="{00000000-0008-0000-0000-000007000000}"/>
            </a:ext>
          </a:extLst>
        </xdr:cNvPr>
        <xdr:cNvSpPr txBox="1"/>
      </xdr:nvSpPr>
      <xdr:spPr>
        <a:xfrm>
          <a:off x="8267700" y="36263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101</xdr:row>
      <xdr:rowOff>0</xdr:rowOff>
    </xdr:from>
    <xdr:ext cx="65" cy="172227"/>
    <xdr:sp macro="" textlink="">
      <xdr:nvSpPr>
        <xdr:cNvPr id="911" name="TextBox 910">
          <a:extLst>
            <a:ext uri="{FF2B5EF4-FFF2-40B4-BE49-F238E27FC236}">
              <a16:creationId xmlns:a16="http://schemas.microsoft.com/office/drawing/2014/main" id="{00000000-0008-0000-0000-000007000000}"/>
            </a:ext>
          </a:extLst>
        </xdr:cNvPr>
        <xdr:cNvSpPr txBox="1"/>
      </xdr:nvSpPr>
      <xdr:spPr>
        <a:xfrm>
          <a:off x="8267700" y="36446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101</xdr:row>
      <xdr:rowOff>0</xdr:rowOff>
    </xdr:from>
    <xdr:ext cx="65" cy="172227"/>
    <xdr:sp macro="" textlink="">
      <xdr:nvSpPr>
        <xdr:cNvPr id="912" name="TextBox 911">
          <a:extLst>
            <a:ext uri="{FF2B5EF4-FFF2-40B4-BE49-F238E27FC236}">
              <a16:creationId xmlns:a16="http://schemas.microsoft.com/office/drawing/2014/main" id="{00000000-0008-0000-0000-000007000000}"/>
            </a:ext>
          </a:extLst>
        </xdr:cNvPr>
        <xdr:cNvSpPr txBox="1"/>
      </xdr:nvSpPr>
      <xdr:spPr>
        <a:xfrm>
          <a:off x="8267700" y="36446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102</xdr:row>
      <xdr:rowOff>0</xdr:rowOff>
    </xdr:from>
    <xdr:ext cx="65" cy="172227"/>
    <xdr:sp macro="" textlink="">
      <xdr:nvSpPr>
        <xdr:cNvPr id="913" name="TextBox 912">
          <a:extLst>
            <a:ext uri="{FF2B5EF4-FFF2-40B4-BE49-F238E27FC236}">
              <a16:creationId xmlns:a16="http://schemas.microsoft.com/office/drawing/2014/main" id="{00000000-0008-0000-0000-000007000000}"/>
            </a:ext>
          </a:extLst>
        </xdr:cNvPr>
        <xdr:cNvSpPr txBox="1"/>
      </xdr:nvSpPr>
      <xdr:spPr>
        <a:xfrm>
          <a:off x="8267700" y="36629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102</xdr:row>
      <xdr:rowOff>0</xdr:rowOff>
    </xdr:from>
    <xdr:ext cx="65" cy="172227"/>
    <xdr:sp macro="" textlink="">
      <xdr:nvSpPr>
        <xdr:cNvPr id="914" name="TextBox 913">
          <a:extLst>
            <a:ext uri="{FF2B5EF4-FFF2-40B4-BE49-F238E27FC236}">
              <a16:creationId xmlns:a16="http://schemas.microsoft.com/office/drawing/2014/main" id="{00000000-0008-0000-0000-000007000000}"/>
            </a:ext>
          </a:extLst>
        </xdr:cNvPr>
        <xdr:cNvSpPr txBox="1"/>
      </xdr:nvSpPr>
      <xdr:spPr>
        <a:xfrm>
          <a:off x="8267700" y="36629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108</xdr:row>
      <xdr:rowOff>0</xdr:rowOff>
    </xdr:from>
    <xdr:ext cx="65" cy="172227"/>
    <xdr:sp macro="" textlink="">
      <xdr:nvSpPr>
        <xdr:cNvPr id="915" name="TextBox 914">
          <a:extLst>
            <a:ext uri="{FF2B5EF4-FFF2-40B4-BE49-F238E27FC236}">
              <a16:creationId xmlns:a16="http://schemas.microsoft.com/office/drawing/2014/main" id="{00000000-0008-0000-0000-000007000000}"/>
            </a:ext>
          </a:extLst>
        </xdr:cNvPr>
        <xdr:cNvSpPr txBox="1"/>
      </xdr:nvSpPr>
      <xdr:spPr>
        <a:xfrm>
          <a:off x="8267700" y="3772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108</xdr:row>
      <xdr:rowOff>0</xdr:rowOff>
    </xdr:from>
    <xdr:ext cx="65" cy="172227"/>
    <xdr:sp macro="" textlink="">
      <xdr:nvSpPr>
        <xdr:cNvPr id="916" name="TextBox 915">
          <a:extLst>
            <a:ext uri="{FF2B5EF4-FFF2-40B4-BE49-F238E27FC236}">
              <a16:creationId xmlns:a16="http://schemas.microsoft.com/office/drawing/2014/main" id="{00000000-0008-0000-0000-000007000000}"/>
            </a:ext>
          </a:extLst>
        </xdr:cNvPr>
        <xdr:cNvSpPr txBox="1"/>
      </xdr:nvSpPr>
      <xdr:spPr>
        <a:xfrm>
          <a:off x="8267700" y="3772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109</xdr:row>
      <xdr:rowOff>0</xdr:rowOff>
    </xdr:from>
    <xdr:ext cx="65" cy="172227"/>
    <xdr:sp macro="" textlink="">
      <xdr:nvSpPr>
        <xdr:cNvPr id="917" name="TextBox 916">
          <a:extLst>
            <a:ext uri="{FF2B5EF4-FFF2-40B4-BE49-F238E27FC236}">
              <a16:creationId xmlns:a16="http://schemas.microsoft.com/office/drawing/2014/main" id="{00000000-0008-0000-0000-000007000000}"/>
            </a:ext>
          </a:extLst>
        </xdr:cNvPr>
        <xdr:cNvSpPr txBox="1"/>
      </xdr:nvSpPr>
      <xdr:spPr>
        <a:xfrm>
          <a:off x="8267700" y="37909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109</xdr:row>
      <xdr:rowOff>0</xdr:rowOff>
    </xdr:from>
    <xdr:ext cx="65" cy="172227"/>
    <xdr:sp macro="" textlink="">
      <xdr:nvSpPr>
        <xdr:cNvPr id="918" name="TextBox 917">
          <a:extLst>
            <a:ext uri="{FF2B5EF4-FFF2-40B4-BE49-F238E27FC236}">
              <a16:creationId xmlns:a16="http://schemas.microsoft.com/office/drawing/2014/main" id="{00000000-0008-0000-0000-000007000000}"/>
            </a:ext>
          </a:extLst>
        </xdr:cNvPr>
        <xdr:cNvSpPr txBox="1"/>
      </xdr:nvSpPr>
      <xdr:spPr>
        <a:xfrm>
          <a:off x="8267700" y="37909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110</xdr:row>
      <xdr:rowOff>0</xdr:rowOff>
    </xdr:from>
    <xdr:ext cx="65" cy="172227"/>
    <xdr:sp macro="" textlink="">
      <xdr:nvSpPr>
        <xdr:cNvPr id="919" name="TextBox 918">
          <a:extLst>
            <a:ext uri="{FF2B5EF4-FFF2-40B4-BE49-F238E27FC236}">
              <a16:creationId xmlns:a16="http://schemas.microsoft.com/office/drawing/2014/main" id="{00000000-0008-0000-0000-000007000000}"/>
            </a:ext>
          </a:extLst>
        </xdr:cNvPr>
        <xdr:cNvSpPr txBox="1"/>
      </xdr:nvSpPr>
      <xdr:spPr>
        <a:xfrm>
          <a:off x="8267700" y="3809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110</xdr:row>
      <xdr:rowOff>0</xdr:rowOff>
    </xdr:from>
    <xdr:ext cx="65" cy="172227"/>
    <xdr:sp macro="" textlink="">
      <xdr:nvSpPr>
        <xdr:cNvPr id="920" name="TextBox 919">
          <a:extLst>
            <a:ext uri="{FF2B5EF4-FFF2-40B4-BE49-F238E27FC236}">
              <a16:creationId xmlns:a16="http://schemas.microsoft.com/office/drawing/2014/main" id="{00000000-0008-0000-0000-000007000000}"/>
            </a:ext>
          </a:extLst>
        </xdr:cNvPr>
        <xdr:cNvSpPr txBox="1"/>
      </xdr:nvSpPr>
      <xdr:spPr>
        <a:xfrm>
          <a:off x="8267700" y="3809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111</xdr:row>
      <xdr:rowOff>0</xdr:rowOff>
    </xdr:from>
    <xdr:ext cx="65" cy="172227"/>
    <xdr:sp macro="" textlink="">
      <xdr:nvSpPr>
        <xdr:cNvPr id="921" name="TextBox 920">
          <a:extLst>
            <a:ext uri="{FF2B5EF4-FFF2-40B4-BE49-F238E27FC236}">
              <a16:creationId xmlns:a16="http://schemas.microsoft.com/office/drawing/2014/main" id="{00000000-0008-0000-0000-000007000000}"/>
            </a:ext>
          </a:extLst>
        </xdr:cNvPr>
        <xdr:cNvSpPr txBox="1"/>
      </xdr:nvSpPr>
      <xdr:spPr>
        <a:xfrm>
          <a:off x="8267700" y="3827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111</xdr:row>
      <xdr:rowOff>0</xdr:rowOff>
    </xdr:from>
    <xdr:ext cx="65" cy="172227"/>
    <xdr:sp macro="" textlink="">
      <xdr:nvSpPr>
        <xdr:cNvPr id="922" name="TextBox 921">
          <a:extLst>
            <a:ext uri="{FF2B5EF4-FFF2-40B4-BE49-F238E27FC236}">
              <a16:creationId xmlns:a16="http://schemas.microsoft.com/office/drawing/2014/main" id="{00000000-0008-0000-0000-000007000000}"/>
            </a:ext>
          </a:extLst>
        </xdr:cNvPr>
        <xdr:cNvSpPr txBox="1"/>
      </xdr:nvSpPr>
      <xdr:spPr>
        <a:xfrm>
          <a:off x="8267700" y="3827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112</xdr:row>
      <xdr:rowOff>0</xdr:rowOff>
    </xdr:from>
    <xdr:ext cx="65" cy="172227"/>
    <xdr:sp macro="" textlink="">
      <xdr:nvSpPr>
        <xdr:cNvPr id="923" name="TextBox 922">
          <a:extLst>
            <a:ext uri="{FF2B5EF4-FFF2-40B4-BE49-F238E27FC236}">
              <a16:creationId xmlns:a16="http://schemas.microsoft.com/office/drawing/2014/main" id="{00000000-0008-0000-0000-000007000000}"/>
            </a:ext>
          </a:extLst>
        </xdr:cNvPr>
        <xdr:cNvSpPr txBox="1"/>
      </xdr:nvSpPr>
      <xdr:spPr>
        <a:xfrm>
          <a:off x="8267700" y="38458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112</xdr:row>
      <xdr:rowOff>0</xdr:rowOff>
    </xdr:from>
    <xdr:ext cx="65" cy="172227"/>
    <xdr:sp macro="" textlink="">
      <xdr:nvSpPr>
        <xdr:cNvPr id="924" name="TextBox 923">
          <a:extLst>
            <a:ext uri="{FF2B5EF4-FFF2-40B4-BE49-F238E27FC236}">
              <a16:creationId xmlns:a16="http://schemas.microsoft.com/office/drawing/2014/main" id="{00000000-0008-0000-0000-000007000000}"/>
            </a:ext>
          </a:extLst>
        </xdr:cNvPr>
        <xdr:cNvSpPr txBox="1"/>
      </xdr:nvSpPr>
      <xdr:spPr>
        <a:xfrm>
          <a:off x="8267700" y="38458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118</xdr:row>
      <xdr:rowOff>0</xdr:rowOff>
    </xdr:from>
    <xdr:ext cx="65" cy="172227"/>
    <xdr:sp macro="" textlink="">
      <xdr:nvSpPr>
        <xdr:cNvPr id="925" name="TextBox 924">
          <a:extLst>
            <a:ext uri="{FF2B5EF4-FFF2-40B4-BE49-F238E27FC236}">
              <a16:creationId xmlns:a16="http://schemas.microsoft.com/office/drawing/2014/main" id="{00000000-0008-0000-0000-000007000000}"/>
            </a:ext>
          </a:extLst>
        </xdr:cNvPr>
        <xdr:cNvSpPr txBox="1"/>
      </xdr:nvSpPr>
      <xdr:spPr>
        <a:xfrm>
          <a:off x="8267700" y="39555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118</xdr:row>
      <xdr:rowOff>0</xdr:rowOff>
    </xdr:from>
    <xdr:ext cx="65" cy="172227"/>
    <xdr:sp macro="" textlink="">
      <xdr:nvSpPr>
        <xdr:cNvPr id="926" name="TextBox 925">
          <a:extLst>
            <a:ext uri="{FF2B5EF4-FFF2-40B4-BE49-F238E27FC236}">
              <a16:creationId xmlns:a16="http://schemas.microsoft.com/office/drawing/2014/main" id="{00000000-0008-0000-0000-000007000000}"/>
            </a:ext>
          </a:extLst>
        </xdr:cNvPr>
        <xdr:cNvSpPr txBox="1"/>
      </xdr:nvSpPr>
      <xdr:spPr>
        <a:xfrm>
          <a:off x="8267700" y="39555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119</xdr:row>
      <xdr:rowOff>0</xdr:rowOff>
    </xdr:from>
    <xdr:ext cx="65" cy="172227"/>
    <xdr:sp macro="" textlink="">
      <xdr:nvSpPr>
        <xdr:cNvPr id="927" name="TextBox 926">
          <a:extLst>
            <a:ext uri="{FF2B5EF4-FFF2-40B4-BE49-F238E27FC236}">
              <a16:creationId xmlns:a16="http://schemas.microsoft.com/office/drawing/2014/main" id="{00000000-0008-0000-0000-000007000000}"/>
            </a:ext>
          </a:extLst>
        </xdr:cNvPr>
        <xdr:cNvSpPr txBox="1"/>
      </xdr:nvSpPr>
      <xdr:spPr>
        <a:xfrm>
          <a:off x="8267700" y="39738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119</xdr:row>
      <xdr:rowOff>0</xdr:rowOff>
    </xdr:from>
    <xdr:ext cx="65" cy="172227"/>
    <xdr:sp macro="" textlink="">
      <xdr:nvSpPr>
        <xdr:cNvPr id="928" name="TextBox 927">
          <a:extLst>
            <a:ext uri="{FF2B5EF4-FFF2-40B4-BE49-F238E27FC236}">
              <a16:creationId xmlns:a16="http://schemas.microsoft.com/office/drawing/2014/main" id="{00000000-0008-0000-0000-000007000000}"/>
            </a:ext>
          </a:extLst>
        </xdr:cNvPr>
        <xdr:cNvSpPr txBox="1"/>
      </xdr:nvSpPr>
      <xdr:spPr>
        <a:xfrm>
          <a:off x="8267700" y="39738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120</xdr:row>
      <xdr:rowOff>0</xdr:rowOff>
    </xdr:from>
    <xdr:ext cx="65" cy="172227"/>
    <xdr:sp macro="" textlink="">
      <xdr:nvSpPr>
        <xdr:cNvPr id="929" name="TextBox 928">
          <a:extLst>
            <a:ext uri="{FF2B5EF4-FFF2-40B4-BE49-F238E27FC236}">
              <a16:creationId xmlns:a16="http://schemas.microsoft.com/office/drawing/2014/main" id="{00000000-0008-0000-0000-000007000000}"/>
            </a:ext>
          </a:extLst>
        </xdr:cNvPr>
        <xdr:cNvSpPr txBox="1"/>
      </xdr:nvSpPr>
      <xdr:spPr>
        <a:xfrm>
          <a:off x="8267700" y="39921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120</xdr:row>
      <xdr:rowOff>0</xdr:rowOff>
    </xdr:from>
    <xdr:ext cx="65" cy="172227"/>
    <xdr:sp macro="" textlink="">
      <xdr:nvSpPr>
        <xdr:cNvPr id="930" name="TextBox 929">
          <a:extLst>
            <a:ext uri="{FF2B5EF4-FFF2-40B4-BE49-F238E27FC236}">
              <a16:creationId xmlns:a16="http://schemas.microsoft.com/office/drawing/2014/main" id="{00000000-0008-0000-0000-000007000000}"/>
            </a:ext>
          </a:extLst>
        </xdr:cNvPr>
        <xdr:cNvSpPr txBox="1"/>
      </xdr:nvSpPr>
      <xdr:spPr>
        <a:xfrm>
          <a:off x="8267700" y="39921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121</xdr:row>
      <xdr:rowOff>0</xdr:rowOff>
    </xdr:from>
    <xdr:ext cx="65" cy="172227"/>
    <xdr:sp macro="" textlink="">
      <xdr:nvSpPr>
        <xdr:cNvPr id="931" name="TextBox 930">
          <a:extLst>
            <a:ext uri="{FF2B5EF4-FFF2-40B4-BE49-F238E27FC236}">
              <a16:creationId xmlns:a16="http://schemas.microsoft.com/office/drawing/2014/main" id="{00000000-0008-0000-0000-000007000000}"/>
            </a:ext>
          </a:extLst>
        </xdr:cNvPr>
        <xdr:cNvSpPr txBox="1"/>
      </xdr:nvSpPr>
      <xdr:spPr>
        <a:xfrm>
          <a:off x="8267700" y="40104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121</xdr:row>
      <xdr:rowOff>0</xdr:rowOff>
    </xdr:from>
    <xdr:ext cx="65" cy="172227"/>
    <xdr:sp macro="" textlink="">
      <xdr:nvSpPr>
        <xdr:cNvPr id="932" name="TextBox 931">
          <a:extLst>
            <a:ext uri="{FF2B5EF4-FFF2-40B4-BE49-F238E27FC236}">
              <a16:creationId xmlns:a16="http://schemas.microsoft.com/office/drawing/2014/main" id="{00000000-0008-0000-0000-000007000000}"/>
            </a:ext>
          </a:extLst>
        </xdr:cNvPr>
        <xdr:cNvSpPr txBox="1"/>
      </xdr:nvSpPr>
      <xdr:spPr>
        <a:xfrm>
          <a:off x="8267700" y="40104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122</xdr:row>
      <xdr:rowOff>0</xdr:rowOff>
    </xdr:from>
    <xdr:ext cx="65" cy="172227"/>
    <xdr:sp macro="" textlink="">
      <xdr:nvSpPr>
        <xdr:cNvPr id="933" name="TextBox 932">
          <a:extLst>
            <a:ext uri="{FF2B5EF4-FFF2-40B4-BE49-F238E27FC236}">
              <a16:creationId xmlns:a16="http://schemas.microsoft.com/office/drawing/2014/main" id="{00000000-0008-0000-0000-000007000000}"/>
            </a:ext>
          </a:extLst>
        </xdr:cNvPr>
        <xdr:cNvSpPr txBox="1"/>
      </xdr:nvSpPr>
      <xdr:spPr>
        <a:xfrm>
          <a:off x="8267700" y="40286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122</xdr:row>
      <xdr:rowOff>0</xdr:rowOff>
    </xdr:from>
    <xdr:ext cx="65" cy="172227"/>
    <xdr:sp macro="" textlink="">
      <xdr:nvSpPr>
        <xdr:cNvPr id="934" name="TextBox 933">
          <a:extLst>
            <a:ext uri="{FF2B5EF4-FFF2-40B4-BE49-F238E27FC236}">
              <a16:creationId xmlns:a16="http://schemas.microsoft.com/office/drawing/2014/main" id="{00000000-0008-0000-0000-000007000000}"/>
            </a:ext>
          </a:extLst>
        </xdr:cNvPr>
        <xdr:cNvSpPr txBox="1"/>
      </xdr:nvSpPr>
      <xdr:spPr>
        <a:xfrm>
          <a:off x="8267700" y="40286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128</xdr:row>
      <xdr:rowOff>0</xdr:rowOff>
    </xdr:from>
    <xdr:ext cx="65" cy="172227"/>
    <xdr:sp macro="" textlink="">
      <xdr:nvSpPr>
        <xdr:cNvPr id="935" name="TextBox 934">
          <a:extLst>
            <a:ext uri="{FF2B5EF4-FFF2-40B4-BE49-F238E27FC236}">
              <a16:creationId xmlns:a16="http://schemas.microsoft.com/office/drawing/2014/main" id="{00000000-0008-0000-0000-000007000000}"/>
            </a:ext>
          </a:extLst>
        </xdr:cNvPr>
        <xdr:cNvSpPr txBox="1"/>
      </xdr:nvSpPr>
      <xdr:spPr>
        <a:xfrm>
          <a:off x="8267700" y="41384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128</xdr:row>
      <xdr:rowOff>0</xdr:rowOff>
    </xdr:from>
    <xdr:ext cx="65" cy="172227"/>
    <xdr:sp macro="" textlink="">
      <xdr:nvSpPr>
        <xdr:cNvPr id="936" name="TextBox 935">
          <a:extLst>
            <a:ext uri="{FF2B5EF4-FFF2-40B4-BE49-F238E27FC236}">
              <a16:creationId xmlns:a16="http://schemas.microsoft.com/office/drawing/2014/main" id="{00000000-0008-0000-0000-000007000000}"/>
            </a:ext>
          </a:extLst>
        </xdr:cNvPr>
        <xdr:cNvSpPr txBox="1"/>
      </xdr:nvSpPr>
      <xdr:spPr>
        <a:xfrm>
          <a:off x="8267700" y="41384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129</xdr:row>
      <xdr:rowOff>0</xdr:rowOff>
    </xdr:from>
    <xdr:ext cx="65" cy="172227"/>
    <xdr:sp macro="" textlink="">
      <xdr:nvSpPr>
        <xdr:cNvPr id="937" name="TextBox 936">
          <a:extLst>
            <a:ext uri="{FF2B5EF4-FFF2-40B4-BE49-F238E27FC236}">
              <a16:creationId xmlns:a16="http://schemas.microsoft.com/office/drawing/2014/main" id="{00000000-0008-0000-0000-000007000000}"/>
            </a:ext>
          </a:extLst>
        </xdr:cNvPr>
        <xdr:cNvSpPr txBox="1"/>
      </xdr:nvSpPr>
      <xdr:spPr>
        <a:xfrm>
          <a:off x="8267700" y="4156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129</xdr:row>
      <xdr:rowOff>0</xdr:rowOff>
    </xdr:from>
    <xdr:ext cx="65" cy="172227"/>
    <xdr:sp macro="" textlink="">
      <xdr:nvSpPr>
        <xdr:cNvPr id="938" name="TextBox 937">
          <a:extLst>
            <a:ext uri="{FF2B5EF4-FFF2-40B4-BE49-F238E27FC236}">
              <a16:creationId xmlns:a16="http://schemas.microsoft.com/office/drawing/2014/main" id="{00000000-0008-0000-0000-000007000000}"/>
            </a:ext>
          </a:extLst>
        </xdr:cNvPr>
        <xdr:cNvSpPr txBox="1"/>
      </xdr:nvSpPr>
      <xdr:spPr>
        <a:xfrm>
          <a:off x="8267700" y="4156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130</xdr:row>
      <xdr:rowOff>0</xdr:rowOff>
    </xdr:from>
    <xdr:ext cx="65" cy="172227"/>
    <xdr:sp macro="" textlink="">
      <xdr:nvSpPr>
        <xdr:cNvPr id="939" name="TextBox 938">
          <a:extLst>
            <a:ext uri="{FF2B5EF4-FFF2-40B4-BE49-F238E27FC236}">
              <a16:creationId xmlns:a16="http://schemas.microsoft.com/office/drawing/2014/main" id="{00000000-0008-0000-0000-000007000000}"/>
            </a:ext>
          </a:extLst>
        </xdr:cNvPr>
        <xdr:cNvSpPr txBox="1"/>
      </xdr:nvSpPr>
      <xdr:spPr>
        <a:xfrm>
          <a:off x="8267700" y="41749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130</xdr:row>
      <xdr:rowOff>0</xdr:rowOff>
    </xdr:from>
    <xdr:ext cx="65" cy="172227"/>
    <xdr:sp macro="" textlink="">
      <xdr:nvSpPr>
        <xdr:cNvPr id="940" name="TextBox 939">
          <a:extLst>
            <a:ext uri="{FF2B5EF4-FFF2-40B4-BE49-F238E27FC236}">
              <a16:creationId xmlns:a16="http://schemas.microsoft.com/office/drawing/2014/main" id="{00000000-0008-0000-0000-000007000000}"/>
            </a:ext>
          </a:extLst>
        </xdr:cNvPr>
        <xdr:cNvSpPr txBox="1"/>
      </xdr:nvSpPr>
      <xdr:spPr>
        <a:xfrm>
          <a:off x="8267700" y="41749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131</xdr:row>
      <xdr:rowOff>0</xdr:rowOff>
    </xdr:from>
    <xdr:ext cx="65" cy="172227"/>
    <xdr:sp macro="" textlink="">
      <xdr:nvSpPr>
        <xdr:cNvPr id="941" name="TextBox 940">
          <a:extLst>
            <a:ext uri="{FF2B5EF4-FFF2-40B4-BE49-F238E27FC236}">
              <a16:creationId xmlns:a16="http://schemas.microsoft.com/office/drawing/2014/main" id="{00000000-0008-0000-0000-000007000000}"/>
            </a:ext>
          </a:extLst>
        </xdr:cNvPr>
        <xdr:cNvSpPr txBox="1"/>
      </xdr:nvSpPr>
      <xdr:spPr>
        <a:xfrm>
          <a:off x="8267700" y="41932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131</xdr:row>
      <xdr:rowOff>0</xdr:rowOff>
    </xdr:from>
    <xdr:ext cx="65" cy="172227"/>
    <xdr:sp macro="" textlink="">
      <xdr:nvSpPr>
        <xdr:cNvPr id="942" name="TextBox 941">
          <a:extLst>
            <a:ext uri="{FF2B5EF4-FFF2-40B4-BE49-F238E27FC236}">
              <a16:creationId xmlns:a16="http://schemas.microsoft.com/office/drawing/2014/main" id="{00000000-0008-0000-0000-000007000000}"/>
            </a:ext>
          </a:extLst>
        </xdr:cNvPr>
        <xdr:cNvSpPr txBox="1"/>
      </xdr:nvSpPr>
      <xdr:spPr>
        <a:xfrm>
          <a:off x="8267700" y="41932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132</xdr:row>
      <xdr:rowOff>0</xdr:rowOff>
    </xdr:from>
    <xdr:ext cx="65" cy="172227"/>
    <xdr:sp macro="" textlink="">
      <xdr:nvSpPr>
        <xdr:cNvPr id="943" name="TextBox 942">
          <a:extLst>
            <a:ext uri="{FF2B5EF4-FFF2-40B4-BE49-F238E27FC236}">
              <a16:creationId xmlns:a16="http://schemas.microsoft.com/office/drawing/2014/main" id="{00000000-0008-0000-0000-000007000000}"/>
            </a:ext>
          </a:extLst>
        </xdr:cNvPr>
        <xdr:cNvSpPr txBox="1"/>
      </xdr:nvSpPr>
      <xdr:spPr>
        <a:xfrm>
          <a:off x="8267700" y="42115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132</xdr:row>
      <xdr:rowOff>0</xdr:rowOff>
    </xdr:from>
    <xdr:ext cx="65" cy="172227"/>
    <xdr:sp macro="" textlink="">
      <xdr:nvSpPr>
        <xdr:cNvPr id="944" name="TextBox 943">
          <a:extLst>
            <a:ext uri="{FF2B5EF4-FFF2-40B4-BE49-F238E27FC236}">
              <a16:creationId xmlns:a16="http://schemas.microsoft.com/office/drawing/2014/main" id="{00000000-0008-0000-0000-000007000000}"/>
            </a:ext>
          </a:extLst>
        </xdr:cNvPr>
        <xdr:cNvSpPr txBox="1"/>
      </xdr:nvSpPr>
      <xdr:spPr>
        <a:xfrm>
          <a:off x="8267700" y="42115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945" name="TextBox 944">
          <a:extLst>
            <a:ext uri="{FF2B5EF4-FFF2-40B4-BE49-F238E27FC236}">
              <a16:creationId xmlns:a16="http://schemas.microsoft.com/office/drawing/2014/main" id="{00000000-0008-0000-0000-000007000000}"/>
            </a:ext>
          </a:extLst>
        </xdr:cNvPr>
        <xdr:cNvSpPr txBox="1"/>
      </xdr:nvSpPr>
      <xdr:spPr>
        <a:xfrm>
          <a:off x="8267700" y="33474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946" name="TextBox 945">
          <a:extLst>
            <a:ext uri="{FF2B5EF4-FFF2-40B4-BE49-F238E27FC236}">
              <a16:creationId xmlns:a16="http://schemas.microsoft.com/office/drawing/2014/main" id="{00000000-0008-0000-0000-000007000000}"/>
            </a:ext>
          </a:extLst>
        </xdr:cNvPr>
        <xdr:cNvSpPr txBox="1"/>
      </xdr:nvSpPr>
      <xdr:spPr>
        <a:xfrm>
          <a:off x="8267700" y="33474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947" name="TextBox 946">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948" name="TextBox 947">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949" name="TextBox 948">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950" name="TextBox 949">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951" name="TextBox 950">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952" name="TextBox 951">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84</xdr:row>
      <xdr:rowOff>0</xdr:rowOff>
    </xdr:from>
    <xdr:ext cx="65" cy="172227"/>
    <xdr:sp macro="" textlink="">
      <xdr:nvSpPr>
        <xdr:cNvPr id="953" name="TextBox 952">
          <a:extLst>
            <a:ext uri="{FF2B5EF4-FFF2-40B4-BE49-F238E27FC236}">
              <a16:creationId xmlns:a16="http://schemas.microsoft.com/office/drawing/2014/main" id="{00000000-0008-0000-0000-000007000000}"/>
            </a:ext>
          </a:extLst>
        </xdr:cNvPr>
        <xdr:cNvSpPr txBox="1"/>
      </xdr:nvSpPr>
      <xdr:spPr>
        <a:xfrm>
          <a:off x="8267700" y="33276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84</xdr:row>
      <xdr:rowOff>0</xdr:rowOff>
    </xdr:from>
    <xdr:ext cx="65" cy="172227"/>
    <xdr:sp macro="" textlink="">
      <xdr:nvSpPr>
        <xdr:cNvPr id="954" name="TextBox 953">
          <a:extLst>
            <a:ext uri="{FF2B5EF4-FFF2-40B4-BE49-F238E27FC236}">
              <a16:creationId xmlns:a16="http://schemas.microsoft.com/office/drawing/2014/main" id="{00000000-0008-0000-0000-000007000000}"/>
            </a:ext>
          </a:extLst>
        </xdr:cNvPr>
        <xdr:cNvSpPr txBox="1"/>
      </xdr:nvSpPr>
      <xdr:spPr>
        <a:xfrm>
          <a:off x="8267700" y="33276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955" name="TextBox 954">
          <a:extLst>
            <a:ext uri="{FF2B5EF4-FFF2-40B4-BE49-F238E27FC236}">
              <a16:creationId xmlns:a16="http://schemas.microsoft.com/office/drawing/2014/main" id="{00000000-0008-0000-0000-000007000000}"/>
            </a:ext>
          </a:extLst>
        </xdr:cNvPr>
        <xdr:cNvSpPr txBox="1"/>
      </xdr:nvSpPr>
      <xdr:spPr>
        <a:xfrm>
          <a:off x="8267700" y="33474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956" name="TextBox 955">
          <a:extLst>
            <a:ext uri="{FF2B5EF4-FFF2-40B4-BE49-F238E27FC236}">
              <a16:creationId xmlns:a16="http://schemas.microsoft.com/office/drawing/2014/main" id="{00000000-0008-0000-0000-000007000000}"/>
            </a:ext>
          </a:extLst>
        </xdr:cNvPr>
        <xdr:cNvSpPr txBox="1"/>
      </xdr:nvSpPr>
      <xdr:spPr>
        <a:xfrm>
          <a:off x="8267700" y="33474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957" name="TextBox 956">
          <a:extLst>
            <a:ext uri="{FF2B5EF4-FFF2-40B4-BE49-F238E27FC236}">
              <a16:creationId xmlns:a16="http://schemas.microsoft.com/office/drawing/2014/main" id="{00000000-0008-0000-0000-000007000000}"/>
            </a:ext>
          </a:extLst>
        </xdr:cNvPr>
        <xdr:cNvSpPr txBox="1"/>
      </xdr:nvSpPr>
      <xdr:spPr>
        <a:xfrm>
          <a:off x="8267700" y="33474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958" name="TextBox 957">
          <a:extLst>
            <a:ext uri="{FF2B5EF4-FFF2-40B4-BE49-F238E27FC236}">
              <a16:creationId xmlns:a16="http://schemas.microsoft.com/office/drawing/2014/main" id="{00000000-0008-0000-0000-000007000000}"/>
            </a:ext>
          </a:extLst>
        </xdr:cNvPr>
        <xdr:cNvSpPr txBox="1"/>
      </xdr:nvSpPr>
      <xdr:spPr>
        <a:xfrm>
          <a:off x="8267700" y="33474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959" name="TextBox 958">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960" name="TextBox 959">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961" name="TextBox 960">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962" name="TextBox 961">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963" name="TextBox 962">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964" name="TextBox 963">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965" name="TextBox 964">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966" name="TextBox 965">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84</xdr:row>
      <xdr:rowOff>0</xdr:rowOff>
    </xdr:from>
    <xdr:ext cx="65" cy="172227"/>
    <xdr:sp macro="" textlink="">
      <xdr:nvSpPr>
        <xdr:cNvPr id="967" name="TextBox 966">
          <a:extLst>
            <a:ext uri="{FF2B5EF4-FFF2-40B4-BE49-F238E27FC236}">
              <a16:creationId xmlns:a16="http://schemas.microsoft.com/office/drawing/2014/main" id="{00000000-0008-0000-0000-000007000000}"/>
            </a:ext>
          </a:extLst>
        </xdr:cNvPr>
        <xdr:cNvSpPr txBox="1"/>
      </xdr:nvSpPr>
      <xdr:spPr>
        <a:xfrm>
          <a:off x="8267700" y="33276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84</xdr:row>
      <xdr:rowOff>0</xdr:rowOff>
    </xdr:from>
    <xdr:ext cx="65" cy="172227"/>
    <xdr:sp macro="" textlink="">
      <xdr:nvSpPr>
        <xdr:cNvPr id="968" name="TextBox 967">
          <a:extLst>
            <a:ext uri="{FF2B5EF4-FFF2-40B4-BE49-F238E27FC236}">
              <a16:creationId xmlns:a16="http://schemas.microsoft.com/office/drawing/2014/main" id="{00000000-0008-0000-0000-000007000000}"/>
            </a:ext>
          </a:extLst>
        </xdr:cNvPr>
        <xdr:cNvSpPr txBox="1"/>
      </xdr:nvSpPr>
      <xdr:spPr>
        <a:xfrm>
          <a:off x="8267700" y="33276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84</xdr:row>
      <xdr:rowOff>0</xdr:rowOff>
    </xdr:from>
    <xdr:ext cx="65" cy="172227"/>
    <xdr:sp macro="" textlink="">
      <xdr:nvSpPr>
        <xdr:cNvPr id="969" name="TextBox 968">
          <a:extLst>
            <a:ext uri="{FF2B5EF4-FFF2-40B4-BE49-F238E27FC236}">
              <a16:creationId xmlns:a16="http://schemas.microsoft.com/office/drawing/2014/main" id="{00000000-0008-0000-0000-000007000000}"/>
            </a:ext>
          </a:extLst>
        </xdr:cNvPr>
        <xdr:cNvSpPr txBox="1"/>
      </xdr:nvSpPr>
      <xdr:spPr>
        <a:xfrm>
          <a:off x="8267700" y="33276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84</xdr:row>
      <xdr:rowOff>0</xdr:rowOff>
    </xdr:from>
    <xdr:ext cx="65" cy="172227"/>
    <xdr:sp macro="" textlink="">
      <xdr:nvSpPr>
        <xdr:cNvPr id="970" name="TextBox 969">
          <a:extLst>
            <a:ext uri="{FF2B5EF4-FFF2-40B4-BE49-F238E27FC236}">
              <a16:creationId xmlns:a16="http://schemas.microsoft.com/office/drawing/2014/main" id="{00000000-0008-0000-0000-000007000000}"/>
            </a:ext>
          </a:extLst>
        </xdr:cNvPr>
        <xdr:cNvSpPr txBox="1"/>
      </xdr:nvSpPr>
      <xdr:spPr>
        <a:xfrm>
          <a:off x="8267700" y="33276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974" name="TextBox 973">
          <a:extLst>
            <a:ext uri="{FF2B5EF4-FFF2-40B4-BE49-F238E27FC236}">
              <a16:creationId xmlns:a16="http://schemas.microsoft.com/office/drawing/2014/main" id="{00000000-0008-0000-0000-000007000000}"/>
            </a:ext>
          </a:extLst>
        </xdr:cNvPr>
        <xdr:cNvSpPr txBox="1"/>
      </xdr:nvSpPr>
      <xdr:spPr>
        <a:xfrm>
          <a:off x="8267700" y="33444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978" name="TextBox 977">
          <a:extLst>
            <a:ext uri="{FF2B5EF4-FFF2-40B4-BE49-F238E27FC236}">
              <a16:creationId xmlns:a16="http://schemas.microsoft.com/office/drawing/2014/main" id="{00000000-0008-0000-0000-000007000000}"/>
            </a:ext>
          </a:extLst>
        </xdr:cNvPr>
        <xdr:cNvSpPr txBox="1"/>
      </xdr:nvSpPr>
      <xdr:spPr>
        <a:xfrm>
          <a:off x="8267700" y="33444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979" name="TextBox 978">
          <a:extLst>
            <a:ext uri="{FF2B5EF4-FFF2-40B4-BE49-F238E27FC236}">
              <a16:creationId xmlns:a16="http://schemas.microsoft.com/office/drawing/2014/main" id="{00000000-0008-0000-0000-000007000000}"/>
            </a:ext>
          </a:extLst>
        </xdr:cNvPr>
        <xdr:cNvSpPr txBox="1"/>
      </xdr:nvSpPr>
      <xdr:spPr>
        <a:xfrm>
          <a:off x="8267700" y="33642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980" name="TextBox 979">
          <a:extLst>
            <a:ext uri="{FF2B5EF4-FFF2-40B4-BE49-F238E27FC236}">
              <a16:creationId xmlns:a16="http://schemas.microsoft.com/office/drawing/2014/main" id="{00000000-0008-0000-0000-000007000000}"/>
            </a:ext>
          </a:extLst>
        </xdr:cNvPr>
        <xdr:cNvSpPr txBox="1"/>
      </xdr:nvSpPr>
      <xdr:spPr>
        <a:xfrm>
          <a:off x="8267700" y="33642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981" name="TextBox 980">
          <a:extLst>
            <a:ext uri="{FF2B5EF4-FFF2-40B4-BE49-F238E27FC236}">
              <a16:creationId xmlns:a16="http://schemas.microsoft.com/office/drawing/2014/main" id="{00000000-0008-0000-0000-000007000000}"/>
            </a:ext>
          </a:extLst>
        </xdr:cNvPr>
        <xdr:cNvSpPr txBox="1"/>
      </xdr:nvSpPr>
      <xdr:spPr>
        <a:xfrm>
          <a:off x="8267700" y="33840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982" name="TextBox 981">
          <a:extLst>
            <a:ext uri="{FF2B5EF4-FFF2-40B4-BE49-F238E27FC236}">
              <a16:creationId xmlns:a16="http://schemas.microsoft.com/office/drawing/2014/main" id="{00000000-0008-0000-0000-000007000000}"/>
            </a:ext>
          </a:extLst>
        </xdr:cNvPr>
        <xdr:cNvSpPr txBox="1"/>
      </xdr:nvSpPr>
      <xdr:spPr>
        <a:xfrm>
          <a:off x="8267700" y="33840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88</xdr:row>
      <xdr:rowOff>0</xdr:rowOff>
    </xdr:from>
    <xdr:ext cx="65" cy="172227"/>
    <xdr:sp macro="" textlink="">
      <xdr:nvSpPr>
        <xdr:cNvPr id="983" name="TextBox 982">
          <a:extLst>
            <a:ext uri="{FF2B5EF4-FFF2-40B4-BE49-F238E27FC236}">
              <a16:creationId xmlns:a16="http://schemas.microsoft.com/office/drawing/2014/main" id="{00000000-0008-0000-0000-000007000000}"/>
            </a:ext>
          </a:extLst>
        </xdr:cNvPr>
        <xdr:cNvSpPr txBox="1"/>
      </xdr:nvSpPr>
      <xdr:spPr>
        <a:xfrm>
          <a:off x="8267700" y="3403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88</xdr:row>
      <xdr:rowOff>0</xdr:rowOff>
    </xdr:from>
    <xdr:ext cx="65" cy="172227"/>
    <xdr:sp macro="" textlink="">
      <xdr:nvSpPr>
        <xdr:cNvPr id="984" name="TextBox 983">
          <a:extLst>
            <a:ext uri="{FF2B5EF4-FFF2-40B4-BE49-F238E27FC236}">
              <a16:creationId xmlns:a16="http://schemas.microsoft.com/office/drawing/2014/main" id="{00000000-0008-0000-0000-000007000000}"/>
            </a:ext>
          </a:extLst>
        </xdr:cNvPr>
        <xdr:cNvSpPr txBox="1"/>
      </xdr:nvSpPr>
      <xdr:spPr>
        <a:xfrm>
          <a:off x="8267700" y="3403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89</xdr:row>
      <xdr:rowOff>0</xdr:rowOff>
    </xdr:from>
    <xdr:ext cx="65" cy="172227"/>
    <xdr:sp macro="" textlink="">
      <xdr:nvSpPr>
        <xdr:cNvPr id="985" name="TextBox 984">
          <a:extLst>
            <a:ext uri="{FF2B5EF4-FFF2-40B4-BE49-F238E27FC236}">
              <a16:creationId xmlns:a16="http://schemas.microsoft.com/office/drawing/2014/main" id="{00000000-0008-0000-0000-000007000000}"/>
            </a:ext>
          </a:extLst>
        </xdr:cNvPr>
        <xdr:cNvSpPr txBox="1"/>
      </xdr:nvSpPr>
      <xdr:spPr>
        <a:xfrm>
          <a:off x="8267700" y="34236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89</xdr:row>
      <xdr:rowOff>0</xdr:rowOff>
    </xdr:from>
    <xdr:ext cx="65" cy="172227"/>
    <xdr:sp macro="" textlink="">
      <xdr:nvSpPr>
        <xdr:cNvPr id="986" name="TextBox 985">
          <a:extLst>
            <a:ext uri="{FF2B5EF4-FFF2-40B4-BE49-F238E27FC236}">
              <a16:creationId xmlns:a16="http://schemas.microsoft.com/office/drawing/2014/main" id="{00000000-0008-0000-0000-000007000000}"/>
            </a:ext>
          </a:extLst>
        </xdr:cNvPr>
        <xdr:cNvSpPr txBox="1"/>
      </xdr:nvSpPr>
      <xdr:spPr>
        <a:xfrm>
          <a:off x="8267700" y="34236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90</xdr:row>
      <xdr:rowOff>0</xdr:rowOff>
    </xdr:from>
    <xdr:ext cx="65" cy="172227"/>
    <xdr:sp macro="" textlink="">
      <xdr:nvSpPr>
        <xdr:cNvPr id="987" name="TextBox 986">
          <a:extLst>
            <a:ext uri="{FF2B5EF4-FFF2-40B4-BE49-F238E27FC236}">
              <a16:creationId xmlns:a16="http://schemas.microsoft.com/office/drawing/2014/main" id="{00000000-0008-0000-0000-000007000000}"/>
            </a:ext>
          </a:extLst>
        </xdr:cNvPr>
        <xdr:cNvSpPr txBox="1"/>
      </xdr:nvSpPr>
      <xdr:spPr>
        <a:xfrm>
          <a:off x="8267700" y="34434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90</xdr:row>
      <xdr:rowOff>0</xdr:rowOff>
    </xdr:from>
    <xdr:ext cx="65" cy="172227"/>
    <xdr:sp macro="" textlink="">
      <xdr:nvSpPr>
        <xdr:cNvPr id="988" name="TextBox 987">
          <a:extLst>
            <a:ext uri="{FF2B5EF4-FFF2-40B4-BE49-F238E27FC236}">
              <a16:creationId xmlns:a16="http://schemas.microsoft.com/office/drawing/2014/main" id="{00000000-0008-0000-0000-000007000000}"/>
            </a:ext>
          </a:extLst>
        </xdr:cNvPr>
        <xdr:cNvSpPr txBox="1"/>
      </xdr:nvSpPr>
      <xdr:spPr>
        <a:xfrm>
          <a:off x="8267700" y="34434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91</xdr:row>
      <xdr:rowOff>0</xdr:rowOff>
    </xdr:from>
    <xdr:ext cx="65" cy="172227"/>
    <xdr:sp macro="" textlink="">
      <xdr:nvSpPr>
        <xdr:cNvPr id="989" name="TextBox 988">
          <a:extLst>
            <a:ext uri="{FF2B5EF4-FFF2-40B4-BE49-F238E27FC236}">
              <a16:creationId xmlns:a16="http://schemas.microsoft.com/office/drawing/2014/main" id="{00000000-0008-0000-0000-000007000000}"/>
            </a:ext>
          </a:extLst>
        </xdr:cNvPr>
        <xdr:cNvSpPr txBox="1"/>
      </xdr:nvSpPr>
      <xdr:spPr>
        <a:xfrm>
          <a:off x="8267700" y="34617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91</xdr:row>
      <xdr:rowOff>0</xdr:rowOff>
    </xdr:from>
    <xdr:ext cx="65" cy="172227"/>
    <xdr:sp macro="" textlink="">
      <xdr:nvSpPr>
        <xdr:cNvPr id="990" name="TextBox 989">
          <a:extLst>
            <a:ext uri="{FF2B5EF4-FFF2-40B4-BE49-F238E27FC236}">
              <a16:creationId xmlns:a16="http://schemas.microsoft.com/office/drawing/2014/main" id="{00000000-0008-0000-0000-000007000000}"/>
            </a:ext>
          </a:extLst>
        </xdr:cNvPr>
        <xdr:cNvSpPr txBox="1"/>
      </xdr:nvSpPr>
      <xdr:spPr>
        <a:xfrm>
          <a:off x="8267700" y="34617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92</xdr:row>
      <xdr:rowOff>0</xdr:rowOff>
    </xdr:from>
    <xdr:ext cx="65" cy="172227"/>
    <xdr:sp macro="" textlink="">
      <xdr:nvSpPr>
        <xdr:cNvPr id="991" name="TextBox 990">
          <a:extLst>
            <a:ext uri="{FF2B5EF4-FFF2-40B4-BE49-F238E27FC236}">
              <a16:creationId xmlns:a16="http://schemas.microsoft.com/office/drawing/2014/main" id="{00000000-0008-0000-0000-000007000000}"/>
            </a:ext>
          </a:extLst>
        </xdr:cNvPr>
        <xdr:cNvSpPr txBox="1"/>
      </xdr:nvSpPr>
      <xdr:spPr>
        <a:xfrm>
          <a:off x="8267700" y="34800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92</xdr:row>
      <xdr:rowOff>0</xdr:rowOff>
    </xdr:from>
    <xdr:ext cx="65" cy="172227"/>
    <xdr:sp macro="" textlink="">
      <xdr:nvSpPr>
        <xdr:cNvPr id="992" name="TextBox 991">
          <a:extLst>
            <a:ext uri="{FF2B5EF4-FFF2-40B4-BE49-F238E27FC236}">
              <a16:creationId xmlns:a16="http://schemas.microsoft.com/office/drawing/2014/main" id="{00000000-0008-0000-0000-000007000000}"/>
            </a:ext>
          </a:extLst>
        </xdr:cNvPr>
        <xdr:cNvSpPr txBox="1"/>
      </xdr:nvSpPr>
      <xdr:spPr>
        <a:xfrm>
          <a:off x="8267700" y="34800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93</xdr:row>
      <xdr:rowOff>0</xdr:rowOff>
    </xdr:from>
    <xdr:ext cx="65" cy="172227"/>
    <xdr:sp macro="" textlink="">
      <xdr:nvSpPr>
        <xdr:cNvPr id="993" name="TextBox 992">
          <a:extLst>
            <a:ext uri="{FF2B5EF4-FFF2-40B4-BE49-F238E27FC236}">
              <a16:creationId xmlns:a16="http://schemas.microsoft.com/office/drawing/2014/main" id="{00000000-0008-0000-0000-000007000000}"/>
            </a:ext>
          </a:extLst>
        </xdr:cNvPr>
        <xdr:cNvSpPr txBox="1"/>
      </xdr:nvSpPr>
      <xdr:spPr>
        <a:xfrm>
          <a:off x="8267700" y="3498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93</xdr:row>
      <xdr:rowOff>0</xdr:rowOff>
    </xdr:from>
    <xdr:ext cx="65" cy="172227"/>
    <xdr:sp macro="" textlink="">
      <xdr:nvSpPr>
        <xdr:cNvPr id="994" name="TextBox 993">
          <a:extLst>
            <a:ext uri="{FF2B5EF4-FFF2-40B4-BE49-F238E27FC236}">
              <a16:creationId xmlns:a16="http://schemas.microsoft.com/office/drawing/2014/main" id="{00000000-0008-0000-0000-000007000000}"/>
            </a:ext>
          </a:extLst>
        </xdr:cNvPr>
        <xdr:cNvSpPr txBox="1"/>
      </xdr:nvSpPr>
      <xdr:spPr>
        <a:xfrm>
          <a:off x="8267700" y="3498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94</xdr:row>
      <xdr:rowOff>0</xdr:rowOff>
    </xdr:from>
    <xdr:ext cx="65" cy="172227"/>
    <xdr:sp macro="" textlink="">
      <xdr:nvSpPr>
        <xdr:cNvPr id="995" name="TextBox 994">
          <a:extLst>
            <a:ext uri="{FF2B5EF4-FFF2-40B4-BE49-F238E27FC236}">
              <a16:creationId xmlns:a16="http://schemas.microsoft.com/office/drawing/2014/main" id="{00000000-0008-0000-0000-000007000000}"/>
            </a:ext>
          </a:extLst>
        </xdr:cNvPr>
        <xdr:cNvSpPr txBox="1"/>
      </xdr:nvSpPr>
      <xdr:spPr>
        <a:xfrm>
          <a:off x="8267700" y="35166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94</xdr:row>
      <xdr:rowOff>0</xdr:rowOff>
    </xdr:from>
    <xdr:ext cx="65" cy="172227"/>
    <xdr:sp macro="" textlink="">
      <xdr:nvSpPr>
        <xdr:cNvPr id="996" name="TextBox 995">
          <a:extLst>
            <a:ext uri="{FF2B5EF4-FFF2-40B4-BE49-F238E27FC236}">
              <a16:creationId xmlns:a16="http://schemas.microsoft.com/office/drawing/2014/main" id="{00000000-0008-0000-0000-000007000000}"/>
            </a:ext>
          </a:extLst>
        </xdr:cNvPr>
        <xdr:cNvSpPr txBox="1"/>
      </xdr:nvSpPr>
      <xdr:spPr>
        <a:xfrm>
          <a:off x="8267700" y="35166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100</xdr:row>
      <xdr:rowOff>0</xdr:rowOff>
    </xdr:from>
    <xdr:ext cx="65" cy="172227"/>
    <xdr:sp macro="" textlink="">
      <xdr:nvSpPr>
        <xdr:cNvPr id="997" name="TextBox 996">
          <a:extLst>
            <a:ext uri="{FF2B5EF4-FFF2-40B4-BE49-F238E27FC236}">
              <a16:creationId xmlns:a16="http://schemas.microsoft.com/office/drawing/2014/main" id="{00000000-0008-0000-0000-000007000000}"/>
            </a:ext>
          </a:extLst>
        </xdr:cNvPr>
        <xdr:cNvSpPr txBox="1"/>
      </xdr:nvSpPr>
      <xdr:spPr>
        <a:xfrm>
          <a:off x="8267700" y="36263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100</xdr:row>
      <xdr:rowOff>0</xdr:rowOff>
    </xdr:from>
    <xdr:ext cx="65" cy="172227"/>
    <xdr:sp macro="" textlink="">
      <xdr:nvSpPr>
        <xdr:cNvPr id="998" name="TextBox 997">
          <a:extLst>
            <a:ext uri="{FF2B5EF4-FFF2-40B4-BE49-F238E27FC236}">
              <a16:creationId xmlns:a16="http://schemas.microsoft.com/office/drawing/2014/main" id="{00000000-0008-0000-0000-000007000000}"/>
            </a:ext>
          </a:extLst>
        </xdr:cNvPr>
        <xdr:cNvSpPr txBox="1"/>
      </xdr:nvSpPr>
      <xdr:spPr>
        <a:xfrm>
          <a:off x="8267700" y="36263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101</xdr:row>
      <xdr:rowOff>0</xdr:rowOff>
    </xdr:from>
    <xdr:ext cx="65" cy="172227"/>
    <xdr:sp macro="" textlink="">
      <xdr:nvSpPr>
        <xdr:cNvPr id="999" name="TextBox 998">
          <a:extLst>
            <a:ext uri="{FF2B5EF4-FFF2-40B4-BE49-F238E27FC236}">
              <a16:creationId xmlns:a16="http://schemas.microsoft.com/office/drawing/2014/main" id="{00000000-0008-0000-0000-000007000000}"/>
            </a:ext>
          </a:extLst>
        </xdr:cNvPr>
        <xdr:cNvSpPr txBox="1"/>
      </xdr:nvSpPr>
      <xdr:spPr>
        <a:xfrm>
          <a:off x="8267700" y="36446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101</xdr:row>
      <xdr:rowOff>0</xdr:rowOff>
    </xdr:from>
    <xdr:ext cx="65" cy="172227"/>
    <xdr:sp macro="" textlink="">
      <xdr:nvSpPr>
        <xdr:cNvPr id="1000" name="TextBox 999">
          <a:extLst>
            <a:ext uri="{FF2B5EF4-FFF2-40B4-BE49-F238E27FC236}">
              <a16:creationId xmlns:a16="http://schemas.microsoft.com/office/drawing/2014/main" id="{00000000-0008-0000-0000-000007000000}"/>
            </a:ext>
          </a:extLst>
        </xdr:cNvPr>
        <xdr:cNvSpPr txBox="1"/>
      </xdr:nvSpPr>
      <xdr:spPr>
        <a:xfrm>
          <a:off x="8267700" y="36446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102</xdr:row>
      <xdr:rowOff>0</xdr:rowOff>
    </xdr:from>
    <xdr:ext cx="65" cy="172227"/>
    <xdr:sp macro="" textlink="">
      <xdr:nvSpPr>
        <xdr:cNvPr id="1001" name="TextBox 1000">
          <a:extLst>
            <a:ext uri="{FF2B5EF4-FFF2-40B4-BE49-F238E27FC236}">
              <a16:creationId xmlns:a16="http://schemas.microsoft.com/office/drawing/2014/main" id="{00000000-0008-0000-0000-000007000000}"/>
            </a:ext>
          </a:extLst>
        </xdr:cNvPr>
        <xdr:cNvSpPr txBox="1"/>
      </xdr:nvSpPr>
      <xdr:spPr>
        <a:xfrm>
          <a:off x="8267700" y="36629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102</xdr:row>
      <xdr:rowOff>0</xdr:rowOff>
    </xdr:from>
    <xdr:ext cx="65" cy="172227"/>
    <xdr:sp macro="" textlink="">
      <xdr:nvSpPr>
        <xdr:cNvPr id="1002" name="TextBox 1001">
          <a:extLst>
            <a:ext uri="{FF2B5EF4-FFF2-40B4-BE49-F238E27FC236}">
              <a16:creationId xmlns:a16="http://schemas.microsoft.com/office/drawing/2014/main" id="{00000000-0008-0000-0000-000007000000}"/>
            </a:ext>
          </a:extLst>
        </xdr:cNvPr>
        <xdr:cNvSpPr txBox="1"/>
      </xdr:nvSpPr>
      <xdr:spPr>
        <a:xfrm>
          <a:off x="8267700" y="36629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103</xdr:row>
      <xdr:rowOff>0</xdr:rowOff>
    </xdr:from>
    <xdr:ext cx="65" cy="172227"/>
    <xdr:sp macro="" textlink="">
      <xdr:nvSpPr>
        <xdr:cNvPr id="1003" name="TextBox 1002">
          <a:extLst>
            <a:ext uri="{FF2B5EF4-FFF2-40B4-BE49-F238E27FC236}">
              <a16:creationId xmlns:a16="http://schemas.microsoft.com/office/drawing/2014/main" id="{00000000-0008-0000-0000-000007000000}"/>
            </a:ext>
          </a:extLst>
        </xdr:cNvPr>
        <xdr:cNvSpPr txBox="1"/>
      </xdr:nvSpPr>
      <xdr:spPr>
        <a:xfrm>
          <a:off x="8267700" y="36812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103</xdr:row>
      <xdr:rowOff>0</xdr:rowOff>
    </xdr:from>
    <xdr:ext cx="65" cy="172227"/>
    <xdr:sp macro="" textlink="">
      <xdr:nvSpPr>
        <xdr:cNvPr id="1004" name="TextBox 1003">
          <a:extLst>
            <a:ext uri="{FF2B5EF4-FFF2-40B4-BE49-F238E27FC236}">
              <a16:creationId xmlns:a16="http://schemas.microsoft.com/office/drawing/2014/main" id="{00000000-0008-0000-0000-000007000000}"/>
            </a:ext>
          </a:extLst>
        </xdr:cNvPr>
        <xdr:cNvSpPr txBox="1"/>
      </xdr:nvSpPr>
      <xdr:spPr>
        <a:xfrm>
          <a:off x="8267700" y="36812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104</xdr:row>
      <xdr:rowOff>0</xdr:rowOff>
    </xdr:from>
    <xdr:ext cx="65" cy="172227"/>
    <xdr:sp macro="" textlink="">
      <xdr:nvSpPr>
        <xdr:cNvPr id="1005" name="TextBox 1004">
          <a:extLst>
            <a:ext uri="{FF2B5EF4-FFF2-40B4-BE49-F238E27FC236}">
              <a16:creationId xmlns:a16="http://schemas.microsoft.com/office/drawing/2014/main" id="{00000000-0008-0000-0000-000007000000}"/>
            </a:ext>
          </a:extLst>
        </xdr:cNvPr>
        <xdr:cNvSpPr txBox="1"/>
      </xdr:nvSpPr>
      <xdr:spPr>
        <a:xfrm>
          <a:off x="8267700" y="36995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104</xdr:row>
      <xdr:rowOff>0</xdr:rowOff>
    </xdr:from>
    <xdr:ext cx="65" cy="172227"/>
    <xdr:sp macro="" textlink="">
      <xdr:nvSpPr>
        <xdr:cNvPr id="1006" name="TextBox 1005">
          <a:extLst>
            <a:ext uri="{FF2B5EF4-FFF2-40B4-BE49-F238E27FC236}">
              <a16:creationId xmlns:a16="http://schemas.microsoft.com/office/drawing/2014/main" id="{00000000-0008-0000-0000-000007000000}"/>
            </a:ext>
          </a:extLst>
        </xdr:cNvPr>
        <xdr:cNvSpPr txBox="1"/>
      </xdr:nvSpPr>
      <xdr:spPr>
        <a:xfrm>
          <a:off x="8267700" y="36995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110</xdr:row>
      <xdr:rowOff>0</xdr:rowOff>
    </xdr:from>
    <xdr:ext cx="65" cy="172227"/>
    <xdr:sp macro="" textlink="">
      <xdr:nvSpPr>
        <xdr:cNvPr id="1007" name="TextBox 1006">
          <a:extLst>
            <a:ext uri="{FF2B5EF4-FFF2-40B4-BE49-F238E27FC236}">
              <a16:creationId xmlns:a16="http://schemas.microsoft.com/office/drawing/2014/main" id="{00000000-0008-0000-0000-000007000000}"/>
            </a:ext>
          </a:extLst>
        </xdr:cNvPr>
        <xdr:cNvSpPr txBox="1"/>
      </xdr:nvSpPr>
      <xdr:spPr>
        <a:xfrm>
          <a:off x="8267700" y="3809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110</xdr:row>
      <xdr:rowOff>0</xdr:rowOff>
    </xdr:from>
    <xdr:ext cx="65" cy="172227"/>
    <xdr:sp macro="" textlink="">
      <xdr:nvSpPr>
        <xdr:cNvPr id="1008" name="TextBox 1007">
          <a:extLst>
            <a:ext uri="{FF2B5EF4-FFF2-40B4-BE49-F238E27FC236}">
              <a16:creationId xmlns:a16="http://schemas.microsoft.com/office/drawing/2014/main" id="{00000000-0008-0000-0000-000007000000}"/>
            </a:ext>
          </a:extLst>
        </xdr:cNvPr>
        <xdr:cNvSpPr txBox="1"/>
      </xdr:nvSpPr>
      <xdr:spPr>
        <a:xfrm>
          <a:off x="8267700" y="3809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111</xdr:row>
      <xdr:rowOff>0</xdr:rowOff>
    </xdr:from>
    <xdr:ext cx="65" cy="172227"/>
    <xdr:sp macro="" textlink="">
      <xdr:nvSpPr>
        <xdr:cNvPr id="1009" name="TextBox 1008">
          <a:extLst>
            <a:ext uri="{FF2B5EF4-FFF2-40B4-BE49-F238E27FC236}">
              <a16:creationId xmlns:a16="http://schemas.microsoft.com/office/drawing/2014/main" id="{00000000-0008-0000-0000-000007000000}"/>
            </a:ext>
          </a:extLst>
        </xdr:cNvPr>
        <xdr:cNvSpPr txBox="1"/>
      </xdr:nvSpPr>
      <xdr:spPr>
        <a:xfrm>
          <a:off x="8267700" y="3827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111</xdr:row>
      <xdr:rowOff>0</xdr:rowOff>
    </xdr:from>
    <xdr:ext cx="65" cy="172227"/>
    <xdr:sp macro="" textlink="">
      <xdr:nvSpPr>
        <xdr:cNvPr id="1010" name="TextBox 1009">
          <a:extLst>
            <a:ext uri="{FF2B5EF4-FFF2-40B4-BE49-F238E27FC236}">
              <a16:creationId xmlns:a16="http://schemas.microsoft.com/office/drawing/2014/main" id="{00000000-0008-0000-0000-000007000000}"/>
            </a:ext>
          </a:extLst>
        </xdr:cNvPr>
        <xdr:cNvSpPr txBox="1"/>
      </xdr:nvSpPr>
      <xdr:spPr>
        <a:xfrm>
          <a:off x="8267700" y="3827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112</xdr:row>
      <xdr:rowOff>0</xdr:rowOff>
    </xdr:from>
    <xdr:ext cx="65" cy="172227"/>
    <xdr:sp macro="" textlink="">
      <xdr:nvSpPr>
        <xdr:cNvPr id="1011" name="TextBox 1010">
          <a:extLst>
            <a:ext uri="{FF2B5EF4-FFF2-40B4-BE49-F238E27FC236}">
              <a16:creationId xmlns:a16="http://schemas.microsoft.com/office/drawing/2014/main" id="{00000000-0008-0000-0000-000007000000}"/>
            </a:ext>
          </a:extLst>
        </xdr:cNvPr>
        <xdr:cNvSpPr txBox="1"/>
      </xdr:nvSpPr>
      <xdr:spPr>
        <a:xfrm>
          <a:off x="8267700" y="38458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112</xdr:row>
      <xdr:rowOff>0</xdr:rowOff>
    </xdr:from>
    <xdr:ext cx="65" cy="172227"/>
    <xdr:sp macro="" textlink="">
      <xdr:nvSpPr>
        <xdr:cNvPr id="1012" name="TextBox 1011">
          <a:extLst>
            <a:ext uri="{FF2B5EF4-FFF2-40B4-BE49-F238E27FC236}">
              <a16:creationId xmlns:a16="http://schemas.microsoft.com/office/drawing/2014/main" id="{00000000-0008-0000-0000-000007000000}"/>
            </a:ext>
          </a:extLst>
        </xdr:cNvPr>
        <xdr:cNvSpPr txBox="1"/>
      </xdr:nvSpPr>
      <xdr:spPr>
        <a:xfrm>
          <a:off x="8267700" y="38458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113</xdr:row>
      <xdr:rowOff>0</xdr:rowOff>
    </xdr:from>
    <xdr:ext cx="65" cy="172227"/>
    <xdr:sp macro="" textlink="">
      <xdr:nvSpPr>
        <xdr:cNvPr id="1013" name="TextBox 1012">
          <a:extLst>
            <a:ext uri="{FF2B5EF4-FFF2-40B4-BE49-F238E27FC236}">
              <a16:creationId xmlns:a16="http://schemas.microsoft.com/office/drawing/2014/main" id="{00000000-0008-0000-0000-000007000000}"/>
            </a:ext>
          </a:extLst>
        </xdr:cNvPr>
        <xdr:cNvSpPr txBox="1"/>
      </xdr:nvSpPr>
      <xdr:spPr>
        <a:xfrm>
          <a:off x="8267700" y="38641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113</xdr:row>
      <xdr:rowOff>0</xdr:rowOff>
    </xdr:from>
    <xdr:ext cx="65" cy="172227"/>
    <xdr:sp macro="" textlink="">
      <xdr:nvSpPr>
        <xdr:cNvPr id="1014" name="TextBox 1013">
          <a:extLst>
            <a:ext uri="{FF2B5EF4-FFF2-40B4-BE49-F238E27FC236}">
              <a16:creationId xmlns:a16="http://schemas.microsoft.com/office/drawing/2014/main" id="{00000000-0008-0000-0000-000007000000}"/>
            </a:ext>
          </a:extLst>
        </xdr:cNvPr>
        <xdr:cNvSpPr txBox="1"/>
      </xdr:nvSpPr>
      <xdr:spPr>
        <a:xfrm>
          <a:off x="8267700" y="38641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114</xdr:row>
      <xdr:rowOff>0</xdr:rowOff>
    </xdr:from>
    <xdr:ext cx="65" cy="172227"/>
    <xdr:sp macro="" textlink="">
      <xdr:nvSpPr>
        <xdr:cNvPr id="1015" name="TextBox 1014">
          <a:extLst>
            <a:ext uri="{FF2B5EF4-FFF2-40B4-BE49-F238E27FC236}">
              <a16:creationId xmlns:a16="http://schemas.microsoft.com/office/drawing/2014/main" id="{00000000-0008-0000-0000-000007000000}"/>
            </a:ext>
          </a:extLst>
        </xdr:cNvPr>
        <xdr:cNvSpPr txBox="1"/>
      </xdr:nvSpPr>
      <xdr:spPr>
        <a:xfrm>
          <a:off x="8267700" y="38823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114</xdr:row>
      <xdr:rowOff>0</xdr:rowOff>
    </xdr:from>
    <xdr:ext cx="65" cy="172227"/>
    <xdr:sp macro="" textlink="">
      <xdr:nvSpPr>
        <xdr:cNvPr id="1016" name="TextBox 1015">
          <a:extLst>
            <a:ext uri="{FF2B5EF4-FFF2-40B4-BE49-F238E27FC236}">
              <a16:creationId xmlns:a16="http://schemas.microsoft.com/office/drawing/2014/main" id="{00000000-0008-0000-0000-000007000000}"/>
            </a:ext>
          </a:extLst>
        </xdr:cNvPr>
        <xdr:cNvSpPr txBox="1"/>
      </xdr:nvSpPr>
      <xdr:spPr>
        <a:xfrm>
          <a:off x="8267700" y="38823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120</xdr:row>
      <xdr:rowOff>0</xdr:rowOff>
    </xdr:from>
    <xdr:ext cx="65" cy="172227"/>
    <xdr:sp macro="" textlink="">
      <xdr:nvSpPr>
        <xdr:cNvPr id="1017" name="TextBox 1016">
          <a:extLst>
            <a:ext uri="{FF2B5EF4-FFF2-40B4-BE49-F238E27FC236}">
              <a16:creationId xmlns:a16="http://schemas.microsoft.com/office/drawing/2014/main" id="{00000000-0008-0000-0000-000007000000}"/>
            </a:ext>
          </a:extLst>
        </xdr:cNvPr>
        <xdr:cNvSpPr txBox="1"/>
      </xdr:nvSpPr>
      <xdr:spPr>
        <a:xfrm>
          <a:off x="8267700" y="39921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120</xdr:row>
      <xdr:rowOff>0</xdr:rowOff>
    </xdr:from>
    <xdr:ext cx="65" cy="172227"/>
    <xdr:sp macro="" textlink="">
      <xdr:nvSpPr>
        <xdr:cNvPr id="1018" name="TextBox 1017">
          <a:extLst>
            <a:ext uri="{FF2B5EF4-FFF2-40B4-BE49-F238E27FC236}">
              <a16:creationId xmlns:a16="http://schemas.microsoft.com/office/drawing/2014/main" id="{00000000-0008-0000-0000-000007000000}"/>
            </a:ext>
          </a:extLst>
        </xdr:cNvPr>
        <xdr:cNvSpPr txBox="1"/>
      </xdr:nvSpPr>
      <xdr:spPr>
        <a:xfrm>
          <a:off x="8267700" y="39921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121</xdr:row>
      <xdr:rowOff>0</xdr:rowOff>
    </xdr:from>
    <xdr:ext cx="65" cy="172227"/>
    <xdr:sp macro="" textlink="">
      <xdr:nvSpPr>
        <xdr:cNvPr id="1019" name="TextBox 1018">
          <a:extLst>
            <a:ext uri="{FF2B5EF4-FFF2-40B4-BE49-F238E27FC236}">
              <a16:creationId xmlns:a16="http://schemas.microsoft.com/office/drawing/2014/main" id="{00000000-0008-0000-0000-000007000000}"/>
            </a:ext>
          </a:extLst>
        </xdr:cNvPr>
        <xdr:cNvSpPr txBox="1"/>
      </xdr:nvSpPr>
      <xdr:spPr>
        <a:xfrm>
          <a:off x="8267700" y="40104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121</xdr:row>
      <xdr:rowOff>0</xdr:rowOff>
    </xdr:from>
    <xdr:ext cx="65" cy="172227"/>
    <xdr:sp macro="" textlink="">
      <xdr:nvSpPr>
        <xdr:cNvPr id="1020" name="TextBox 1019">
          <a:extLst>
            <a:ext uri="{FF2B5EF4-FFF2-40B4-BE49-F238E27FC236}">
              <a16:creationId xmlns:a16="http://schemas.microsoft.com/office/drawing/2014/main" id="{00000000-0008-0000-0000-000007000000}"/>
            </a:ext>
          </a:extLst>
        </xdr:cNvPr>
        <xdr:cNvSpPr txBox="1"/>
      </xdr:nvSpPr>
      <xdr:spPr>
        <a:xfrm>
          <a:off x="8267700" y="40104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122</xdr:row>
      <xdr:rowOff>0</xdr:rowOff>
    </xdr:from>
    <xdr:ext cx="65" cy="172227"/>
    <xdr:sp macro="" textlink="">
      <xdr:nvSpPr>
        <xdr:cNvPr id="1021" name="TextBox 1020">
          <a:extLst>
            <a:ext uri="{FF2B5EF4-FFF2-40B4-BE49-F238E27FC236}">
              <a16:creationId xmlns:a16="http://schemas.microsoft.com/office/drawing/2014/main" id="{00000000-0008-0000-0000-000007000000}"/>
            </a:ext>
          </a:extLst>
        </xdr:cNvPr>
        <xdr:cNvSpPr txBox="1"/>
      </xdr:nvSpPr>
      <xdr:spPr>
        <a:xfrm>
          <a:off x="8267700" y="40286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122</xdr:row>
      <xdr:rowOff>0</xdr:rowOff>
    </xdr:from>
    <xdr:ext cx="65" cy="172227"/>
    <xdr:sp macro="" textlink="">
      <xdr:nvSpPr>
        <xdr:cNvPr id="1022" name="TextBox 1021">
          <a:extLst>
            <a:ext uri="{FF2B5EF4-FFF2-40B4-BE49-F238E27FC236}">
              <a16:creationId xmlns:a16="http://schemas.microsoft.com/office/drawing/2014/main" id="{00000000-0008-0000-0000-000007000000}"/>
            </a:ext>
          </a:extLst>
        </xdr:cNvPr>
        <xdr:cNvSpPr txBox="1"/>
      </xdr:nvSpPr>
      <xdr:spPr>
        <a:xfrm>
          <a:off x="8267700" y="40286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123</xdr:row>
      <xdr:rowOff>0</xdr:rowOff>
    </xdr:from>
    <xdr:ext cx="65" cy="172227"/>
    <xdr:sp macro="" textlink="">
      <xdr:nvSpPr>
        <xdr:cNvPr id="1023" name="TextBox 1022">
          <a:extLst>
            <a:ext uri="{FF2B5EF4-FFF2-40B4-BE49-F238E27FC236}">
              <a16:creationId xmlns:a16="http://schemas.microsoft.com/office/drawing/2014/main" id="{00000000-0008-0000-0000-000007000000}"/>
            </a:ext>
          </a:extLst>
        </xdr:cNvPr>
        <xdr:cNvSpPr txBox="1"/>
      </xdr:nvSpPr>
      <xdr:spPr>
        <a:xfrm>
          <a:off x="8267700" y="40469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123</xdr:row>
      <xdr:rowOff>0</xdr:rowOff>
    </xdr:from>
    <xdr:ext cx="65" cy="172227"/>
    <xdr:sp macro="" textlink="">
      <xdr:nvSpPr>
        <xdr:cNvPr id="1024" name="TextBox 1023">
          <a:extLst>
            <a:ext uri="{FF2B5EF4-FFF2-40B4-BE49-F238E27FC236}">
              <a16:creationId xmlns:a16="http://schemas.microsoft.com/office/drawing/2014/main" id="{00000000-0008-0000-0000-000007000000}"/>
            </a:ext>
          </a:extLst>
        </xdr:cNvPr>
        <xdr:cNvSpPr txBox="1"/>
      </xdr:nvSpPr>
      <xdr:spPr>
        <a:xfrm>
          <a:off x="8267700" y="40469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124</xdr:row>
      <xdr:rowOff>0</xdr:rowOff>
    </xdr:from>
    <xdr:ext cx="65" cy="172227"/>
    <xdr:sp macro="" textlink="">
      <xdr:nvSpPr>
        <xdr:cNvPr id="1025" name="TextBox 1024">
          <a:extLst>
            <a:ext uri="{FF2B5EF4-FFF2-40B4-BE49-F238E27FC236}">
              <a16:creationId xmlns:a16="http://schemas.microsoft.com/office/drawing/2014/main" id="{00000000-0008-0000-0000-000007000000}"/>
            </a:ext>
          </a:extLst>
        </xdr:cNvPr>
        <xdr:cNvSpPr txBox="1"/>
      </xdr:nvSpPr>
      <xdr:spPr>
        <a:xfrm>
          <a:off x="8267700" y="40652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124</xdr:row>
      <xdr:rowOff>0</xdr:rowOff>
    </xdr:from>
    <xdr:ext cx="65" cy="172227"/>
    <xdr:sp macro="" textlink="">
      <xdr:nvSpPr>
        <xdr:cNvPr id="1026" name="TextBox 1025">
          <a:extLst>
            <a:ext uri="{FF2B5EF4-FFF2-40B4-BE49-F238E27FC236}">
              <a16:creationId xmlns:a16="http://schemas.microsoft.com/office/drawing/2014/main" id="{00000000-0008-0000-0000-000007000000}"/>
            </a:ext>
          </a:extLst>
        </xdr:cNvPr>
        <xdr:cNvSpPr txBox="1"/>
      </xdr:nvSpPr>
      <xdr:spPr>
        <a:xfrm>
          <a:off x="8267700" y="40652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130</xdr:row>
      <xdr:rowOff>0</xdr:rowOff>
    </xdr:from>
    <xdr:ext cx="65" cy="172227"/>
    <xdr:sp macro="" textlink="">
      <xdr:nvSpPr>
        <xdr:cNvPr id="1027" name="TextBox 1026">
          <a:extLst>
            <a:ext uri="{FF2B5EF4-FFF2-40B4-BE49-F238E27FC236}">
              <a16:creationId xmlns:a16="http://schemas.microsoft.com/office/drawing/2014/main" id="{00000000-0008-0000-0000-000007000000}"/>
            </a:ext>
          </a:extLst>
        </xdr:cNvPr>
        <xdr:cNvSpPr txBox="1"/>
      </xdr:nvSpPr>
      <xdr:spPr>
        <a:xfrm>
          <a:off x="8267700" y="41749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130</xdr:row>
      <xdr:rowOff>0</xdr:rowOff>
    </xdr:from>
    <xdr:ext cx="65" cy="172227"/>
    <xdr:sp macro="" textlink="">
      <xdr:nvSpPr>
        <xdr:cNvPr id="1028" name="TextBox 1027">
          <a:extLst>
            <a:ext uri="{FF2B5EF4-FFF2-40B4-BE49-F238E27FC236}">
              <a16:creationId xmlns:a16="http://schemas.microsoft.com/office/drawing/2014/main" id="{00000000-0008-0000-0000-000007000000}"/>
            </a:ext>
          </a:extLst>
        </xdr:cNvPr>
        <xdr:cNvSpPr txBox="1"/>
      </xdr:nvSpPr>
      <xdr:spPr>
        <a:xfrm>
          <a:off x="8267700" y="41749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131</xdr:row>
      <xdr:rowOff>0</xdr:rowOff>
    </xdr:from>
    <xdr:ext cx="65" cy="172227"/>
    <xdr:sp macro="" textlink="">
      <xdr:nvSpPr>
        <xdr:cNvPr id="1029" name="TextBox 1028">
          <a:extLst>
            <a:ext uri="{FF2B5EF4-FFF2-40B4-BE49-F238E27FC236}">
              <a16:creationId xmlns:a16="http://schemas.microsoft.com/office/drawing/2014/main" id="{00000000-0008-0000-0000-000007000000}"/>
            </a:ext>
          </a:extLst>
        </xdr:cNvPr>
        <xdr:cNvSpPr txBox="1"/>
      </xdr:nvSpPr>
      <xdr:spPr>
        <a:xfrm>
          <a:off x="8267700" y="41932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131</xdr:row>
      <xdr:rowOff>0</xdr:rowOff>
    </xdr:from>
    <xdr:ext cx="65" cy="172227"/>
    <xdr:sp macro="" textlink="">
      <xdr:nvSpPr>
        <xdr:cNvPr id="1030" name="TextBox 1029">
          <a:extLst>
            <a:ext uri="{FF2B5EF4-FFF2-40B4-BE49-F238E27FC236}">
              <a16:creationId xmlns:a16="http://schemas.microsoft.com/office/drawing/2014/main" id="{00000000-0008-0000-0000-000007000000}"/>
            </a:ext>
          </a:extLst>
        </xdr:cNvPr>
        <xdr:cNvSpPr txBox="1"/>
      </xdr:nvSpPr>
      <xdr:spPr>
        <a:xfrm>
          <a:off x="8267700" y="41932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132</xdr:row>
      <xdr:rowOff>0</xdr:rowOff>
    </xdr:from>
    <xdr:ext cx="65" cy="172227"/>
    <xdr:sp macro="" textlink="">
      <xdr:nvSpPr>
        <xdr:cNvPr id="1031" name="TextBox 1030">
          <a:extLst>
            <a:ext uri="{FF2B5EF4-FFF2-40B4-BE49-F238E27FC236}">
              <a16:creationId xmlns:a16="http://schemas.microsoft.com/office/drawing/2014/main" id="{00000000-0008-0000-0000-000007000000}"/>
            </a:ext>
          </a:extLst>
        </xdr:cNvPr>
        <xdr:cNvSpPr txBox="1"/>
      </xdr:nvSpPr>
      <xdr:spPr>
        <a:xfrm>
          <a:off x="8267700" y="42115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132</xdr:row>
      <xdr:rowOff>0</xdr:rowOff>
    </xdr:from>
    <xdr:ext cx="65" cy="172227"/>
    <xdr:sp macro="" textlink="">
      <xdr:nvSpPr>
        <xdr:cNvPr id="1032" name="TextBox 1031">
          <a:extLst>
            <a:ext uri="{FF2B5EF4-FFF2-40B4-BE49-F238E27FC236}">
              <a16:creationId xmlns:a16="http://schemas.microsoft.com/office/drawing/2014/main" id="{00000000-0008-0000-0000-000007000000}"/>
            </a:ext>
          </a:extLst>
        </xdr:cNvPr>
        <xdr:cNvSpPr txBox="1"/>
      </xdr:nvSpPr>
      <xdr:spPr>
        <a:xfrm>
          <a:off x="8267700" y="42115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133</xdr:row>
      <xdr:rowOff>0</xdr:rowOff>
    </xdr:from>
    <xdr:ext cx="65" cy="172227"/>
    <xdr:sp macro="" textlink="">
      <xdr:nvSpPr>
        <xdr:cNvPr id="1033" name="TextBox 1032">
          <a:extLst>
            <a:ext uri="{FF2B5EF4-FFF2-40B4-BE49-F238E27FC236}">
              <a16:creationId xmlns:a16="http://schemas.microsoft.com/office/drawing/2014/main" id="{00000000-0008-0000-0000-000007000000}"/>
            </a:ext>
          </a:extLst>
        </xdr:cNvPr>
        <xdr:cNvSpPr txBox="1"/>
      </xdr:nvSpPr>
      <xdr:spPr>
        <a:xfrm>
          <a:off x="8267700" y="42298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133</xdr:row>
      <xdr:rowOff>0</xdr:rowOff>
    </xdr:from>
    <xdr:ext cx="65" cy="172227"/>
    <xdr:sp macro="" textlink="">
      <xdr:nvSpPr>
        <xdr:cNvPr id="1034" name="TextBox 1033">
          <a:extLst>
            <a:ext uri="{FF2B5EF4-FFF2-40B4-BE49-F238E27FC236}">
              <a16:creationId xmlns:a16="http://schemas.microsoft.com/office/drawing/2014/main" id="{00000000-0008-0000-0000-000007000000}"/>
            </a:ext>
          </a:extLst>
        </xdr:cNvPr>
        <xdr:cNvSpPr txBox="1"/>
      </xdr:nvSpPr>
      <xdr:spPr>
        <a:xfrm>
          <a:off x="8267700" y="42298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134</xdr:row>
      <xdr:rowOff>0</xdr:rowOff>
    </xdr:from>
    <xdr:ext cx="65" cy="172227"/>
    <xdr:sp macro="" textlink="">
      <xdr:nvSpPr>
        <xdr:cNvPr id="1035" name="TextBox 1034">
          <a:extLst>
            <a:ext uri="{FF2B5EF4-FFF2-40B4-BE49-F238E27FC236}">
              <a16:creationId xmlns:a16="http://schemas.microsoft.com/office/drawing/2014/main" id="{00000000-0008-0000-0000-000007000000}"/>
            </a:ext>
          </a:extLst>
        </xdr:cNvPr>
        <xdr:cNvSpPr txBox="1"/>
      </xdr:nvSpPr>
      <xdr:spPr>
        <a:xfrm>
          <a:off x="8267700" y="4248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134</xdr:row>
      <xdr:rowOff>0</xdr:rowOff>
    </xdr:from>
    <xdr:ext cx="65" cy="172227"/>
    <xdr:sp macro="" textlink="">
      <xdr:nvSpPr>
        <xdr:cNvPr id="1036" name="TextBox 1035">
          <a:extLst>
            <a:ext uri="{FF2B5EF4-FFF2-40B4-BE49-F238E27FC236}">
              <a16:creationId xmlns:a16="http://schemas.microsoft.com/office/drawing/2014/main" id="{00000000-0008-0000-0000-000007000000}"/>
            </a:ext>
          </a:extLst>
        </xdr:cNvPr>
        <xdr:cNvSpPr txBox="1"/>
      </xdr:nvSpPr>
      <xdr:spPr>
        <a:xfrm>
          <a:off x="8267700" y="4248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1037" name="TextBox 1036">
          <a:extLst>
            <a:ext uri="{FF2B5EF4-FFF2-40B4-BE49-F238E27FC236}">
              <a16:creationId xmlns:a16="http://schemas.microsoft.com/office/drawing/2014/main" id="{00000000-0008-0000-0000-000007000000}"/>
            </a:ext>
          </a:extLst>
        </xdr:cNvPr>
        <xdr:cNvSpPr txBox="1"/>
      </xdr:nvSpPr>
      <xdr:spPr>
        <a:xfrm>
          <a:off x="8267700" y="33840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1038" name="TextBox 1037">
          <a:extLst>
            <a:ext uri="{FF2B5EF4-FFF2-40B4-BE49-F238E27FC236}">
              <a16:creationId xmlns:a16="http://schemas.microsoft.com/office/drawing/2014/main" id="{00000000-0008-0000-0000-000007000000}"/>
            </a:ext>
          </a:extLst>
        </xdr:cNvPr>
        <xdr:cNvSpPr txBox="1"/>
      </xdr:nvSpPr>
      <xdr:spPr>
        <a:xfrm>
          <a:off x="8267700" y="33840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88</xdr:row>
      <xdr:rowOff>0</xdr:rowOff>
    </xdr:from>
    <xdr:ext cx="65" cy="172227"/>
    <xdr:sp macro="" textlink="">
      <xdr:nvSpPr>
        <xdr:cNvPr id="1039" name="TextBox 1038">
          <a:extLst>
            <a:ext uri="{FF2B5EF4-FFF2-40B4-BE49-F238E27FC236}">
              <a16:creationId xmlns:a16="http://schemas.microsoft.com/office/drawing/2014/main" id="{00000000-0008-0000-0000-000007000000}"/>
            </a:ext>
          </a:extLst>
        </xdr:cNvPr>
        <xdr:cNvSpPr txBox="1"/>
      </xdr:nvSpPr>
      <xdr:spPr>
        <a:xfrm>
          <a:off x="8267700" y="3403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88</xdr:row>
      <xdr:rowOff>0</xdr:rowOff>
    </xdr:from>
    <xdr:ext cx="65" cy="172227"/>
    <xdr:sp macro="" textlink="">
      <xdr:nvSpPr>
        <xdr:cNvPr id="1040" name="TextBox 1039">
          <a:extLst>
            <a:ext uri="{FF2B5EF4-FFF2-40B4-BE49-F238E27FC236}">
              <a16:creationId xmlns:a16="http://schemas.microsoft.com/office/drawing/2014/main" id="{00000000-0008-0000-0000-000007000000}"/>
            </a:ext>
          </a:extLst>
        </xdr:cNvPr>
        <xdr:cNvSpPr txBox="1"/>
      </xdr:nvSpPr>
      <xdr:spPr>
        <a:xfrm>
          <a:off x="8267700" y="3403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89</xdr:row>
      <xdr:rowOff>0</xdr:rowOff>
    </xdr:from>
    <xdr:ext cx="65" cy="172227"/>
    <xdr:sp macro="" textlink="">
      <xdr:nvSpPr>
        <xdr:cNvPr id="1041" name="TextBox 1040">
          <a:extLst>
            <a:ext uri="{FF2B5EF4-FFF2-40B4-BE49-F238E27FC236}">
              <a16:creationId xmlns:a16="http://schemas.microsoft.com/office/drawing/2014/main" id="{00000000-0008-0000-0000-000007000000}"/>
            </a:ext>
          </a:extLst>
        </xdr:cNvPr>
        <xdr:cNvSpPr txBox="1"/>
      </xdr:nvSpPr>
      <xdr:spPr>
        <a:xfrm>
          <a:off x="8267700" y="34236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89</xdr:row>
      <xdr:rowOff>0</xdr:rowOff>
    </xdr:from>
    <xdr:ext cx="65" cy="172227"/>
    <xdr:sp macro="" textlink="">
      <xdr:nvSpPr>
        <xdr:cNvPr id="1042" name="TextBox 1041">
          <a:extLst>
            <a:ext uri="{FF2B5EF4-FFF2-40B4-BE49-F238E27FC236}">
              <a16:creationId xmlns:a16="http://schemas.microsoft.com/office/drawing/2014/main" id="{00000000-0008-0000-0000-000007000000}"/>
            </a:ext>
          </a:extLst>
        </xdr:cNvPr>
        <xdr:cNvSpPr txBox="1"/>
      </xdr:nvSpPr>
      <xdr:spPr>
        <a:xfrm>
          <a:off x="8267700" y="34236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89</xdr:row>
      <xdr:rowOff>0</xdr:rowOff>
    </xdr:from>
    <xdr:ext cx="65" cy="172227"/>
    <xdr:sp macro="" textlink="">
      <xdr:nvSpPr>
        <xdr:cNvPr id="1043" name="TextBox 1042">
          <a:extLst>
            <a:ext uri="{FF2B5EF4-FFF2-40B4-BE49-F238E27FC236}">
              <a16:creationId xmlns:a16="http://schemas.microsoft.com/office/drawing/2014/main" id="{00000000-0008-0000-0000-000007000000}"/>
            </a:ext>
          </a:extLst>
        </xdr:cNvPr>
        <xdr:cNvSpPr txBox="1"/>
      </xdr:nvSpPr>
      <xdr:spPr>
        <a:xfrm>
          <a:off x="8267700" y="34236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89</xdr:row>
      <xdr:rowOff>0</xdr:rowOff>
    </xdr:from>
    <xdr:ext cx="65" cy="172227"/>
    <xdr:sp macro="" textlink="">
      <xdr:nvSpPr>
        <xdr:cNvPr id="1044" name="TextBox 1043">
          <a:extLst>
            <a:ext uri="{FF2B5EF4-FFF2-40B4-BE49-F238E27FC236}">
              <a16:creationId xmlns:a16="http://schemas.microsoft.com/office/drawing/2014/main" id="{00000000-0008-0000-0000-000007000000}"/>
            </a:ext>
          </a:extLst>
        </xdr:cNvPr>
        <xdr:cNvSpPr txBox="1"/>
      </xdr:nvSpPr>
      <xdr:spPr>
        <a:xfrm>
          <a:off x="8267700" y="34236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045" name="TextBox 1044">
          <a:extLst>
            <a:ext uri="{FF2B5EF4-FFF2-40B4-BE49-F238E27FC236}">
              <a16:creationId xmlns:a16="http://schemas.microsoft.com/office/drawing/2014/main" id="{00000000-0008-0000-0000-000007000000}"/>
            </a:ext>
          </a:extLst>
        </xdr:cNvPr>
        <xdr:cNvSpPr txBox="1"/>
      </xdr:nvSpPr>
      <xdr:spPr>
        <a:xfrm>
          <a:off x="8267700" y="33642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046" name="TextBox 1045">
          <a:extLst>
            <a:ext uri="{FF2B5EF4-FFF2-40B4-BE49-F238E27FC236}">
              <a16:creationId xmlns:a16="http://schemas.microsoft.com/office/drawing/2014/main" id="{00000000-0008-0000-0000-000007000000}"/>
            </a:ext>
          </a:extLst>
        </xdr:cNvPr>
        <xdr:cNvSpPr txBox="1"/>
      </xdr:nvSpPr>
      <xdr:spPr>
        <a:xfrm>
          <a:off x="8267700" y="33642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1047" name="TextBox 1046">
          <a:extLst>
            <a:ext uri="{FF2B5EF4-FFF2-40B4-BE49-F238E27FC236}">
              <a16:creationId xmlns:a16="http://schemas.microsoft.com/office/drawing/2014/main" id="{00000000-0008-0000-0000-000007000000}"/>
            </a:ext>
          </a:extLst>
        </xdr:cNvPr>
        <xdr:cNvSpPr txBox="1"/>
      </xdr:nvSpPr>
      <xdr:spPr>
        <a:xfrm>
          <a:off x="8267700" y="33840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1048" name="TextBox 1047">
          <a:extLst>
            <a:ext uri="{FF2B5EF4-FFF2-40B4-BE49-F238E27FC236}">
              <a16:creationId xmlns:a16="http://schemas.microsoft.com/office/drawing/2014/main" id="{00000000-0008-0000-0000-000007000000}"/>
            </a:ext>
          </a:extLst>
        </xdr:cNvPr>
        <xdr:cNvSpPr txBox="1"/>
      </xdr:nvSpPr>
      <xdr:spPr>
        <a:xfrm>
          <a:off x="8267700" y="33840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1049" name="TextBox 1048">
          <a:extLst>
            <a:ext uri="{FF2B5EF4-FFF2-40B4-BE49-F238E27FC236}">
              <a16:creationId xmlns:a16="http://schemas.microsoft.com/office/drawing/2014/main" id="{00000000-0008-0000-0000-000007000000}"/>
            </a:ext>
          </a:extLst>
        </xdr:cNvPr>
        <xdr:cNvSpPr txBox="1"/>
      </xdr:nvSpPr>
      <xdr:spPr>
        <a:xfrm>
          <a:off x="8267700" y="33840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1050" name="TextBox 1049">
          <a:extLst>
            <a:ext uri="{FF2B5EF4-FFF2-40B4-BE49-F238E27FC236}">
              <a16:creationId xmlns:a16="http://schemas.microsoft.com/office/drawing/2014/main" id="{00000000-0008-0000-0000-000007000000}"/>
            </a:ext>
          </a:extLst>
        </xdr:cNvPr>
        <xdr:cNvSpPr txBox="1"/>
      </xdr:nvSpPr>
      <xdr:spPr>
        <a:xfrm>
          <a:off x="8267700" y="33840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88</xdr:row>
      <xdr:rowOff>0</xdr:rowOff>
    </xdr:from>
    <xdr:ext cx="65" cy="172227"/>
    <xdr:sp macro="" textlink="">
      <xdr:nvSpPr>
        <xdr:cNvPr id="1051" name="TextBox 1050">
          <a:extLst>
            <a:ext uri="{FF2B5EF4-FFF2-40B4-BE49-F238E27FC236}">
              <a16:creationId xmlns:a16="http://schemas.microsoft.com/office/drawing/2014/main" id="{00000000-0008-0000-0000-000007000000}"/>
            </a:ext>
          </a:extLst>
        </xdr:cNvPr>
        <xdr:cNvSpPr txBox="1"/>
      </xdr:nvSpPr>
      <xdr:spPr>
        <a:xfrm>
          <a:off x="8267700" y="3403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88</xdr:row>
      <xdr:rowOff>0</xdr:rowOff>
    </xdr:from>
    <xdr:ext cx="65" cy="172227"/>
    <xdr:sp macro="" textlink="">
      <xdr:nvSpPr>
        <xdr:cNvPr id="1052" name="TextBox 1051">
          <a:extLst>
            <a:ext uri="{FF2B5EF4-FFF2-40B4-BE49-F238E27FC236}">
              <a16:creationId xmlns:a16="http://schemas.microsoft.com/office/drawing/2014/main" id="{00000000-0008-0000-0000-000007000000}"/>
            </a:ext>
          </a:extLst>
        </xdr:cNvPr>
        <xdr:cNvSpPr txBox="1"/>
      </xdr:nvSpPr>
      <xdr:spPr>
        <a:xfrm>
          <a:off x="8267700" y="3403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88</xdr:row>
      <xdr:rowOff>0</xdr:rowOff>
    </xdr:from>
    <xdr:ext cx="65" cy="172227"/>
    <xdr:sp macro="" textlink="">
      <xdr:nvSpPr>
        <xdr:cNvPr id="1053" name="TextBox 1052">
          <a:extLst>
            <a:ext uri="{FF2B5EF4-FFF2-40B4-BE49-F238E27FC236}">
              <a16:creationId xmlns:a16="http://schemas.microsoft.com/office/drawing/2014/main" id="{00000000-0008-0000-0000-000007000000}"/>
            </a:ext>
          </a:extLst>
        </xdr:cNvPr>
        <xdr:cNvSpPr txBox="1"/>
      </xdr:nvSpPr>
      <xdr:spPr>
        <a:xfrm>
          <a:off x="8267700" y="3403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88</xdr:row>
      <xdr:rowOff>0</xdr:rowOff>
    </xdr:from>
    <xdr:ext cx="65" cy="172227"/>
    <xdr:sp macro="" textlink="">
      <xdr:nvSpPr>
        <xdr:cNvPr id="1054" name="TextBox 1053">
          <a:extLst>
            <a:ext uri="{FF2B5EF4-FFF2-40B4-BE49-F238E27FC236}">
              <a16:creationId xmlns:a16="http://schemas.microsoft.com/office/drawing/2014/main" id="{00000000-0008-0000-0000-000007000000}"/>
            </a:ext>
          </a:extLst>
        </xdr:cNvPr>
        <xdr:cNvSpPr txBox="1"/>
      </xdr:nvSpPr>
      <xdr:spPr>
        <a:xfrm>
          <a:off x="8267700" y="3403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88</xdr:row>
      <xdr:rowOff>0</xdr:rowOff>
    </xdr:from>
    <xdr:ext cx="65" cy="172227"/>
    <xdr:sp macro="" textlink="">
      <xdr:nvSpPr>
        <xdr:cNvPr id="1055" name="TextBox 1054">
          <a:extLst>
            <a:ext uri="{FF2B5EF4-FFF2-40B4-BE49-F238E27FC236}">
              <a16:creationId xmlns:a16="http://schemas.microsoft.com/office/drawing/2014/main" id="{00000000-0008-0000-0000-000007000000}"/>
            </a:ext>
          </a:extLst>
        </xdr:cNvPr>
        <xdr:cNvSpPr txBox="1"/>
      </xdr:nvSpPr>
      <xdr:spPr>
        <a:xfrm>
          <a:off x="8267700" y="3403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88</xdr:row>
      <xdr:rowOff>0</xdr:rowOff>
    </xdr:from>
    <xdr:ext cx="65" cy="172227"/>
    <xdr:sp macro="" textlink="">
      <xdr:nvSpPr>
        <xdr:cNvPr id="1056" name="TextBox 1055">
          <a:extLst>
            <a:ext uri="{FF2B5EF4-FFF2-40B4-BE49-F238E27FC236}">
              <a16:creationId xmlns:a16="http://schemas.microsoft.com/office/drawing/2014/main" id="{00000000-0008-0000-0000-000007000000}"/>
            </a:ext>
          </a:extLst>
        </xdr:cNvPr>
        <xdr:cNvSpPr txBox="1"/>
      </xdr:nvSpPr>
      <xdr:spPr>
        <a:xfrm>
          <a:off x="8267700" y="3403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88</xdr:row>
      <xdr:rowOff>0</xdr:rowOff>
    </xdr:from>
    <xdr:ext cx="65" cy="172227"/>
    <xdr:sp macro="" textlink="">
      <xdr:nvSpPr>
        <xdr:cNvPr id="1057" name="TextBox 1056">
          <a:extLst>
            <a:ext uri="{FF2B5EF4-FFF2-40B4-BE49-F238E27FC236}">
              <a16:creationId xmlns:a16="http://schemas.microsoft.com/office/drawing/2014/main" id="{00000000-0008-0000-0000-000007000000}"/>
            </a:ext>
          </a:extLst>
        </xdr:cNvPr>
        <xdr:cNvSpPr txBox="1"/>
      </xdr:nvSpPr>
      <xdr:spPr>
        <a:xfrm>
          <a:off x="8267700" y="3403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88</xdr:row>
      <xdr:rowOff>0</xdr:rowOff>
    </xdr:from>
    <xdr:ext cx="65" cy="172227"/>
    <xdr:sp macro="" textlink="">
      <xdr:nvSpPr>
        <xdr:cNvPr id="1058" name="TextBox 1057">
          <a:extLst>
            <a:ext uri="{FF2B5EF4-FFF2-40B4-BE49-F238E27FC236}">
              <a16:creationId xmlns:a16="http://schemas.microsoft.com/office/drawing/2014/main" id="{00000000-0008-0000-0000-000007000000}"/>
            </a:ext>
          </a:extLst>
        </xdr:cNvPr>
        <xdr:cNvSpPr txBox="1"/>
      </xdr:nvSpPr>
      <xdr:spPr>
        <a:xfrm>
          <a:off x="8267700" y="3403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059" name="TextBox 1058">
          <a:extLst>
            <a:ext uri="{FF2B5EF4-FFF2-40B4-BE49-F238E27FC236}">
              <a16:creationId xmlns:a16="http://schemas.microsoft.com/office/drawing/2014/main" id="{00000000-0008-0000-0000-000007000000}"/>
            </a:ext>
          </a:extLst>
        </xdr:cNvPr>
        <xdr:cNvSpPr txBox="1"/>
      </xdr:nvSpPr>
      <xdr:spPr>
        <a:xfrm>
          <a:off x="8267700" y="33642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060" name="TextBox 1059">
          <a:extLst>
            <a:ext uri="{FF2B5EF4-FFF2-40B4-BE49-F238E27FC236}">
              <a16:creationId xmlns:a16="http://schemas.microsoft.com/office/drawing/2014/main" id="{00000000-0008-0000-0000-000007000000}"/>
            </a:ext>
          </a:extLst>
        </xdr:cNvPr>
        <xdr:cNvSpPr txBox="1"/>
      </xdr:nvSpPr>
      <xdr:spPr>
        <a:xfrm>
          <a:off x="8267700" y="33642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061" name="TextBox 1060">
          <a:extLst>
            <a:ext uri="{FF2B5EF4-FFF2-40B4-BE49-F238E27FC236}">
              <a16:creationId xmlns:a16="http://schemas.microsoft.com/office/drawing/2014/main" id="{00000000-0008-0000-0000-000007000000}"/>
            </a:ext>
          </a:extLst>
        </xdr:cNvPr>
        <xdr:cNvSpPr txBox="1"/>
      </xdr:nvSpPr>
      <xdr:spPr>
        <a:xfrm>
          <a:off x="8267700" y="33642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062" name="TextBox 1061">
          <a:extLst>
            <a:ext uri="{FF2B5EF4-FFF2-40B4-BE49-F238E27FC236}">
              <a16:creationId xmlns:a16="http://schemas.microsoft.com/office/drawing/2014/main" id="{00000000-0008-0000-0000-000007000000}"/>
            </a:ext>
          </a:extLst>
        </xdr:cNvPr>
        <xdr:cNvSpPr txBox="1"/>
      </xdr:nvSpPr>
      <xdr:spPr>
        <a:xfrm>
          <a:off x="8267700" y="33642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975" name="TextBox 974">
          <a:extLst>
            <a:ext uri="{FF2B5EF4-FFF2-40B4-BE49-F238E27FC236}">
              <a16:creationId xmlns:a16="http://schemas.microsoft.com/office/drawing/2014/main" id="{00000000-0008-0000-0000-000007000000}"/>
            </a:ext>
          </a:extLst>
        </xdr:cNvPr>
        <xdr:cNvSpPr txBox="1"/>
      </xdr:nvSpPr>
      <xdr:spPr>
        <a:xfrm>
          <a:off x="8267700" y="33809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1064" name="TextBox 1063">
          <a:extLst>
            <a:ext uri="{FF2B5EF4-FFF2-40B4-BE49-F238E27FC236}">
              <a16:creationId xmlns:a16="http://schemas.microsoft.com/office/drawing/2014/main" id="{00000000-0008-0000-0000-000007000000}"/>
            </a:ext>
          </a:extLst>
        </xdr:cNvPr>
        <xdr:cNvSpPr txBox="1"/>
      </xdr:nvSpPr>
      <xdr:spPr>
        <a:xfrm>
          <a:off x="8267700" y="33809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065" name="TextBox 1064">
          <a:extLst>
            <a:ext uri="{FF2B5EF4-FFF2-40B4-BE49-F238E27FC236}">
              <a16:creationId xmlns:a16="http://schemas.microsoft.com/office/drawing/2014/main" id="{00000000-0008-0000-0000-000007000000}"/>
            </a:ext>
          </a:extLst>
        </xdr:cNvPr>
        <xdr:cNvSpPr txBox="1"/>
      </xdr:nvSpPr>
      <xdr:spPr>
        <a:xfrm>
          <a:off x="8267700" y="34008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066" name="TextBox 1065">
          <a:extLst>
            <a:ext uri="{FF2B5EF4-FFF2-40B4-BE49-F238E27FC236}">
              <a16:creationId xmlns:a16="http://schemas.microsoft.com/office/drawing/2014/main" id="{00000000-0008-0000-0000-000007000000}"/>
            </a:ext>
          </a:extLst>
        </xdr:cNvPr>
        <xdr:cNvSpPr txBox="1"/>
      </xdr:nvSpPr>
      <xdr:spPr>
        <a:xfrm>
          <a:off x="8267700" y="34008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1067" name="TextBox 1066">
          <a:extLst>
            <a:ext uri="{FF2B5EF4-FFF2-40B4-BE49-F238E27FC236}">
              <a16:creationId xmlns:a16="http://schemas.microsoft.com/office/drawing/2014/main" id="{00000000-0008-0000-0000-000007000000}"/>
            </a:ext>
          </a:extLst>
        </xdr:cNvPr>
        <xdr:cNvSpPr txBox="1"/>
      </xdr:nvSpPr>
      <xdr:spPr>
        <a:xfrm>
          <a:off x="8267700" y="34206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1068" name="TextBox 1067">
          <a:extLst>
            <a:ext uri="{FF2B5EF4-FFF2-40B4-BE49-F238E27FC236}">
              <a16:creationId xmlns:a16="http://schemas.microsoft.com/office/drawing/2014/main" id="{00000000-0008-0000-0000-000007000000}"/>
            </a:ext>
          </a:extLst>
        </xdr:cNvPr>
        <xdr:cNvSpPr txBox="1"/>
      </xdr:nvSpPr>
      <xdr:spPr>
        <a:xfrm>
          <a:off x="8267700" y="34206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88</xdr:row>
      <xdr:rowOff>0</xdr:rowOff>
    </xdr:from>
    <xdr:ext cx="65" cy="172227"/>
    <xdr:sp macro="" textlink="">
      <xdr:nvSpPr>
        <xdr:cNvPr id="1069" name="TextBox 1068">
          <a:extLst>
            <a:ext uri="{FF2B5EF4-FFF2-40B4-BE49-F238E27FC236}">
              <a16:creationId xmlns:a16="http://schemas.microsoft.com/office/drawing/2014/main" id="{00000000-0008-0000-0000-000007000000}"/>
            </a:ext>
          </a:extLst>
        </xdr:cNvPr>
        <xdr:cNvSpPr txBox="1"/>
      </xdr:nvSpPr>
      <xdr:spPr>
        <a:xfrm>
          <a:off x="8267700" y="34404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88</xdr:row>
      <xdr:rowOff>0</xdr:rowOff>
    </xdr:from>
    <xdr:ext cx="65" cy="172227"/>
    <xdr:sp macro="" textlink="">
      <xdr:nvSpPr>
        <xdr:cNvPr id="1070" name="TextBox 1069">
          <a:extLst>
            <a:ext uri="{FF2B5EF4-FFF2-40B4-BE49-F238E27FC236}">
              <a16:creationId xmlns:a16="http://schemas.microsoft.com/office/drawing/2014/main" id="{00000000-0008-0000-0000-000007000000}"/>
            </a:ext>
          </a:extLst>
        </xdr:cNvPr>
        <xdr:cNvSpPr txBox="1"/>
      </xdr:nvSpPr>
      <xdr:spPr>
        <a:xfrm>
          <a:off x="8267700" y="34404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89</xdr:row>
      <xdr:rowOff>0</xdr:rowOff>
    </xdr:from>
    <xdr:ext cx="65" cy="172227"/>
    <xdr:sp macro="" textlink="">
      <xdr:nvSpPr>
        <xdr:cNvPr id="1071" name="TextBox 1070">
          <a:extLst>
            <a:ext uri="{FF2B5EF4-FFF2-40B4-BE49-F238E27FC236}">
              <a16:creationId xmlns:a16="http://schemas.microsoft.com/office/drawing/2014/main" id="{00000000-0008-0000-0000-000007000000}"/>
            </a:ext>
          </a:extLst>
        </xdr:cNvPr>
        <xdr:cNvSpPr txBox="1"/>
      </xdr:nvSpPr>
      <xdr:spPr>
        <a:xfrm>
          <a:off x="8267700" y="34602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89</xdr:row>
      <xdr:rowOff>0</xdr:rowOff>
    </xdr:from>
    <xdr:ext cx="65" cy="172227"/>
    <xdr:sp macro="" textlink="">
      <xdr:nvSpPr>
        <xdr:cNvPr id="1072" name="TextBox 1071">
          <a:extLst>
            <a:ext uri="{FF2B5EF4-FFF2-40B4-BE49-F238E27FC236}">
              <a16:creationId xmlns:a16="http://schemas.microsoft.com/office/drawing/2014/main" id="{00000000-0008-0000-0000-000007000000}"/>
            </a:ext>
          </a:extLst>
        </xdr:cNvPr>
        <xdr:cNvSpPr txBox="1"/>
      </xdr:nvSpPr>
      <xdr:spPr>
        <a:xfrm>
          <a:off x="8267700" y="34602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90</xdr:row>
      <xdr:rowOff>0</xdr:rowOff>
    </xdr:from>
    <xdr:ext cx="65" cy="172227"/>
    <xdr:sp macro="" textlink="">
      <xdr:nvSpPr>
        <xdr:cNvPr id="1073" name="TextBox 1072">
          <a:extLst>
            <a:ext uri="{FF2B5EF4-FFF2-40B4-BE49-F238E27FC236}">
              <a16:creationId xmlns:a16="http://schemas.microsoft.com/office/drawing/2014/main" id="{00000000-0008-0000-0000-000007000000}"/>
            </a:ext>
          </a:extLst>
        </xdr:cNvPr>
        <xdr:cNvSpPr txBox="1"/>
      </xdr:nvSpPr>
      <xdr:spPr>
        <a:xfrm>
          <a:off x="8267700" y="34800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90</xdr:row>
      <xdr:rowOff>0</xdr:rowOff>
    </xdr:from>
    <xdr:ext cx="65" cy="172227"/>
    <xdr:sp macro="" textlink="">
      <xdr:nvSpPr>
        <xdr:cNvPr id="1074" name="TextBox 1073">
          <a:extLst>
            <a:ext uri="{FF2B5EF4-FFF2-40B4-BE49-F238E27FC236}">
              <a16:creationId xmlns:a16="http://schemas.microsoft.com/office/drawing/2014/main" id="{00000000-0008-0000-0000-000007000000}"/>
            </a:ext>
          </a:extLst>
        </xdr:cNvPr>
        <xdr:cNvSpPr txBox="1"/>
      </xdr:nvSpPr>
      <xdr:spPr>
        <a:xfrm>
          <a:off x="8267700" y="34800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91</xdr:row>
      <xdr:rowOff>0</xdr:rowOff>
    </xdr:from>
    <xdr:ext cx="65" cy="172227"/>
    <xdr:sp macro="" textlink="">
      <xdr:nvSpPr>
        <xdr:cNvPr id="1075" name="TextBox 1074">
          <a:extLst>
            <a:ext uri="{FF2B5EF4-FFF2-40B4-BE49-F238E27FC236}">
              <a16:creationId xmlns:a16="http://schemas.microsoft.com/office/drawing/2014/main" id="{00000000-0008-0000-0000-000007000000}"/>
            </a:ext>
          </a:extLst>
        </xdr:cNvPr>
        <xdr:cNvSpPr txBox="1"/>
      </xdr:nvSpPr>
      <xdr:spPr>
        <a:xfrm>
          <a:off x="8267700" y="3498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91</xdr:row>
      <xdr:rowOff>0</xdr:rowOff>
    </xdr:from>
    <xdr:ext cx="65" cy="172227"/>
    <xdr:sp macro="" textlink="">
      <xdr:nvSpPr>
        <xdr:cNvPr id="1076" name="TextBox 1075">
          <a:extLst>
            <a:ext uri="{FF2B5EF4-FFF2-40B4-BE49-F238E27FC236}">
              <a16:creationId xmlns:a16="http://schemas.microsoft.com/office/drawing/2014/main" id="{00000000-0008-0000-0000-000007000000}"/>
            </a:ext>
          </a:extLst>
        </xdr:cNvPr>
        <xdr:cNvSpPr txBox="1"/>
      </xdr:nvSpPr>
      <xdr:spPr>
        <a:xfrm>
          <a:off x="8267700" y="3498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92</xdr:row>
      <xdr:rowOff>0</xdr:rowOff>
    </xdr:from>
    <xdr:ext cx="65" cy="172227"/>
    <xdr:sp macro="" textlink="">
      <xdr:nvSpPr>
        <xdr:cNvPr id="1077" name="TextBox 1076">
          <a:extLst>
            <a:ext uri="{FF2B5EF4-FFF2-40B4-BE49-F238E27FC236}">
              <a16:creationId xmlns:a16="http://schemas.microsoft.com/office/drawing/2014/main" id="{00000000-0008-0000-0000-000007000000}"/>
            </a:ext>
          </a:extLst>
        </xdr:cNvPr>
        <xdr:cNvSpPr txBox="1"/>
      </xdr:nvSpPr>
      <xdr:spPr>
        <a:xfrm>
          <a:off x="8267700" y="35166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92</xdr:row>
      <xdr:rowOff>0</xdr:rowOff>
    </xdr:from>
    <xdr:ext cx="65" cy="172227"/>
    <xdr:sp macro="" textlink="">
      <xdr:nvSpPr>
        <xdr:cNvPr id="1078" name="TextBox 1077">
          <a:extLst>
            <a:ext uri="{FF2B5EF4-FFF2-40B4-BE49-F238E27FC236}">
              <a16:creationId xmlns:a16="http://schemas.microsoft.com/office/drawing/2014/main" id="{00000000-0008-0000-0000-000007000000}"/>
            </a:ext>
          </a:extLst>
        </xdr:cNvPr>
        <xdr:cNvSpPr txBox="1"/>
      </xdr:nvSpPr>
      <xdr:spPr>
        <a:xfrm>
          <a:off x="8267700" y="35166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93</xdr:row>
      <xdr:rowOff>0</xdr:rowOff>
    </xdr:from>
    <xdr:ext cx="65" cy="172227"/>
    <xdr:sp macro="" textlink="">
      <xdr:nvSpPr>
        <xdr:cNvPr id="1079" name="TextBox 1078">
          <a:extLst>
            <a:ext uri="{FF2B5EF4-FFF2-40B4-BE49-F238E27FC236}">
              <a16:creationId xmlns:a16="http://schemas.microsoft.com/office/drawing/2014/main" id="{00000000-0008-0000-0000-000007000000}"/>
            </a:ext>
          </a:extLst>
        </xdr:cNvPr>
        <xdr:cNvSpPr txBox="1"/>
      </xdr:nvSpPr>
      <xdr:spPr>
        <a:xfrm>
          <a:off x="8267700" y="35349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93</xdr:row>
      <xdr:rowOff>0</xdr:rowOff>
    </xdr:from>
    <xdr:ext cx="65" cy="172227"/>
    <xdr:sp macro="" textlink="">
      <xdr:nvSpPr>
        <xdr:cNvPr id="1080" name="TextBox 1079">
          <a:extLst>
            <a:ext uri="{FF2B5EF4-FFF2-40B4-BE49-F238E27FC236}">
              <a16:creationId xmlns:a16="http://schemas.microsoft.com/office/drawing/2014/main" id="{00000000-0008-0000-0000-000007000000}"/>
            </a:ext>
          </a:extLst>
        </xdr:cNvPr>
        <xdr:cNvSpPr txBox="1"/>
      </xdr:nvSpPr>
      <xdr:spPr>
        <a:xfrm>
          <a:off x="8267700" y="35349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94</xdr:row>
      <xdr:rowOff>0</xdr:rowOff>
    </xdr:from>
    <xdr:ext cx="65" cy="172227"/>
    <xdr:sp macro="" textlink="">
      <xdr:nvSpPr>
        <xdr:cNvPr id="1081" name="TextBox 1080">
          <a:extLst>
            <a:ext uri="{FF2B5EF4-FFF2-40B4-BE49-F238E27FC236}">
              <a16:creationId xmlns:a16="http://schemas.microsoft.com/office/drawing/2014/main" id="{00000000-0008-0000-0000-000007000000}"/>
            </a:ext>
          </a:extLst>
        </xdr:cNvPr>
        <xdr:cNvSpPr txBox="1"/>
      </xdr:nvSpPr>
      <xdr:spPr>
        <a:xfrm>
          <a:off x="8267700" y="35532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94</xdr:row>
      <xdr:rowOff>0</xdr:rowOff>
    </xdr:from>
    <xdr:ext cx="65" cy="172227"/>
    <xdr:sp macro="" textlink="">
      <xdr:nvSpPr>
        <xdr:cNvPr id="1082" name="TextBox 1081">
          <a:extLst>
            <a:ext uri="{FF2B5EF4-FFF2-40B4-BE49-F238E27FC236}">
              <a16:creationId xmlns:a16="http://schemas.microsoft.com/office/drawing/2014/main" id="{00000000-0008-0000-0000-000007000000}"/>
            </a:ext>
          </a:extLst>
        </xdr:cNvPr>
        <xdr:cNvSpPr txBox="1"/>
      </xdr:nvSpPr>
      <xdr:spPr>
        <a:xfrm>
          <a:off x="8267700" y="35532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100</xdr:row>
      <xdr:rowOff>0</xdr:rowOff>
    </xdr:from>
    <xdr:ext cx="65" cy="172227"/>
    <xdr:sp macro="" textlink="">
      <xdr:nvSpPr>
        <xdr:cNvPr id="1083" name="TextBox 1082">
          <a:extLst>
            <a:ext uri="{FF2B5EF4-FFF2-40B4-BE49-F238E27FC236}">
              <a16:creationId xmlns:a16="http://schemas.microsoft.com/office/drawing/2014/main" id="{00000000-0008-0000-0000-000007000000}"/>
            </a:ext>
          </a:extLst>
        </xdr:cNvPr>
        <xdr:cNvSpPr txBox="1"/>
      </xdr:nvSpPr>
      <xdr:spPr>
        <a:xfrm>
          <a:off x="8267700" y="36629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100</xdr:row>
      <xdr:rowOff>0</xdr:rowOff>
    </xdr:from>
    <xdr:ext cx="65" cy="172227"/>
    <xdr:sp macro="" textlink="">
      <xdr:nvSpPr>
        <xdr:cNvPr id="1084" name="TextBox 1083">
          <a:extLst>
            <a:ext uri="{FF2B5EF4-FFF2-40B4-BE49-F238E27FC236}">
              <a16:creationId xmlns:a16="http://schemas.microsoft.com/office/drawing/2014/main" id="{00000000-0008-0000-0000-000007000000}"/>
            </a:ext>
          </a:extLst>
        </xdr:cNvPr>
        <xdr:cNvSpPr txBox="1"/>
      </xdr:nvSpPr>
      <xdr:spPr>
        <a:xfrm>
          <a:off x="8267700" y="36629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101</xdr:row>
      <xdr:rowOff>0</xdr:rowOff>
    </xdr:from>
    <xdr:ext cx="65" cy="172227"/>
    <xdr:sp macro="" textlink="">
      <xdr:nvSpPr>
        <xdr:cNvPr id="1085" name="TextBox 1084">
          <a:extLst>
            <a:ext uri="{FF2B5EF4-FFF2-40B4-BE49-F238E27FC236}">
              <a16:creationId xmlns:a16="http://schemas.microsoft.com/office/drawing/2014/main" id="{00000000-0008-0000-0000-000007000000}"/>
            </a:ext>
          </a:extLst>
        </xdr:cNvPr>
        <xdr:cNvSpPr txBox="1"/>
      </xdr:nvSpPr>
      <xdr:spPr>
        <a:xfrm>
          <a:off x="8267700" y="36812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101</xdr:row>
      <xdr:rowOff>0</xdr:rowOff>
    </xdr:from>
    <xdr:ext cx="65" cy="172227"/>
    <xdr:sp macro="" textlink="">
      <xdr:nvSpPr>
        <xdr:cNvPr id="1086" name="TextBox 1085">
          <a:extLst>
            <a:ext uri="{FF2B5EF4-FFF2-40B4-BE49-F238E27FC236}">
              <a16:creationId xmlns:a16="http://schemas.microsoft.com/office/drawing/2014/main" id="{00000000-0008-0000-0000-000007000000}"/>
            </a:ext>
          </a:extLst>
        </xdr:cNvPr>
        <xdr:cNvSpPr txBox="1"/>
      </xdr:nvSpPr>
      <xdr:spPr>
        <a:xfrm>
          <a:off x="8267700" y="36812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102</xdr:row>
      <xdr:rowOff>0</xdr:rowOff>
    </xdr:from>
    <xdr:ext cx="65" cy="172227"/>
    <xdr:sp macro="" textlink="">
      <xdr:nvSpPr>
        <xdr:cNvPr id="1087" name="TextBox 1086">
          <a:extLst>
            <a:ext uri="{FF2B5EF4-FFF2-40B4-BE49-F238E27FC236}">
              <a16:creationId xmlns:a16="http://schemas.microsoft.com/office/drawing/2014/main" id="{00000000-0008-0000-0000-000007000000}"/>
            </a:ext>
          </a:extLst>
        </xdr:cNvPr>
        <xdr:cNvSpPr txBox="1"/>
      </xdr:nvSpPr>
      <xdr:spPr>
        <a:xfrm>
          <a:off x="8267700" y="36995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102</xdr:row>
      <xdr:rowOff>0</xdr:rowOff>
    </xdr:from>
    <xdr:ext cx="65" cy="172227"/>
    <xdr:sp macro="" textlink="">
      <xdr:nvSpPr>
        <xdr:cNvPr id="1088" name="TextBox 1087">
          <a:extLst>
            <a:ext uri="{FF2B5EF4-FFF2-40B4-BE49-F238E27FC236}">
              <a16:creationId xmlns:a16="http://schemas.microsoft.com/office/drawing/2014/main" id="{00000000-0008-0000-0000-000007000000}"/>
            </a:ext>
          </a:extLst>
        </xdr:cNvPr>
        <xdr:cNvSpPr txBox="1"/>
      </xdr:nvSpPr>
      <xdr:spPr>
        <a:xfrm>
          <a:off x="8267700" y="36995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103</xdr:row>
      <xdr:rowOff>0</xdr:rowOff>
    </xdr:from>
    <xdr:ext cx="65" cy="172227"/>
    <xdr:sp macro="" textlink="">
      <xdr:nvSpPr>
        <xdr:cNvPr id="1089" name="TextBox 1088">
          <a:extLst>
            <a:ext uri="{FF2B5EF4-FFF2-40B4-BE49-F238E27FC236}">
              <a16:creationId xmlns:a16="http://schemas.microsoft.com/office/drawing/2014/main" id="{00000000-0008-0000-0000-000007000000}"/>
            </a:ext>
          </a:extLst>
        </xdr:cNvPr>
        <xdr:cNvSpPr txBox="1"/>
      </xdr:nvSpPr>
      <xdr:spPr>
        <a:xfrm>
          <a:off x="8267700" y="37177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103</xdr:row>
      <xdr:rowOff>0</xdr:rowOff>
    </xdr:from>
    <xdr:ext cx="65" cy="172227"/>
    <xdr:sp macro="" textlink="">
      <xdr:nvSpPr>
        <xdr:cNvPr id="1090" name="TextBox 1089">
          <a:extLst>
            <a:ext uri="{FF2B5EF4-FFF2-40B4-BE49-F238E27FC236}">
              <a16:creationId xmlns:a16="http://schemas.microsoft.com/office/drawing/2014/main" id="{00000000-0008-0000-0000-000007000000}"/>
            </a:ext>
          </a:extLst>
        </xdr:cNvPr>
        <xdr:cNvSpPr txBox="1"/>
      </xdr:nvSpPr>
      <xdr:spPr>
        <a:xfrm>
          <a:off x="8267700" y="37177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104</xdr:row>
      <xdr:rowOff>0</xdr:rowOff>
    </xdr:from>
    <xdr:ext cx="65" cy="172227"/>
    <xdr:sp macro="" textlink="">
      <xdr:nvSpPr>
        <xdr:cNvPr id="1091" name="TextBox 1090">
          <a:extLst>
            <a:ext uri="{FF2B5EF4-FFF2-40B4-BE49-F238E27FC236}">
              <a16:creationId xmlns:a16="http://schemas.microsoft.com/office/drawing/2014/main" id="{00000000-0008-0000-0000-000007000000}"/>
            </a:ext>
          </a:extLst>
        </xdr:cNvPr>
        <xdr:cNvSpPr txBox="1"/>
      </xdr:nvSpPr>
      <xdr:spPr>
        <a:xfrm>
          <a:off x="8267700" y="37360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104</xdr:row>
      <xdr:rowOff>0</xdr:rowOff>
    </xdr:from>
    <xdr:ext cx="65" cy="172227"/>
    <xdr:sp macro="" textlink="">
      <xdr:nvSpPr>
        <xdr:cNvPr id="1092" name="TextBox 1091">
          <a:extLst>
            <a:ext uri="{FF2B5EF4-FFF2-40B4-BE49-F238E27FC236}">
              <a16:creationId xmlns:a16="http://schemas.microsoft.com/office/drawing/2014/main" id="{00000000-0008-0000-0000-000007000000}"/>
            </a:ext>
          </a:extLst>
        </xdr:cNvPr>
        <xdr:cNvSpPr txBox="1"/>
      </xdr:nvSpPr>
      <xdr:spPr>
        <a:xfrm>
          <a:off x="8267700" y="37360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110</xdr:row>
      <xdr:rowOff>0</xdr:rowOff>
    </xdr:from>
    <xdr:ext cx="65" cy="172227"/>
    <xdr:sp macro="" textlink="">
      <xdr:nvSpPr>
        <xdr:cNvPr id="1093" name="TextBox 1092">
          <a:extLst>
            <a:ext uri="{FF2B5EF4-FFF2-40B4-BE49-F238E27FC236}">
              <a16:creationId xmlns:a16="http://schemas.microsoft.com/office/drawing/2014/main" id="{00000000-0008-0000-0000-000007000000}"/>
            </a:ext>
          </a:extLst>
        </xdr:cNvPr>
        <xdr:cNvSpPr txBox="1"/>
      </xdr:nvSpPr>
      <xdr:spPr>
        <a:xfrm>
          <a:off x="8267700" y="38458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110</xdr:row>
      <xdr:rowOff>0</xdr:rowOff>
    </xdr:from>
    <xdr:ext cx="65" cy="172227"/>
    <xdr:sp macro="" textlink="">
      <xdr:nvSpPr>
        <xdr:cNvPr id="1094" name="TextBox 1093">
          <a:extLst>
            <a:ext uri="{FF2B5EF4-FFF2-40B4-BE49-F238E27FC236}">
              <a16:creationId xmlns:a16="http://schemas.microsoft.com/office/drawing/2014/main" id="{00000000-0008-0000-0000-000007000000}"/>
            </a:ext>
          </a:extLst>
        </xdr:cNvPr>
        <xdr:cNvSpPr txBox="1"/>
      </xdr:nvSpPr>
      <xdr:spPr>
        <a:xfrm>
          <a:off x="8267700" y="38458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111</xdr:row>
      <xdr:rowOff>0</xdr:rowOff>
    </xdr:from>
    <xdr:ext cx="65" cy="172227"/>
    <xdr:sp macro="" textlink="">
      <xdr:nvSpPr>
        <xdr:cNvPr id="1095" name="TextBox 1094">
          <a:extLst>
            <a:ext uri="{FF2B5EF4-FFF2-40B4-BE49-F238E27FC236}">
              <a16:creationId xmlns:a16="http://schemas.microsoft.com/office/drawing/2014/main" id="{00000000-0008-0000-0000-000007000000}"/>
            </a:ext>
          </a:extLst>
        </xdr:cNvPr>
        <xdr:cNvSpPr txBox="1"/>
      </xdr:nvSpPr>
      <xdr:spPr>
        <a:xfrm>
          <a:off x="8267700" y="38641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111</xdr:row>
      <xdr:rowOff>0</xdr:rowOff>
    </xdr:from>
    <xdr:ext cx="65" cy="172227"/>
    <xdr:sp macro="" textlink="">
      <xdr:nvSpPr>
        <xdr:cNvPr id="1096" name="TextBox 1095">
          <a:extLst>
            <a:ext uri="{FF2B5EF4-FFF2-40B4-BE49-F238E27FC236}">
              <a16:creationId xmlns:a16="http://schemas.microsoft.com/office/drawing/2014/main" id="{00000000-0008-0000-0000-000007000000}"/>
            </a:ext>
          </a:extLst>
        </xdr:cNvPr>
        <xdr:cNvSpPr txBox="1"/>
      </xdr:nvSpPr>
      <xdr:spPr>
        <a:xfrm>
          <a:off x="8267700" y="38641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112</xdr:row>
      <xdr:rowOff>0</xdr:rowOff>
    </xdr:from>
    <xdr:ext cx="65" cy="172227"/>
    <xdr:sp macro="" textlink="">
      <xdr:nvSpPr>
        <xdr:cNvPr id="1097" name="TextBox 1096">
          <a:extLst>
            <a:ext uri="{FF2B5EF4-FFF2-40B4-BE49-F238E27FC236}">
              <a16:creationId xmlns:a16="http://schemas.microsoft.com/office/drawing/2014/main" id="{00000000-0008-0000-0000-000007000000}"/>
            </a:ext>
          </a:extLst>
        </xdr:cNvPr>
        <xdr:cNvSpPr txBox="1"/>
      </xdr:nvSpPr>
      <xdr:spPr>
        <a:xfrm>
          <a:off x="8267700" y="38823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112</xdr:row>
      <xdr:rowOff>0</xdr:rowOff>
    </xdr:from>
    <xdr:ext cx="65" cy="172227"/>
    <xdr:sp macro="" textlink="">
      <xdr:nvSpPr>
        <xdr:cNvPr id="1098" name="TextBox 1097">
          <a:extLst>
            <a:ext uri="{FF2B5EF4-FFF2-40B4-BE49-F238E27FC236}">
              <a16:creationId xmlns:a16="http://schemas.microsoft.com/office/drawing/2014/main" id="{00000000-0008-0000-0000-000007000000}"/>
            </a:ext>
          </a:extLst>
        </xdr:cNvPr>
        <xdr:cNvSpPr txBox="1"/>
      </xdr:nvSpPr>
      <xdr:spPr>
        <a:xfrm>
          <a:off x="8267700" y="38823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113</xdr:row>
      <xdr:rowOff>0</xdr:rowOff>
    </xdr:from>
    <xdr:ext cx="65" cy="172227"/>
    <xdr:sp macro="" textlink="">
      <xdr:nvSpPr>
        <xdr:cNvPr id="1099" name="TextBox 1098">
          <a:extLst>
            <a:ext uri="{FF2B5EF4-FFF2-40B4-BE49-F238E27FC236}">
              <a16:creationId xmlns:a16="http://schemas.microsoft.com/office/drawing/2014/main" id="{00000000-0008-0000-0000-000007000000}"/>
            </a:ext>
          </a:extLst>
        </xdr:cNvPr>
        <xdr:cNvSpPr txBox="1"/>
      </xdr:nvSpPr>
      <xdr:spPr>
        <a:xfrm>
          <a:off x="8267700" y="39006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113</xdr:row>
      <xdr:rowOff>0</xdr:rowOff>
    </xdr:from>
    <xdr:ext cx="65" cy="172227"/>
    <xdr:sp macro="" textlink="">
      <xdr:nvSpPr>
        <xdr:cNvPr id="1100" name="TextBox 1099">
          <a:extLst>
            <a:ext uri="{FF2B5EF4-FFF2-40B4-BE49-F238E27FC236}">
              <a16:creationId xmlns:a16="http://schemas.microsoft.com/office/drawing/2014/main" id="{00000000-0008-0000-0000-000007000000}"/>
            </a:ext>
          </a:extLst>
        </xdr:cNvPr>
        <xdr:cNvSpPr txBox="1"/>
      </xdr:nvSpPr>
      <xdr:spPr>
        <a:xfrm>
          <a:off x="8267700" y="39006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114</xdr:row>
      <xdr:rowOff>0</xdr:rowOff>
    </xdr:from>
    <xdr:ext cx="65" cy="172227"/>
    <xdr:sp macro="" textlink="">
      <xdr:nvSpPr>
        <xdr:cNvPr id="1101" name="TextBox 1100">
          <a:extLst>
            <a:ext uri="{FF2B5EF4-FFF2-40B4-BE49-F238E27FC236}">
              <a16:creationId xmlns:a16="http://schemas.microsoft.com/office/drawing/2014/main" id="{00000000-0008-0000-0000-000007000000}"/>
            </a:ext>
          </a:extLst>
        </xdr:cNvPr>
        <xdr:cNvSpPr txBox="1"/>
      </xdr:nvSpPr>
      <xdr:spPr>
        <a:xfrm>
          <a:off x="8267700" y="39189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114</xdr:row>
      <xdr:rowOff>0</xdr:rowOff>
    </xdr:from>
    <xdr:ext cx="65" cy="172227"/>
    <xdr:sp macro="" textlink="">
      <xdr:nvSpPr>
        <xdr:cNvPr id="1102" name="TextBox 1101">
          <a:extLst>
            <a:ext uri="{FF2B5EF4-FFF2-40B4-BE49-F238E27FC236}">
              <a16:creationId xmlns:a16="http://schemas.microsoft.com/office/drawing/2014/main" id="{00000000-0008-0000-0000-000007000000}"/>
            </a:ext>
          </a:extLst>
        </xdr:cNvPr>
        <xdr:cNvSpPr txBox="1"/>
      </xdr:nvSpPr>
      <xdr:spPr>
        <a:xfrm>
          <a:off x="8267700" y="39189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120</xdr:row>
      <xdr:rowOff>0</xdr:rowOff>
    </xdr:from>
    <xdr:ext cx="65" cy="172227"/>
    <xdr:sp macro="" textlink="">
      <xdr:nvSpPr>
        <xdr:cNvPr id="1103" name="TextBox 1102">
          <a:extLst>
            <a:ext uri="{FF2B5EF4-FFF2-40B4-BE49-F238E27FC236}">
              <a16:creationId xmlns:a16="http://schemas.microsoft.com/office/drawing/2014/main" id="{00000000-0008-0000-0000-000007000000}"/>
            </a:ext>
          </a:extLst>
        </xdr:cNvPr>
        <xdr:cNvSpPr txBox="1"/>
      </xdr:nvSpPr>
      <xdr:spPr>
        <a:xfrm>
          <a:off x="8267700" y="40286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120</xdr:row>
      <xdr:rowOff>0</xdr:rowOff>
    </xdr:from>
    <xdr:ext cx="65" cy="172227"/>
    <xdr:sp macro="" textlink="">
      <xdr:nvSpPr>
        <xdr:cNvPr id="1104" name="TextBox 1103">
          <a:extLst>
            <a:ext uri="{FF2B5EF4-FFF2-40B4-BE49-F238E27FC236}">
              <a16:creationId xmlns:a16="http://schemas.microsoft.com/office/drawing/2014/main" id="{00000000-0008-0000-0000-000007000000}"/>
            </a:ext>
          </a:extLst>
        </xdr:cNvPr>
        <xdr:cNvSpPr txBox="1"/>
      </xdr:nvSpPr>
      <xdr:spPr>
        <a:xfrm>
          <a:off x="8267700" y="40286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121</xdr:row>
      <xdr:rowOff>0</xdr:rowOff>
    </xdr:from>
    <xdr:ext cx="65" cy="172227"/>
    <xdr:sp macro="" textlink="">
      <xdr:nvSpPr>
        <xdr:cNvPr id="1105" name="TextBox 1104">
          <a:extLst>
            <a:ext uri="{FF2B5EF4-FFF2-40B4-BE49-F238E27FC236}">
              <a16:creationId xmlns:a16="http://schemas.microsoft.com/office/drawing/2014/main" id="{00000000-0008-0000-0000-000007000000}"/>
            </a:ext>
          </a:extLst>
        </xdr:cNvPr>
        <xdr:cNvSpPr txBox="1"/>
      </xdr:nvSpPr>
      <xdr:spPr>
        <a:xfrm>
          <a:off x="8267700" y="40469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121</xdr:row>
      <xdr:rowOff>0</xdr:rowOff>
    </xdr:from>
    <xdr:ext cx="65" cy="172227"/>
    <xdr:sp macro="" textlink="">
      <xdr:nvSpPr>
        <xdr:cNvPr id="1106" name="TextBox 1105">
          <a:extLst>
            <a:ext uri="{FF2B5EF4-FFF2-40B4-BE49-F238E27FC236}">
              <a16:creationId xmlns:a16="http://schemas.microsoft.com/office/drawing/2014/main" id="{00000000-0008-0000-0000-000007000000}"/>
            </a:ext>
          </a:extLst>
        </xdr:cNvPr>
        <xdr:cNvSpPr txBox="1"/>
      </xdr:nvSpPr>
      <xdr:spPr>
        <a:xfrm>
          <a:off x="8267700" y="40469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122</xdr:row>
      <xdr:rowOff>0</xdr:rowOff>
    </xdr:from>
    <xdr:ext cx="65" cy="172227"/>
    <xdr:sp macro="" textlink="">
      <xdr:nvSpPr>
        <xdr:cNvPr id="1107" name="TextBox 1106">
          <a:extLst>
            <a:ext uri="{FF2B5EF4-FFF2-40B4-BE49-F238E27FC236}">
              <a16:creationId xmlns:a16="http://schemas.microsoft.com/office/drawing/2014/main" id="{00000000-0008-0000-0000-000007000000}"/>
            </a:ext>
          </a:extLst>
        </xdr:cNvPr>
        <xdr:cNvSpPr txBox="1"/>
      </xdr:nvSpPr>
      <xdr:spPr>
        <a:xfrm>
          <a:off x="8267700" y="40652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122</xdr:row>
      <xdr:rowOff>0</xdr:rowOff>
    </xdr:from>
    <xdr:ext cx="65" cy="172227"/>
    <xdr:sp macro="" textlink="">
      <xdr:nvSpPr>
        <xdr:cNvPr id="1108" name="TextBox 1107">
          <a:extLst>
            <a:ext uri="{FF2B5EF4-FFF2-40B4-BE49-F238E27FC236}">
              <a16:creationId xmlns:a16="http://schemas.microsoft.com/office/drawing/2014/main" id="{00000000-0008-0000-0000-000007000000}"/>
            </a:ext>
          </a:extLst>
        </xdr:cNvPr>
        <xdr:cNvSpPr txBox="1"/>
      </xdr:nvSpPr>
      <xdr:spPr>
        <a:xfrm>
          <a:off x="8267700" y="40652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123</xdr:row>
      <xdr:rowOff>0</xdr:rowOff>
    </xdr:from>
    <xdr:ext cx="65" cy="172227"/>
    <xdr:sp macro="" textlink="">
      <xdr:nvSpPr>
        <xdr:cNvPr id="1109" name="TextBox 1108">
          <a:extLst>
            <a:ext uri="{FF2B5EF4-FFF2-40B4-BE49-F238E27FC236}">
              <a16:creationId xmlns:a16="http://schemas.microsoft.com/office/drawing/2014/main" id="{00000000-0008-0000-0000-000007000000}"/>
            </a:ext>
          </a:extLst>
        </xdr:cNvPr>
        <xdr:cNvSpPr txBox="1"/>
      </xdr:nvSpPr>
      <xdr:spPr>
        <a:xfrm>
          <a:off x="8267700" y="40835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123</xdr:row>
      <xdr:rowOff>0</xdr:rowOff>
    </xdr:from>
    <xdr:ext cx="65" cy="172227"/>
    <xdr:sp macro="" textlink="">
      <xdr:nvSpPr>
        <xdr:cNvPr id="1110" name="TextBox 1109">
          <a:extLst>
            <a:ext uri="{FF2B5EF4-FFF2-40B4-BE49-F238E27FC236}">
              <a16:creationId xmlns:a16="http://schemas.microsoft.com/office/drawing/2014/main" id="{00000000-0008-0000-0000-000007000000}"/>
            </a:ext>
          </a:extLst>
        </xdr:cNvPr>
        <xdr:cNvSpPr txBox="1"/>
      </xdr:nvSpPr>
      <xdr:spPr>
        <a:xfrm>
          <a:off x="8267700" y="40835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124</xdr:row>
      <xdr:rowOff>0</xdr:rowOff>
    </xdr:from>
    <xdr:ext cx="65" cy="172227"/>
    <xdr:sp macro="" textlink="">
      <xdr:nvSpPr>
        <xdr:cNvPr id="1111" name="TextBox 1110">
          <a:extLst>
            <a:ext uri="{FF2B5EF4-FFF2-40B4-BE49-F238E27FC236}">
              <a16:creationId xmlns:a16="http://schemas.microsoft.com/office/drawing/2014/main" id="{00000000-0008-0000-0000-000007000000}"/>
            </a:ext>
          </a:extLst>
        </xdr:cNvPr>
        <xdr:cNvSpPr txBox="1"/>
      </xdr:nvSpPr>
      <xdr:spPr>
        <a:xfrm>
          <a:off x="8267700" y="41018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124</xdr:row>
      <xdr:rowOff>0</xdr:rowOff>
    </xdr:from>
    <xdr:ext cx="65" cy="172227"/>
    <xdr:sp macro="" textlink="">
      <xdr:nvSpPr>
        <xdr:cNvPr id="1112" name="TextBox 1111">
          <a:extLst>
            <a:ext uri="{FF2B5EF4-FFF2-40B4-BE49-F238E27FC236}">
              <a16:creationId xmlns:a16="http://schemas.microsoft.com/office/drawing/2014/main" id="{00000000-0008-0000-0000-000007000000}"/>
            </a:ext>
          </a:extLst>
        </xdr:cNvPr>
        <xdr:cNvSpPr txBox="1"/>
      </xdr:nvSpPr>
      <xdr:spPr>
        <a:xfrm>
          <a:off x="8267700" y="41018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130</xdr:row>
      <xdr:rowOff>0</xdr:rowOff>
    </xdr:from>
    <xdr:ext cx="65" cy="172227"/>
    <xdr:sp macro="" textlink="">
      <xdr:nvSpPr>
        <xdr:cNvPr id="1113" name="TextBox 1112">
          <a:extLst>
            <a:ext uri="{FF2B5EF4-FFF2-40B4-BE49-F238E27FC236}">
              <a16:creationId xmlns:a16="http://schemas.microsoft.com/office/drawing/2014/main" id="{00000000-0008-0000-0000-000007000000}"/>
            </a:ext>
          </a:extLst>
        </xdr:cNvPr>
        <xdr:cNvSpPr txBox="1"/>
      </xdr:nvSpPr>
      <xdr:spPr>
        <a:xfrm>
          <a:off x="8267700" y="42115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130</xdr:row>
      <xdr:rowOff>0</xdr:rowOff>
    </xdr:from>
    <xdr:ext cx="65" cy="172227"/>
    <xdr:sp macro="" textlink="">
      <xdr:nvSpPr>
        <xdr:cNvPr id="1114" name="TextBox 1113">
          <a:extLst>
            <a:ext uri="{FF2B5EF4-FFF2-40B4-BE49-F238E27FC236}">
              <a16:creationId xmlns:a16="http://schemas.microsoft.com/office/drawing/2014/main" id="{00000000-0008-0000-0000-000007000000}"/>
            </a:ext>
          </a:extLst>
        </xdr:cNvPr>
        <xdr:cNvSpPr txBox="1"/>
      </xdr:nvSpPr>
      <xdr:spPr>
        <a:xfrm>
          <a:off x="8267700" y="42115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131</xdr:row>
      <xdr:rowOff>0</xdr:rowOff>
    </xdr:from>
    <xdr:ext cx="65" cy="172227"/>
    <xdr:sp macro="" textlink="">
      <xdr:nvSpPr>
        <xdr:cNvPr id="1115" name="TextBox 1114">
          <a:extLst>
            <a:ext uri="{FF2B5EF4-FFF2-40B4-BE49-F238E27FC236}">
              <a16:creationId xmlns:a16="http://schemas.microsoft.com/office/drawing/2014/main" id="{00000000-0008-0000-0000-000007000000}"/>
            </a:ext>
          </a:extLst>
        </xdr:cNvPr>
        <xdr:cNvSpPr txBox="1"/>
      </xdr:nvSpPr>
      <xdr:spPr>
        <a:xfrm>
          <a:off x="8267700" y="42298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131</xdr:row>
      <xdr:rowOff>0</xdr:rowOff>
    </xdr:from>
    <xdr:ext cx="65" cy="172227"/>
    <xdr:sp macro="" textlink="">
      <xdr:nvSpPr>
        <xdr:cNvPr id="1116" name="TextBox 1115">
          <a:extLst>
            <a:ext uri="{FF2B5EF4-FFF2-40B4-BE49-F238E27FC236}">
              <a16:creationId xmlns:a16="http://schemas.microsoft.com/office/drawing/2014/main" id="{00000000-0008-0000-0000-000007000000}"/>
            </a:ext>
          </a:extLst>
        </xdr:cNvPr>
        <xdr:cNvSpPr txBox="1"/>
      </xdr:nvSpPr>
      <xdr:spPr>
        <a:xfrm>
          <a:off x="8267700" y="42298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132</xdr:row>
      <xdr:rowOff>0</xdr:rowOff>
    </xdr:from>
    <xdr:ext cx="65" cy="172227"/>
    <xdr:sp macro="" textlink="">
      <xdr:nvSpPr>
        <xdr:cNvPr id="1117" name="TextBox 1116">
          <a:extLst>
            <a:ext uri="{FF2B5EF4-FFF2-40B4-BE49-F238E27FC236}">
              <a16:creationId xmlns:a16="http://schemas.microsoft.com/office/drawing/2014/main" id="{00000000-0008-0000-0000-000007000000}"/>
            </a:ext>
          </a:extLst>
        </xdr:cNvPr>
        <xdr:cNvSpPr txBox="1"/>
      </xdr:nvSpPr>
      <xdr:spPr>
        <a:xfrm>
          <a:off x="8267700" y="4248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132</xdr:row>
      <xdr:rowOff>0</xdr:rowOff>
    </xdr:from>
    <xdr:ext cx="65" cy="172227"/>
    <xdr:sp macro="" textlink="">
      <xdr:nvSpPr>
        <xdr:cNvPr id="1118" name="TextBox 1117">
          <a:extLst>
            <a:ext uri="{FF2B5EF4-FFF2-40B4-BE49-F238E27FC236}">
              <a16:creationId xmlns:a16="http://schemas.microsoft.com/office/drawing/2014/main" id="{00000000-0008-0000-0000-000007000000}"/>
            </a:ext>
          </a:extLst>
        </xdr:cNvPr>
        <xdr:cNvSpPr txBox="1"/>
      </xdr:nvSpPr>
      <xdr:spPr>
        <a:xfrm>
          <a:off x="8267700" y="4248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133</xdr:row>
      <xdr:rowOff>0</xdr:rowOff>
    </xdr:from>
    <xdr:ext cx="65" cy="172227"/>
    <xdr:sp macro="" textlink="">
      <xdr:nvSpPr>
        <xdr:cNvPr id="1119" name="TextBox 1118">
          <a:extLst>
            <a:ext uri="{FF2B5EF4-FFF2-40B4-BE49-F238E27FC236}">
              <a16:creationId xmlns:a16="http://schemas.microsoft.com/office/drawing/2014/main" id="{00000000-0008-0000-0000-000007000000}"/>
            </a:ext>
          </a:extLst>
        </xdr:cNvPr>
        <xdr:cNvSpPr txBox="1"/>
      </xdr:nvSpPr>
      <xdr:spPr>
        <a:xfrm>
          <a:off x="8267700" y="42664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133</xdr:row>
      <xdr:rowOff>0</xdr:rowOff>
    </xdr:from>
    <xdr:ext cx="65" cy="172227"/>
    <xdr:sp macro="" textlink="">
      <xdr:nvSpPr>
        <xdr:cNvPr id="1120" name="TextBox 1119">
          <a:extLst>
            <a:ext uri="{FF2B5EF4-FFF2-40B4-BE49-F238E27FC236}">
              <a16:creationId xmlns:a16="http://schemas.microsoft.com/office/drawing/2014/main" id="{00000000-0008-0000-0000-000007000000}"/>
            </a:ext>
          </a:extLst>
        </xdr:cNvPr>
        <xdr:cNvSpPr txBox="1"/>
      </xdr:nvSpPr>
      <xdr:spPr>
        <a:xfrm>
          <a:off x="8267700" y="42664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134</xdr:row>
      <xdr:rowOff>0</xdr:rowOff>
    </xdr:from>
    <xdr:ext cx="65" cy="172227"/>
    <xdr:sp macro="" textlink="">
      <xdr:nvSpPr>
        <xdr:cNvPr id="1121" name="TextBox 1120">
          <a:extLst>
            <a:ext uri="{FF2B5EF4-FFF2-40B4-BE49-F238E27FC236}">
              <a16:creationId xmlns:a16="http://schemas.microsoft.com/office/drawing/2014/main" id="{00000000-0008-0000-0000-000007000000}"/>
            </a:ext>
          </a:extLst>
        </xdr:cNvPr>
        <xdr:cNvSpPr txBox="1"/>
      </xdr:nvSpPr>
      <xdr:spPr>
        <a:xfrm>
          <a:off x="8267700" y="42847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134</xdr:row>
      <xdr:rowOff>0</xdr:rowOff>
    </xdr:from>
    <xdr:ext cx="65" cy="172227"/>
    <xdr:sp macro="" textlink="">
      <xdr:nvSpPr>
        <xdr:cNvPr id="1122" name="TextBox 1121">
          <a:extLst>
            <a:ext uri="{FF2B5EF4-FFF2-40B4-BE49-F238E27FC236}">
              <a16:creationId xmlns:a16="http://schemas.microsoft.com/office/drawing/2014/main" id="{00000000-0008-0000-0000-000007000000}"/>
            </a:ext>
          </a:extLst>
        </xdr:cNvPr>
        <xdr:cNvSpPr txBox="1"/>
      </xdr:nvSpPr>
      <xdr:spPr>
        <a:xfrm>
          <a:off x="8267700" y="42847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1123" name="TextBox 1122">
          <a:extLst>
            <a:ext uri="{FF2B5EF4-FFF2-40B4-BE49-F238E27FC236}">
              <a16:creationId xmlns:a16="http://schemas.microsoft.com/office/drawing/2014/main" id="{00000000-0008-0000-0000-000007000000}"/>
            </a:ext>
          </a:extLst>
        </xdr:cNvPr>
        <xdr:cNvSpPr txBox="1"/>
      </xdr:nvSpPr>
      <xdr:spPr>
        <a:xfrm>
          <a:off x="8267700" y="34206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1124" name="TextBox 1123">
          <a:extLst>
            <a:ext uri="{FF2B5EF4-FFF2-40B4-BE49-F238E27FC236}">
              <a16:creationId xmlns:a16="http://schemas.microsoft.com/office/drawing/2014/main" id="{00000000-0008-0000-0000-000007000000}"/>
            </a:ext>
          </a:extLst>
        </xdr:cNvPr>
        <xdr:cNvSpPr txBox="1"/>
      </xdr:nvSpPr>
      <xdr:spPr>
        <a:xfrm>
          <a:off x="8267700" y="34206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88</xdr:row>
      <xdr:rowOff>0</xdr:rowOff>
    </xdr:from>
    <xdr:ext cx="65" cy="172227"/>
    <xdr:sp macro="" textlink="">
      <xdr:nvSpPr>
        <xdr:cNvPr id="1125" name="TextBox 1124">
          <a:extLst>
            <a:ext uri="{FF2B5EF4-FFF2-40B4-BE49-F238E27FC236}">
              <a16:creationId xmlns:a16="http://schemas.microsoft.com/office/drawing/2014/main" id="{00000000-0008-0000-0000-000007000000}"/>
            </a:ext>
          </a:extLst>
        </xdr:cNvPr>
        <xdr:cNvSpPr txBox="1"/>
      </xdr:nvSpPr>
      <xdr:spPr>
        <a:xfrm>
          <a:off x="8267700" y="34404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88</xdr:row>
      <xdr:rowOff>0</xdr:rowOff>
    </xdr:from>
    <xdr:ext cx="65" cy="172227"/>
    <xdr:sp macro="" textlink="">
      <xdr:nvSpPr>
        <xdr:cNvPr id="1126" name="TextBox 1125">
          <a:extLst>
            <a:ext uri="{FF2B5EF4-FFF2-40B4-BE49-F238E27FC236}">
              <a16:creationId xmlns:a16="http://schemas.microsoft.com/office/drawing/2014/main" id="{00000000-0008-0000-0000-000007000000}"/>
            </a:ext>
          </a:extLst>
        </xdr:cNvPr>
        <xdr:cNvSpPr txBox="1"/>
      </xdr:nvSpPr>
      <xdr:spPr>
        <a:xfrm>
          <a:off x="8267700" y="34404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89</xdr:row>
      <xdr:rowOff>0</xdr:rowOff>
    </xdr:from>
    <xdr:ext cx="65" cy="172227"/>
    <xdr:sp macro="" textlink="">
      <xdr:nvSpPr>
        <xdr:cNvPr id="1127" name="TextBox 1126">
          <a:extLst>
            <a:ext uri="{FF2B5EF4-FFF2-40B4-BE49-F238E27FC236}">
              <a16:creationId xmlns:a16="http://schemas.microsoft.com/office/drawing/2014/main" id="{00000000-0008-0000-0000-000007000000}"/>
            </a:ext>
          </a:extLst>
        </xdr:cNvPr>
        <xdr:cNvSpPr txBox="1"/>
      </xdr:nvSpPr>
      <xdr:spPr>
        <a:xfrm>
          <a:off x="8267700" y="34602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89</xdr:row>
      <xdr:rowOff>0</xdr:rowOff>
    </xdr:from>
    <xdr:ext cx="65" cy="172227"/>
    <xdr:sp macro="" textlink="">
      <xdr:nvSpPr>
        <xdr:cNvPr id="1128" name="TextBox 1127">
          <a:extLst>
            <a:ext uri="{FF2B5EF4-FFF2-40B4-BE49-F238E27FC236}">
              <a16:creationId xmlns:a16="http://schemas.microsoft.com/office/drawing/2014/main" id="{00000000-0008-0000-0000-000007000000}"/>
            </a:ext>
          </a:extLst>
        </xdr:cNvPr>
        <xdr:cNvSpPr txBox="1"/>
      </xdr:nvSpPr>
      <xdr:spPr>
        <a:xfrm>
          <a:off x="8267700" y="34602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89</xdr:row>
      <xdr:rowOff>0</xdr:rowOff>
    </xdr:from>
    <xdr:ext cx="65" cy="172227"/>
    <xdr:sp macro="" textlink="">
      <xdr:nvSpPr>
        <xdr:cNvPr id="1129" name="TextBox 1128">
          <a:extLst>
            <a:ext uri="{FF2B5EF4-FFF2-40B4-BE49-F238E27FC236}">
              <a16:creationId xmlns:a16="http://schemas.microsoft.com/office/drawing/2014/main" id="{00000000-0008-0000-0000-000007000000}"/>
            </a:ext>
          </a:extLst>
        </xdr:cNvPr>
        <xdr:cNvSpPr txBox="1"/>
      </xdr:nvSpPr>
      <xdr:spPr>
        <a:xfrm>
          <a:off x="8267700" y="34602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89</xdr:row>
      <xdr:rowOff>0</xdr:rowOff>
    </xdr:from>
    <xdr:ext cx="65" cy="172227"/>
    <xdr:sp macro="" textlink="">
      <xdr:nvSpPr>
        <xdr:cNvPr id="1130" name="TextBox 1129">
          <a:extLst>
            <a:ext uri="{FF2B5EF4-FFF2-40B4-BE49-F238E27FC236}">
              <a16:creationId xmlns:a16="http://schemas.microsoft.com/office/drawing/2014/main" id="{00000000-0008-0000-0000-000007000000}"/>
            </a:ext>
          </a:extLst>
        </xdr:cNvPr>
        <xdr:cNvSpPr txBox="1"/>
      </xdr:nvSpPr>
      <xdr:spPr>
        <a:xfrm>
          <a:off x="8267700" y="34602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131" name="TextBox 1130">
          <a:extLst>
            <a:ext uri="{FF2B5EF4-FFF2-40B4-BE49-F238E27FC236}">
              <a16:creationId xmlns:a16="http://schemas.microsoft.com/office/drawing/2014/main" id="{00000000-0008-0000-0000-000007000000}"/>
            </a:ext>
          </a:extLst>
        </xdr:cNvPr>
        <xdr:cNvSpPr txBox="1"/>
      </xdr:nvSpPr>
      <xdr:spPr>
        <a:xfrm>
          <a:off x="8267700" y="34008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132" name="TextBox 1131">
          <a:extLst>
            <a:ext uri="{FF2B5EF4-FFF2-40B4-BE49-F238E27FC236}">
              <a16:creationId xmlns:a16="http://schemas.microsoft.com/office/drawing/2014/main" id="{00000000-0008-0000-0000-000007000000}"/>
            </a:ext>
          </a:extLst>
        </xdr:cNvPr>
        <xdr:cNvSpPr txBox="1"/>
      </xdr:nvSpPr>
      <xdr:spPr>
        <a:xfrm>
          <a:off x="8267700" y="34008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1133" name="TextBox 1132">
          <a:extLst>
            <a:ext uri="{FF2B5EF4-FFF2-40B4-BE49-F238E27FC236}">
              <a16:creationId xmlns:a16="http://schemas.microsoft.com/office/drawing/2014/main" id="{00000000-0008-0000-0000-000007000000}"/>
            </a:ext>
          </a:extLst>
        </xdr:cNvPr>
        <xdr:cNvSpPr txBox="1"/>
      </xdr:nvSpPr>
      <xdr:spPr>
        <a:xfrm>
          <a:off x="8267700" y="34206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1134" name="TextBox 1133">
          <a:extLst>
            <a:ext uri="{FF2B5EF4-FFF2-40B4-BE49-F238E27FC236}">
              <a16:creationId xmlns:a16="http://schemas.microsoft.com/office/drawing/2014/main" id="{00000000-0008-0000-0000-000007000000}"/>
            </a:ext>
          </a:extLst>
        </xdr:cNvPr>
        <xdr:cNvSpPr txBox="1"/>
      </xdr:nvSpPr>
      <xdr:spPr>
        <a:xfrm>
          <a:off x="8267700" y="34206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1135" name="TextBox 1134">
          <a:extLst>
            <a:ext uri="{FF2B5EF4-FFF2-40B4-BE49-F238E27FC236}">
              <a16:creationId xmlns:a16="http://schemas.microsoft.com/office/drawing/2014/main" id="{00000000-0008-0000-0000-000007000000}"/>
            </a:ext>
          </a:extLst>
        </xdr:cNvPr>
        <xdr:cNvSpPr txBox="1"/>
      </xdr:nvSpPr>
      <xdr:spPr>
        <a:xfrm>
          <a:off x="8267700" y="34206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1136" name="TextBox 1135">
          <a:extLst>
            <a:ext uri="{FF2B5EF4-FFF2-40B4-BE49-F238E27FC236}">
              <a16:creationId xmlns:a16="http://schemas.microsoft.com/office/drawing/2014/main" id="{00000000-0008-0000-0000-000007000000}"/>
            </a:ext>
          </a:extLst>
        </xdr:cNvPr>
        <xdr:cNvSpPr txBox="1"/>
      </xdr:nvSpPr>
      <xdr:spPr>
        <a:xfrm>
          <a:off x="8267700" y="34206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88</xdr:row>
      <xdr:rowOff>0</xdr:rowOff>
    </xdr:from>
    <xdr:ext cx="65" cy="172227"/>
    <xdr:sp macro="" textlink="">
      <xdr:nvSpPr>
        <xdr:cNvPr id="1137" name="TextBox 1136">
          <a:extLst>
            <a:ext uri="{FF2B5EF4-FFF2-40B4-BE49-F238E27FC236}">
              <a16:creationId xmlns:a16="http://schemas.microsoft.com/office/drawing/2014/main" id="{00000000-0008-0000-0000-000007000000}"/>
            </a:ext>
          </a:extLst>
        </xdr:cNvPr>
        <xdr:cNvSpPr txBox="1"/>
      </xdr:nvSpPr>
      <xdr:spPr>
        <a:xfrm>
          <a:off x="8267700" y="34404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88</xdr:row>
      <xdr:rowOff>0</xdr:rowOff>
    </xdr:from>
    <xdr:ext cx="65" cy="172227"/>
    <xdr:sp macro="" textlink="">
      <xdr:nvSpPr>
        <xdr:cNvPr id="1138" name="TextBox 1137">
          <a:extLst>
            <a:ext uri="{FF2B5EF4-FFF2-40B4-BE49-F238E27FC236}">
              <a16:creationId xmlns:a16="http://schemas.microsoft.com/office/drawing/2014/main" id="{00000000-0008-0000-0000-000007000000}"/>
            </a:ext>
          </a:extLst>
        </xdr:cNvPr>
        <xdr:cNvSpPr txBox="1"/>
      </xdr:nvSpPr>
      <xdr:spPr>
        <a:xfrm>
          <a:off x="8267700" y="34404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88</xdr:row>
      <xdr:rowOff>0</xdr:rowOff>
    </xdr:from>
    <xdr:ext cx="65" cy="172227"/>
    <xdr:sp macro="" textlink="">
      <xdr:nvSpPr>
        <xdr:cNvPr id="1139" name="TextBox 1138">
          <a:extLst>
            <a:ext uri="{FF2B5EF4-FFF2-40B4-BE49-F238E27FC236}">
              <a16:creationId xmlns:a16="http://schemas.microsoft.com/office/drawing/2014/main" id="{00000000-0008-0000-0000-000007000000}"/>
            </a:ext>
          </a:extLst>
        </xdr:cNvPr>
        <xdr:cNvSpPr txBox="1"/>
      </xdr:nvSpPr>
      <xdr:spPr>
        <a:xfrm>
          <a:off x="8267700" y="34404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88</xdr:row>
      <xdr:rowOff>0</xdr:rowOff>
    </xdr:from>
    <xdr:ext cx="65" cy="172227"/>
    <xdr:sp macro="" textlink="">
      <xdr:nvSpPr>
        <xdr:cNvPr id="1140" name="TextBox 1139">
          <a:extLst>
            <a:ext uri="{FF2B5EF4-FFF2-40B4-BE49-F238E27FC236}">
              <a16:creationId xmlns:a16="http://schemas.microsoft.com/office/drawing/2014/main" id="{00000000-0008-0000-0000-000007000000}"/>
            </a:ext>
          </a:extLst>
        </xdr:cNvPr>
        <xdr:cNvSpPr txBox="1"/>
      </xdr:nvSpPr>
      <xdr:spPr>
        <a:xfrm>
          <a:off x="8267700" y="34404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88</xdr:row>
      <xdr:rowOff>0</xdr:rowOff>
    </xdr:from>
    <xdr:ext cx="65" cy="172227"/>
    <xdr:sp macro="" textlink="">
      <xdr:nvSpPr>
        <xdr:cNvPr id="1141" name="TextBox 1140">
          <a:extLst>
            <a:ext uri="{FF2B5EF4-FFF2-40B4-BE49-F238E27FC236}">
              <a16:creationId xmlns:a16="http://schemas.microsoft.com/office/drawing/2014/main" id="{00000000-0008-0000-0000-000007000000}"/>
            </a:ext>
          </a:extLst>
        </xdr:cNvPr>
        <xdr:cNvSpPr txBox="1"/>
      </xdr:nvSpPr>
      <xdr:spPr>
        <a:xfrm>
          <a:off x="8267700" y="34404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88</xdr:row>
      <xdr:rowOff>0</xdr:rowOff>
    </xdr:from>
    <xdr:ext cx="65" cy="172227"/>
    <xdr:sp macro="" textlink="">
      <xdr:nvSpPr>
        <xdr:cNvPr id="1142" name="TextBox 1141">
          <a:extLst>
            <a:ext uri="{FF2B5EF4-FFF2-40B4-BE49-F238E27FC236}">
              <a16:creationId xmlns:a16="http://schemas.microsoft.com/office/drawing/2014/main" id="{00000000-0008-0000-0000-000007000000}"/>
            </a:ext>
          </a:extLst>
        </xdr:cNvPr>
        <xdr:cNvSpPr txBox="1"/>
      </xdr:nvSpPr>
      <xdr:spPr>
        <a:xfrm>
          <a:off x="8267700" y="34404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88</xdr:row>
      <xdr:rowOff>0</xdr:rowOff>
    </xdr:from>
    <xdr:ext cx="65" cy="172227"/>
    <xdr:sp macro="" textlink="">
      <xdr:nvSpPr>
        <xdr:cNvPr id="1143" name="TextBox 1142">
          <a:extLst>
            <a:ext uri="{FF2B5EF4-FFF2-40B4-BE49-F238E27FC236}">
              <a16:creationId xmlns:a16="http://schemas.microsoft.com/office/drawing/2014/main" id="{00000000-0008-0000-0000-000007000000}"/>
            </a:ext>
          </a:extLst>
        </xdr:cNvPr>
        <xdr:cNvSpPr txBox="1"/>
      </xdr:nvSpPr>
      <xdr:spPr>
        <a:xfrm>
          <a:off x="8267700" y="34404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88</xdr:row>
      <xdr:rowOff>0</xdr:rowOff>
    </xdr:from>
    <xdr:ext cx="65" cy="172227"/>
    <xdr:sp macro="" textlink="">
      <xdr:nvSpPr>
        <xdr:cNvPr id="1144" name="TextBox 1143">
          <a:extLst>
            <a:ext uri="{FF2B5EF4-FFF2-40B4-BE49-F238E27FC236}">
              <a16:creationId xmlns:a16="http://schemas.microsoft.com/office/drawing/2014/main" id="{00000000-0008-0000-0000-000007000000}"/>
            </a:ext>
          </a:extLst>
        </xdr:cNvPr>
        <xdr:cNvSpPr txBox="1"/>
      </xdr:nvSpPr>
      <xdr:spPr>
        <a:xfrm>
          <a:off x="8267700" y="34404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145" name="TextBox 1144">
          <a:extLst>
            <a:ext uri="{FF2B5EF4-FFF2-40B4-BE49-F238E27FC236}">
              <a16:creationId xmlns:a16="http://schemas.microsoft.com/office/drawing/2014/main" id="{00000000-0008-0000-0000-000007000000}"/>
            </a:ext>
          </a:extLst>
        </xdr:cNvPr>
        <xdr:cNvSpPr txBox="1"/>
      </xdr:nvSpPr>
      <xdr:spPr>
        <a:xfrm>
          <a:off x="8267700" y="34008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146" name="TextBox 1145">
          <a:extLst>
            <a:ext uri="{FF2B5EF4-FFF2-40B4-BE49-F238E27FC236}">
              <a16:creationId xmlns:a16="http://schemas.microsoft.com/office/drawing/2014/main" id="{00000000-0008-0000-0000-000007000000}"/>
            </a:ext>
          </a:extLst>
        </xdr:cNvPr>
        <xdr:cNvSpPr txBox="1"/>
      </xdr:nvSpPr>
      <xdr:spPr>
        <a:xfrm>
          <a:off x="8267700" y="34008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147" name="TextBox 1146">
          <a:extLst>
            <a:ext uri="{FF2B5EF4-FFF2-40B4-BE49-F238E27FC236}">
              <a16:creationId xmlns:a16="http://schemas.microsoft.com/office/drawing/2014/main" id="{00000000-0008-0000-0000-000007000000}"/>
            </a:ext>
          </a:extLst>
        </xdr:cNvPr>
        <xdr:cNvSpPr txBox="1"/>
      </xdr:nvSpPr>
      <xdr:spPr>
        <a:xfrm>
          <a:off x="8267700" y="34008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148" name="TextBox 1147">
          <a:extLst>
            <a:ext uri="{FF2B5EF4-FFF2-40B4-BE49-F238E27FC236}">
              <a16:creationId xmlns:a16="http://schemas.microsoft.com/office/drawing/2014/main" id="{00000000-0008-0000-0000-000007000000}"/>
            </a:ext>
          </a:extLst>
        </xdr:cNvPr>
        <xdr:cNvSpPr txBox="1"/>
      </xdr:nvSpPr>
      <xdr:spPr>
        <a:xfrm>
          <a:off x="8267700" y="34008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84</xdr:row>
      <xdr:rowOff>0</xdr:rowOff>
    </xdr:from>
    <xdr:ext cx="65" cy="172227"/>
    <xdr:sp macro="" textlink="">
      <xdr:nvSpPr>
        <xdr:cNvPr id="1152" name="TextBox 1151">
          <a:extLst>
            <a:ext uri="{FF2B5EF4-FFF2-40B4-BE49-F238E27FC236}">
              <a16:creationId xmlns:a16="http://schemas.microsoft.com/office/drawing/2014/main" id="{00000000-0008-0000-0000-000007000000}"/>
            </a:ext>
          </a:extLst>
        </xdr:cNvPr>
        <xdr:cNvSpPr txBox="1"/>
      </xdr:nvSpPr>
      <xdr:spPr>
        <a:xfrm>
          <a:off x="8267700" y="33246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84</xdr:row>
      <xdr:rowOff>0</xdr:rowOff>
    </xdr:from>
    <xdr:ext cx="65" cy="172227"/>
    <xdr:sp macro="" textlink="">
      <xdr:nvSpPr>
        <xdr:cNvPr id="1156" name="TextBox 1155">
          <a:extLst>
            <a:ext uri="{FF2B5EF4-FFF2-40B4-BE49-F238E27FC236}">
              <a16:creationId xmlns:a16="http://schemas.microsoft.com/office/drawing/2014/main" id="{00000000-0008-0000-0000-000007000000}"/>
            </a:ext>
          </a:extLst>
        </xdr:cNvPr>
        <xdr:cNvSpPr txBox="1"/>
      </xdr:nvSpPr>
      <xdr:spPr>
        <a:xfrm>
          <a:off x="8267700" y="33246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1157" name="TextBox 1156">
          <a:extLst>
            <a:ext uri="{FF2B5EF4-FFF2-40B4-BE49-F238E27FC236}">
              <a16:creationId xmlns:a16="http://schemas.microsoft.com/office/drawing/2014/main" id="{00000000-0008-0000-0000-000007000000}"/>
            </a:ext>
          </a:extLst>
        </xdr:cNvPr>
        <xdr:cNvSpPr txBox="1"/>
      </xdr:nvSpPr>
      <xdr:spPr>
        <a:xfrm>
          <a:off x="8267700" y="33444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1158" name="TextBox 1157">
          <a:extLst>
            <a:ext uri="{FF2B5EF4-FFF2-40B4-BE49-F238E27FC236}">
              <a16:creationId xmlns:a16="http://schemas.microsoft.com/office/drawing/2014/main" id="{00000000-0008-0000-0000-000007000000}"/>
            </a:ext>
          </a:extLst>
        </xdr:cNvPr>
        <xdr:cNvSpPr txBox="1"/>
      </xdr:nvSpPr>
      <xdr:spPr>
        <a:xfrm>
          <a:off x="8267700" y="33444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159" name="TextBox 1158">
          <a:extLst>
            <a:ext uri="{FF2B5EF4-FFF2-40B4-BE49-F238E27FC236}">
              <a16:creationId xmlns:a16="http://schemas.microsoft.com/office/drawing/2014/main" id="{00000000-0008-0000-0000-000007000000}"/>
            </a:ext>
          </a:extLst>
        </xdr:cNvPr>
        <xdr:cNvSpPr txBox="1"/>
      </xdr:nvSpPr>
      <xdr:spPr>
        <a:xfrm>
          <a:off x="8267700" y="33642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160" name="TextBox 1159">
          <a:extLst>
            <a:ext uri="{FF2B5EF4-FFF2-40B4-BE49-F238E27FC236}">
              <a16:creationId xmlns:a16="http://schemas.microsoft.com/office/drawing/2014/main" id="{00000000-0008-0000-0000-000007000000}"/>
            </a:ext>
          </a:extLst>
        </xdr:cNvPr>
        <xdr:cNvSpPr txBox="1"/>
      </xdr:nvSpPr>
      <xdr:spPr>
        <a:xfrm>
          <a:off x="8267700" y="33642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1161" name="TextBox 1160">
          <a:extLst>
            <a:ext uri="{FF2B5EF4-FFF2-40B4-BE49-F238E27FC236}">
              <a16:creationId xmlns:a16="http://schemas.microsoft.com/office/drawing/2014/main" id="{00000000-0008-0000-0000-000007000000}"/>
            </a:ext>
          </a:extLst>
        </xdr:cNvPr>
        <xdr:cNvSpPr txBox="1"/>
      </xdr:nvSpPr>
      <xdr:spPr>
        <a:xfrm>
          <a:off x="8267700" y="33840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1162" name="TextBox 1161">
          <a:extLst>
            <a:ext uri="{FF2B5EF4-FFF2-40B4-BE49-F238E27FC236}">
              <a16:creationId xmlns:a16="http://schemas.microsoft.com/office/drawing/2014/main" id="{00000000-0008-0000-0000-000007000000}"/>
            </a:ext>
          </a:extLst>
        </xdr:cNvPr>
        <xdr:cNvSpPr txBox="1"/>
      </xdr:nvSpPr>
      <xdr:spPr>
        <a:xfrm>
          <a:off x="8267700" y="33840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88</xdr:row>
      <xdr:rowOff>0</xdr:rowOff>
    </xdr:from>
    <xdr:ext cx="65" cy="172227"/>
    <xdr:sp macro="" textlink="">
      <xdr:nvSpPr>
        <xdr:cNvPr id="1163" name="TextBox 1162">
          <a:extLst>
            <a:ext uri="{FF2B5EF4-FFF2-40B4-BE49-F238E27FC236}">
              <a16:creationId xmlns:a16="http://schemas.microsoft.com/office/drawing/2014/main" id="{00000000-0008-0000-0000-000007000000}"/>
            </a:ext>
          </a:extLst>
        </xdr:cNvPr>
        <xdr:cNvSpPr txBox="1"/>
      </xdr:nvSpPr>
      <xdr:spPr>
        <a:xfrm>
          <a:off x="8267700" y="3403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88</xdr:row>
      <xdr:rowOff>0</xdr:rowOff>
    </xdr:from>
    <xdr:ext cx="65" cy="172227"/>
    <xdr:sp macro="" textlink="">
      <xdr:nvSpPr>
        <xdr:cNvPr id="1164" name="TextBox 1163">
          <a:extLst>
            <a:ext uri="{FF2B5EF4-FFF2-40B4-BE49-F238E27FC236}">
              <a16:creationId xmlns:a16="http://schemas.microsoft.com/office/drawing/2014/main" id="{00000000-0008-0000-0000-000007000000}"/>
            </a:ext>
          </a:extLst>
        </xdr:cNvPr>
        <xdr:cNvSpPr txBox="1"/>
      </xdr:nvSpPr>
      <xdr:spPr>
        <a:xfrm>
          <a:off x="8267700" y="3403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89</xdr:row>
      <xdr:rowOff>0</xdr:rowOff>
    </xdr:from>
    <xdr:ext cx="65" cy="172227"/>
    <xdr:sp macro="" textlink="">
      <xdr:nvSpPr>
        <xdr:cNvPr id="1165" name="TextBox 1164">
          <a:extLst>
            <a:ext uri="{FF2B5EF4-FFF2-40B4-BE49-F238E27FC236}">
              <a16:creationId xmlns:a16="http://schemas.microsoft.com/office/drawing/2014/main" id="{00000000-0008-0000-0000-000007000000}"/>
            </a:ext>
          </a:extLst>
        </xdr:cNvPr>
        <xdr:cNvSpPr txBox="1"/>
      </xdr:nvSpPr>
      <xdr:spPr>
        <a:xfrm>
          <a:off x="8267700" y="34236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89</xdr:row>
      <xdr:rowOff>0</xdr:rowOff>
    </xdr:from>
    <xdr:ext cx="65" cy="172227"/>
    <xdr:sp macro="" textlink="">
      <xdr:nvSpPr>
        <xdr:cNvPr id="1166" name="TextBox 1165">
          <a:extLst>
            <a:ext uri="{FF2B5EF4-FFF2-40B4-BE49-F238E27FC236}">
              <a16:creationId xmlns:a16="http://schemas.microsoft.com/office/drawing/2014/main" id="{00000000-0008-0000-0000-000007000000}"/>
            </a:ext>
          </a:extLst>
        </xdr:cNvPr>
        <xdr:cNvSpPr txBox="1"/>
      </xdr:nvSpPr>
      <xdr:spPr>
        <a:xfrm>
          <a:off x="8267700" y="34236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90</xdr:row>
      <xdr:rowOff>0</xdr:rowOff>
    </xdr:from>
    <xdr:ext cx="65" cy="172227"/>
    <xdr:sp macro="" textlink="">
      <xdr:nvSpPr>
        <xdr:cNvPr id="1167" name="TextBox 1166">
          <a:extLst>
            <a:ext uri="{FF2B5EF4-FFF2-40B4-BE49-F238E27FC236}">
              <a16:creationId xmlns:a16="http://schemas.microsoft.com/office/drawing/2014/main" id="{00000000-0008-0000-0000-000007000000}"/>
            </a:ext>
          </a:extLst>
        </xdr:cNvPr>
        <xdr:cNvSpPr txBox="1"/>
      </xdr:nvSpPr>
      <xdr:spPr>
        <a:xfrm>
          <a:off x="8267700" y="34419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90</xdr:row>
      <xdr:rowOff>0</xdr:rowOff>
    </xdr:from>
    <xdr:ext cx="65" cy="172227"/>
    <xdr:sp macro="" textlink="">
      <xdr:nvSpPr>
        <xdr:cNvPr id="1168" name="TextBox 1167">
          <a:extLst>
            <a:ext uri="{FF2B5EF4-FFF2-40B4-BE49-F238E27FC236}">
              <a16:creationId xmlns:a16="http://schemas.microsoft.com/office/drawing/2014/main" id="{00000000-0008-0000-0000-000007000000}"/>
            </a:ext>
          </a:extLst>
        </xdr:cNvPr>
        <xdr:cNvSpPr txBox="1"/>
      </xdr:nvSpPr>
      <xdr:spPr>
        <a:xfrm>
          <a:off x="8267700" y="34419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91</xdr:row>
      <xdr:rowOff>0</xdr:rowOff>
    </xdr:from>
    <xdr:ext cx="65" cy="172227"/>
    <xdr:sp macro="" textlink="">
      <xdr:nvSpPr>
        <xdr:cNvPr id="1169" name="TextBox 1168">
          <a:extLst>
            <a:ext uri="{FF2B5EF4-FFF2-40B4-BE49-F238E27FC236}">
              <a16:creationId xmlns:a16="http://schemas.microsoft.com/office/drawing/2014/main" id="{00000000-0008-0000-0000-000007000000}"/>
            </a:ext>
          </a:extLst>
        </xdr:cNvPr>
        <xdr:cNvSpPr txBox="1"/>
      </xdr:nvSpPr>
      <xdr:spPr>
        <a:xfrm>
          <a:off x="8267700" y="34602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91</xdr:row>
      <xdr:rowOff>0</xdr:rowOff>
    </xdr:from>
    <xdr:ext cx="65" cy="172227"/>
    <xdr:sp macro="" textlink="">
      <xdr:nvSpPr>
        <xdr:cNvPr id="1170" name="TextBox 1169">
          <a:extLst>
            <a:ext uri="{FF2B5EF4-FFF2-40B4-BE49-F238E27FC236}">
              <a16:creationId xmlns:a16="http://schemas.microsoft.com/office/drawing/2014/main" id="{00000000-0008-0000-0000-000007000000}"/>
            </a:ext>
          </a:extLst>
        </xdr:cNvPr>
        <xdr:cNvSpPr txBox="1"/>
      </xdr:nvSpPr>
      <xdr:spPr>
        <a:xfrm>
          <a:off x="8267700" y="34602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92</xdr:row>
      <xdr:rowOff>0</xdr:rowOff>
    </xdr:from>
    <xdr:ext cx="65" cy="172227"/>
    <xdr:sp macro="" textlink="">
      <xdr:nvSpPr>
        <xdr:cNvPr id="1171" name="TextBox 1170">
          <a:extLst>
            <a:ext uri="{FF2B5EF4-FFF2-40B4-BE49-F238E27FC236}">
              <a16:creationId xmlns:a16="http://schemas.microsoft.com/office/drawing/2014/main" id="{00000000-0008-0000-0000-000007000000}"/>
            </a:ext>
          </a:extLst>
        </xdr:cNvPr>
        <xdr:cNvSpPr txBox="1"/>
      </xdr:nvSpPr>
      <xdr:spPr>
        <a:xfrm>
          <a:off x="8267700" y="34785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92</xdr:row>
      <xdr:rowOff>0</xdr:rowOff>
    </xdr:from>
    <xdr:ext cx="65" cy="172227"/>
    <xdr:sp macro="" textlink="">
      <xdr:nvSpPr>
        <xdr:cNvPr id="1172" name="TextBox 1171">
          <a:extLst>
            <a:ext uri="{FF2B5EF4-FFF2-40B4-BE49-F238E27FC236}">
              <a16:creationId xmlns:a16="http://schemas.microsoft.com/office/drawing/2014/main" id="{00000000-0008-0000-0000-000007000000}"/>
            </a:ext>
          </a:extLst>
        </xdr:cNvPr>
        <xdr:cNvSpPr txBox="1"/>
      </xdr:nvSpPr>
      <xdr:spPr>
        <a:xfrm>
          <a:off x="8267700" y="34785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93</xdr:row>
      <xdr:rowOff>0</xdr:rowOff>
    </xdr:from>
    <xdr:ext cx="65" cy="172227"/>
    <xdr:sp macro="" textlink="">
      <xdr:nvSpPr>
        <xdr:cNvPr id="1173" name="TextBox 1172">
          <a:extLst>
            <a:ext uri="{FF2B5EF4-FFF2-40B4-BE49-F238E27FC236}">
              <a16:creationId xmlns:a16="http://schemas.microsoft.com/office/drawing/2014/main" id="{00000000-0008-0000-0000-000007000000}"/>
            </a:ext>
          </a:extLst>
        </xdr:cNvPr>
        <xdr:cNvSpPr txBox="1"/>
      </xdr:nvSpPr>
      <xdr:spPr>
        <a:xfrm>
          <a:off x="8267700" y="34968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93</xdr:row>
      <xdr:rowOff>0</xdr:rowOff>
    </xdr:from>
    <xdr:ext cx="65" cy="172227"/>
    <xdr:sp macro="" textlink="">
      <xdr:nvSpPr>
        <xdr:cNvPr id="1174" name="TextBox 1173">
          <a:extLst>
            <a:ext uri="{FF2B5EF4-FFF2-40B4-BE49-F238E27FC236}">
              <a16:creationId xmlns:a16="http://schemas.microsoft.com/office/drawing/2014/main" id="{00000000-0008-0000-0000-000007000000}"/>
            </a:ext>
          </a:extLst>
        </xdr:cNvPr>
        <xdr:cNvSpPr txBox="1"/>
      </xdr:nvSpPr>
      <xdr:spPr>
        <a:xfrm>
          <a:off x="8267700" y="34968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99</xdr:row>
      <xdr:rowOff>0</xdr:rowOff>
    </xdr:from>
    <xdr:ext cx="65" cy="172227"/>
    <xdr:sp macro="" textlink="">
      <xdr:nvSpPr>
        <xdr:cNvPr id="1175" name="TextBox 1174">
          <a:extLst>
            <a:ext uri="{FF2B5EF4-FFF2-40B4-BE49-F238E27FC236}">
              <a16:creationId xmlns:a16="http://schemas.microsoft.com/office/drawing/2014/main" id="{00000000-0008-0000-0000-000007000000}"/>
            </a:ext>
          </a:extLst>
        </xdr:cNvPr>
        <xdr:cNvSpPr txBox="1"/>
      </xdr:nvSpPr>
      <xdr:spPr>
        <a:xfrm>
          <a:off x="8267700" y="36065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99</xdr:row>
      <xdr:rowOff>0</xdr:rowOff>
    </xdr:from>
    <xdr:ext cx="65" cy="172227"/>
    <xdr:sp macro="" textlink="">
      <xdr:nvSpPr>
        <xdr:cNvPr id="1176" name="TextBox 1175">
          <a:extLst>
            <a:ext uri="{FF2B5EF4-FFF2-40B4-BE49-F238E27FC236}">
              <a16:creationId xmlns:a16="http://schemas.microsoft.com/office/drawing/2014/main" id="{00000000-0008-0000-0000-000007000000}"/>
            </a:ext>
          </a:extLst>
        </xdr:cNvPr>
        <xdr:cNvSpPr txBox="1"/>
      </xdr:nvSpPr>
      <xdr:spPr>
        <a:xfrm>
          <a:off x="8267700" y="36065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100</xdr:row>
      <xdr:rowOff>0</xdr:rowOff>
    </xdr:from>
    <xdr:ext cx="65" cy="172227"/>
    <xdr:sp macro="" textlink="">
      <xdr:nvSpPr>
        <xdr:cNvPr id="1177" name="TextBox 1176">
          <a:extLst>
            <a:ext uri="{FF2B5EF4-FFF2-40B4-BE49-F238E27FC236}">
              <a16:creationId xmlns:a16="http://schemas.microsoft.com/office/drawing/2014/main" id="{00000000-0008-0000-0000-000007000000}"/>
            </a:ext>
          </a:extLst>
        </xdr:cNvPr>
        <xdr:cNvSpPr txBox="1"/>
      </xdr:nvSpPr>
      <xdr:spPr>
        <a:xfrm>
          <a:off x="8267700" y="36248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100</xdr:row>
      <xdr:rowOff>0</xdr:rowOff>
    </xdr:from>
    <xdr:ext cx="65" cy="172227"/>
    <xdr:sp macro="" textlink="">
      <xdr:nvSpPr>
        <xdr:cNvPr id="1178" name="TextBox 1177">
          <a:extLst>
            <a:ext uri="{FF2B5EF4-FFF2-40B4-BE49-F238E27FC236}">
              <a16:creationId xmlns:a16="http://schemas.microsoft.com/office/drawing/2014/main" id="{00000000-0008-0000-0000-000007000000}"/>
            </a:ext>
          </a:extLst>
        </xdr:cNvPr>
        <xdr:cNvSpPr txBox="1"/>
      </xdr:nvSpPr>
      <xdr:spPr>
        <a:xfrm>
          <a:off x="8267700" y="36248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101</xdr:row>
      <xdr:rowOff>0</xdr:rowOff>
    </xdr:from>
    <xdr:ext cx="65" cy="172227"/>
    <xdr:sp macro="" textlink="">
      <xdr:nvSpPr>
        <xdr:cNvPr id="1179" name="TextBox 1178">
          <a:extLst>
            <a:ext uri="{FF2B5EF4-FFF2-40B4-BE49-F238E27FC236}">
              <a16:creationId xmlns:a16="http://schemas.microsoft.com/office/drawing/2014/main" id="{00000000-0008-0000-0000-000007000000}"/>
            </a:ext>
          </a:extLst>
        </xdr:cNvPr>
        <xdr:cNvSpPr txBox="1"/>
      </xdr:nvSpPr>
      <xdr:spPr>
        <a:xfrm>
          <a:off x="8267700" y="36431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101</xdr:row>
      <xdr:rowOff>0</xdr:rowOff>
    </xdr:from>
    <xdr:ext cx="65" cy="172227"/>
    <xdr:sp macro="" textlink="">
      <xdr:nvSpPr>
        <xdr:cNvPr id="1180" name="TextBox 1179">
          <a:extLst>
            <a:ext uri="{FF2B5EF4-FFF2-40B4-BE49-F238E27FC236}">
              <a16:creationId xmlns:a16="http://schemas.microsoft.com/office/drawing/2014/main" id="{00000000-0008-0000-0000-000007000000}"/>
            </a:ext>
          </a:extLst>
        </xdr:cNvPr>
        <xdr:cNvSpPr txBox="1"/>
      </xdr:nvSpPr>
      <xdr:spPr>
        <a:xfrm>
          <a:off x="8267700" y="36431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102</xdr:row>
      <xdr:rowOff>0</xdr:rowOff>
    </xdr:from>
    <xdr:ext cx="65" cy="172227"/>
    <xdr:sp macro="" textlink="">
      <xdr:nvSpPr>
        <xdr:cNvPr id="1181" name="TextBox 1180">
          <a:extLst>
            <a:ext uri="{FF2B5EF4-FFF2-40B4-BE49-F238E27FC236}">
              <a16:creationId xmlns:a16="http://schemas.microsoft.com/office/drawing/2014/main" id="{00000000-0008-0000-0000-000007000000}"/>
            </a:ext>
          </a:extLst>
        </xdr:cNvPr>
        <xdr:cNvSpPr txBox="1"/>
      </xdr:nvSpPr>
      <xdr:spPr>
        <a:xfrm>
          <a:off x="8267700" y="36614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102</xdr:row>
      <xdr:rowOff>0</xdr:rowOff>
    </xdr:from>
    <xdr:ext cx="65" cy="172227"/>
    <xdr:sp macro="" textlink="">
      <xdr:nvSpPr>
        <xdr:cNvPr id="1182" name="TextBox 1181">
          <a:extLst>
            <a:ext uri="{FF2B5EF4-FFF2-40B4-BE49-F238E27FC236}">
              <a16:creationId xmlns:a16="http://schemas.microsoft.com/office/drawing/2014/main" id="{00000000-0008-0000-0000-000007000000}"/>
            </a:ext>
          </a:extLst>
        </xdr:cNvPr>
        <xdr:cNvSpPr txBox="1"/>
      </xdr:nvSpPr>
      <xdr:spPr>
        <a:xfrm>
          <a:off x="8267700" y="36614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103</xdr:row>
      <xdr:rowOff>0</xdr:rowOff>
    </xdr:from>
    <xdr:ext cx="65" cy="172227"/>
    <xdr:sp macro="" textlink="">
      <xdr:nvSpPr>
        <xdr:cNvPr id="1183" name="TextBox 1182">
          <a:extLst>
            <a:ext uri="{FF2B5EF4-FFF2-40B4-BE49-F238E27FC236}">
              <a16:creationId xmlns:a16="http://schemas.microsoft.com/office/drawing/2014/main" id="{00000000-0008-0000-0000-000007000000}"/>
            </a:ext>
          </a:extLst>
        </xdr:cNvPr>
        <xdr:cNvSpPr txBox="1"/>
      </xdr:nvSpPr>
      <xdr:spPr>
        <a:xfrm>
          <a:off x="8267700" y="36796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103</xdr:row>
      <xdr:rowOff>0</xdr:rowOff>
    </xdr:from>
    <xdr:ext cx="65" cy="172227"/>
    <xdr:sp macro="" textlink="">
      <xdr:nvSpPr>
        <xdr:cNvPr id="1184" name="TextBox 1183">
          <a:extLst>
            <a:ext uri="{FF2B5EF4-FFF2-40B4-BE49-F238E27FC236}">
              <a16:creationId xmlns:a16="http://schemas.microsoft.com/office/drawing/2014/main" id="{00000000-0008-0000-0000-000007000000}"/>
            </a:ext>
          </a:extLst>
        </xdr:cNvPr>
        <xdr:cNvSpPr txBox="1"/>
      </xdr:nvSpPr>
      <xdr:spPr>
        <a:xfrm>
          <a:off x="8267700" y="36796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109</xdr:row>
      <xdr:rowOff>0</xdr:rowOff>
    </xdr:from>
    <xdr:ext cx="65" cy="172227"/>
    <xdr:sp macro="" textlink="">
      <xdr:nvSpPr>
        <xdr:cNvPr id="1185" name="TextBox 1184">
          <a:extLst>
            <a:ext uri="{FF2B5EF4-FFF2-40B4-BE49-F238E27FC236}">
              <a16:creationId xmlns:a16="http://schemas.microsoft.com/office/drawing/2014/main" id="{00000000-0008-0000-0000-000007000000}"/>
            </a:ext>
          </a:extLst>
        </xdr:cNvPr>
        <xdr:cNvSpPr txBox="1"/>
      </xdr:nvSpPr>
      <xdr:spPr>
        <a:xfrm>
          <a:off x="8267700" y="3789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109</xdr:row>
      <xdr:rowOff>0</xdr:rowOff>
    </xdr:from>
    <xdr:ext cx="65" cy="172227"/>
    <xdr:sp macro="" textlink="">
      <xdr:nvSpPr>
        <xdr:cNvPr id="1186" name="TextBox 1185">
          <a:extLst>
            <a:ext uri="{FF2B5EF4-FFF2-40B4-BE49-F238E27FC236}">
              <a16:creationId xmlns:a16="http://schemas.microsoft.com/office/drawing/2014/main" id="{00000000-0008-0000-0000-000007000000}"/>
            </a:ext>
          </a:extLst>
        </xdr:cNvPr>
        <xdr:cNvSpPr txBox="1"/>
      </xdr:nvSpPr>
      <xdr:spPr>
        <a:xfrm>
          <a:off x="8267700" y="3789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110</xdr:row>
      <xdr:rowOff>0</xdr:rowOff>
    </xdr:from>
    <xdr:ext cx="65" cy="172227"/>
    <xdr:sp macro="" textlink="">
      <xdr:nvSpPr>
        <xdr:cNvPr id="1187" name="TextBox 1186">
          <a:extLst>
            <a:ext uri="{FF2B5EF4-FFF2-40B4-BE49-F238E27FC236}">
              <a16:creationId xmlns:a16="http://schemas.microsoft.com/office/drawing/2014/main" id="{00000000-0008-0000-0000-000007000000}"/>
            </a:ext>
          </a:extLst>
        </xdr:cNvPr>
        <xdr:cNvSpPr txBox="1"/>
      </xdr:nvSpPr>
      <xdr:spPr>
        <a:xfrm>
          <a:off x="8267700" y="3807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110</xdr:row>
      <xdr:rowOff>0</xdr:rowOff>
    </xdr:from>
    <xdr:ext cx="65" cy="172227"/>
    <xdr:sp macro="" textlink="">
      <xdr:nvSpPr>
        <xdr:cNvPr id="1188" name="TextBox 1187">
          <a:extLst>
            <a:ext uri="{FF2B5EF4-FFF2-40B4-BE49-F238E27FC236}">
              <a16:creationId xmlns:a16="http://schemas.microsoft.com/office/drawing/2014/main" id="{00000000-0008-0000-0000-000007000000}"/>
            </a:ext>
          </a:extLst>
        </xdr:cNvPr>
        <xdr:cNvSpPr txBox="1"/>
      </xdr:nvSpPr>
      <xdr:spPr>
        <a:xfrm>
          <a:off x="8267700" y="3807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111</xdr:row>
      <xdr:rowOff>0</xdr:rowOff>
    </xdr:from>
    <xdr:ext cx="65" cy="172227"/>
    <xdr:sp macro="" textlink="">
      <xdr:nvSpPr>
        <xdr:cNvPr id="1189" name="TextBox 1188">
          <a:extLst>
            <a:ext uri="{FF2B5EF4-FFF2-40B4-BE49-F238E27FC236}">
              <a16:creationId xmlns:a16="http://schemas.microsoft.com/office/drawing/2014/main" id="{00000000-0008-0000-0000-000007000000}"/>
            </a:ext>
          </a:extLst>
        </xdr:cNvPr>
        <xdr:cNvSpPr txBox="1"/>
      </xdr:nvSpPr>
      <xdr:spPr>
        <a:xfrm>
          <a:off x="8267700" y="3826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111</xdr:row>
      <xdr:rowOff>0</xdr:rowOff>
    </xdr:from>
    <xdr:ext cx="65" cy="172227"/>
    <xdr:sp macro="" textlink="">
      <xdr:nvSpPr>
        <xdr:cNvPr id="1190" name="TextBox 1189">
          <a:extLst>
            <a:ext uri="{FF2B5EF4-FFF2-40B4-BE49-F238E27FC236}">
              <a16:creationId xmlns:a16="http://schemas.microsoft.com/office/drawing/2014/main" id="{00000000-0008-0000-0000-000007000000}"/>
            </a:ext>
          </a:extLst>
        </xdr:cNvPr>
        <xdr:cNvSpPr txBox="1"/>
      </xdr:nvSpPr>
      <xdr:spPr>
        <a:xfrm>
          <a:off x="8267700" y="3826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112</xdr:row>
      <xdr:rowOff>0</xdr:rowOff>
    </xdr:from>
    <xdr:ext cx="65" cy="172227"/>
    <xdr:sp macro="" textlink="">
      <xdr:nvSpPr>
        <xdr:cNvPr id="1191" name="TextBox 1190">
          <a:extLst>
            <a:ext uri="{FF2B5EF4-FFF2-40B4-BE49-F238E27FC236}">
              <a16:creationId xmlns:a16="http://schemas.microsoft.com/office/drawing/2014/main" id="{00000000-0008-0000-0000-000007000000}"/>
            </a:ext>
          </a:extLst>
        </xdr:cNvPr>
        <xdr:cNvSpPr txBox="1"/>
      </xdr:nvSpPr>
      <xdr:spPr>
        <a:xfrm>
          <a:off x="8267700" y="38442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112</xdr:row>
      <xdr:rowOff>0</xdr:rowOff>
    </xdr:from>
    <xdr:ext cx="65" cy="172227"/>
    <xdr:sp macro="" textlink="">
      <xdr:nvSpPr>
        <xdr:cNvPr id="1192" name="TextBox 1191">
          <a:extLst>
            <a:ext uri="{FF2B5EF4-FFF2-40B4-BE49-F238E27FC236}">
              <a16:creationId xmlns:a16="http://schemas.microsoft.com/office/drawing/2014/main" id="{00000000-0008-0000-0000-000007000000}"/>
            </a:ext>
          </a:extLst>
        </xdr:cNvPr>
        <xdr:cNvSpPr txBox="1"/>
      </xdr:nvSpPr>
      <xdr:spPr>
        <a:xfrm>
          <a:off x="8267700" y="38442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113</xdr:row>
      <xdr:rowOff>0</xdr:rowOff>
    </xdr:from>
    <xdr:ext cx="65" cy="172227"/>
    <xdr:sp macro="" textlink="">
      <xdr:nvSpPr>
        <xdr:cNvPr id="1193" name="TextBox 1192">
          <a:extLst>
            <a:ext uri="{FF2B5EF4-FFF2-40B4-BE49-F238E27FC236}">
              <a16:creationId xmlns:a16="http://schemas.microsoft.com/office/drawing/2014/main" id="{00000000-0008-0000-0000-000007000000}"/>
            </a:ext>
          </a:extLst>
        </xdr:cNvPr>
        <xdr:cNvSpPr txBox="1"/>
      </xdr:nvSpPr>
      <xdr:spPr>
        <a:xfrm>
          <a:off x="8267700" y="38625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113</xdr:row>
      <xdr:rowOff>0</xdr:rowOff>
    </xdr:from>
    <xdr:ext cx="65" cy="172227"/>
    <xdr:sp macro="" textlink="">
      <xdr:nvSpPr>
        <xdr:cNvPr id="1194" name="TextBox 1193">
          <a:extLst>
            <a:ext uri="{FF2B5EF4-FFF2-40B4-BE49-F238E27FC236}">
              <a16:creationId xmlns:a16="http://schemas.microsoft.com/office/drawing/2014/main" id="{00000000-0008-0000-0000-000007000000}"/>
            </a:ext>
          </a:extLst>
        </xdr:cNvPr>
        <xdr:cNvSpPr txBox="1"/>
      </xdr:nvSpPr>
      <xdr:spPr>
        <a:xfrm>
          <a:off x="8267700" y="38625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119</xdr:row>
      <xdr:rowOff>0</xdr:rowOff>
    </xdr:from>
    <xdr:ext cx="65" cy="172227"/>
    <xdr:sp macro="" textlink="">
      <xdr:nvSpPr>
        <xdr:cNvPr id="1195" name="TextBox 1194">
          <a:extLst>
            <a:ext uri="{FF2B5EF4-FFF2-40B4-BE49-F238E27FC236}">
              <a16:creationId xmlns:a16="http://schemas.microsoft.com/office/drawing/2014/main" id="{00000000-0008-0000-0000-000007000000}"/>
            </a:ext>
          </a:extLst>
        </xdr:cNvPr>
        <xdr:cNvSpPr txBox="1"/>
      </xdr:nvSpPr>
      <xdr:spPr>
        <a:xfrm>
          <a:off x="8267700" y="39723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119</xdr:row>
      <xdr:rowOff>0</xdr:rowOff>
    </xdr:from>
    <xdr:ext cx="65" cy="172227"/>
    <xdr:sp macro="" textlink="">
      <xdr:nvSpPr>
        <xdr:cNvPr id="1196" name="TextBox 1195">
          <a:extLst>
            <a:ext uri="{FF2B5EF4-FFF2-40B4-BE49-F238E27FC236}">
              <a16:creationId xmlns:a16="http://schemas.microsoft.com/office/drawing/2014/main" id="{00000000-0008-0000-0000-000007000000}"/>
            </a:ext>
          </a:extLst>
        </xdr:cNvPr>
        <xdr:cNvSpPr txBox="1"/>
      </xdr:nvSpPr>
      <xdr:spPr>
        <a:xfrm>
          <a:off x="8267700" y="39723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120</xdr:row>
      <xdr:rowOff>0</xdr:rowOff>
    </xdr:from>
    <xdr:ext cx="65" cy="172227"/>
    <xdr:sp macro="" textlink="">
      <xdr:nvSpPr>
        <xdr:cNvPr id="1197" name="TextBox 1196">
          <a:extLst>
            <a:ext uri="{FF2B5EF4-FFF2-40B4-BE49-F238E27FC236}">
              <a16:creationId xmlns:a16="http://schemas.microsoft.com/office/drawing/2014/main" id="{00000000-0008-0000-0000-000007000000}"/>
            </a:ext>
          </a:extLst>
        </xdr:cNvPr>
        <xdr:cNvSpPr txBox="1"/>
      </xdr:nvSpPr>
      <xdr:spPr>
        <a:xfrm>
          <a:off x="8267700" y="39905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120</xdr:row>
      <xdr:rowOff>0</xdr:rowOff>
    </xdr:from>
    <xdr:ext cx="65" cy="172227"/>
    <xdr:sp macro="" textlink="">
      <xdr:nvSpPr>
        <xdr:cNvPr id="1198" name="TextBox 1197">
          <a:extLst>
            <a:ext uri="{FF2B5EF4-FFF2-40B4-BE49-F238E27FC236}">
              <a16:creationId xmlns:a16="http://schemas.microsoft.com/office/drawing/2014/main" id="{00000000-0008-0000-0000-000007000000}"/>
            </a:ext>
          </a:extLst>
        </xdr:cNvPr>
        <xdr:cNvSpPr txBox="1"/>
      </xdr:nvSpPr>
      <xdr:spPr>
        <a:xfrm>
          <a:off x="8267700" y="39905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121</xdr:row>
      <xdr:rowOff>0</xdr:rowOff>
    </xdr:from>
    <xdr:ext cx="65" cy="172227"/>
    <xdr:sp macro="" textlink="">
      <xdr:nvSpPr>
        <xdr:cNvPr id="1199" name="TextBox 1198">
          <a:extLst>
            <a:ext uri="{FF2B5EF4-FFF2-40B4-BE49-F238E27FC236}">
              <a16:creationId xmlns:a16="http://schemas.microsoft.com/office/drawing/2014/main" id="{00000000-0008-0000-0000-000007000000}"/>
            </a:ext>
          </a:extLst>
        </xdr:cNvPr>
        <xdr:cNvSpPr txBox="1"/>
      </xdr:nvSpPr>
      <xdr:spPr>
        <a:xfrm>
          <a:off x="8267700" y="40088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121</xdr:row>
      <xdr:rowOff>0</xdr:rowOff>
    </xdr:from>
    <xdr:ext cx="65" cy="172227"/>
    <xdr:sp macro="" textlink="">
      <xdr:nvSpPr>
        <xdr:cNvPr id="1200" name="TextBox 1199">
          <a:extLst>
            <a:ext uri="{FF2B5EF4-FFF2-40B4-BE49-F238E27FC236}">
              <a16:creationId xmlns:a16="http://schemas.microsoft.com/office/drawing/2014/main" id="{00000000-0008-0000-0000-000007000000}"/>
            </a:ext>
          </a:extLst>
        </xdr:cNvPr>
        <xdr:cNvSpPr txBox="1"/>
      </xdr:nvSpPr>
      <xdr:spPr>
        <a:xfrm>
          <a:off x="8267700" y="40088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122</xdr:row>
      <xdr:rowOff>0</xdr:rowOff>
    </xdr:from>
    <xdr:ext cx="65" cy="172227"/>
    <xdr:sp macro="" textlink="">
      <xdr:nvSpPr>
        <xdr:cNvPr id="1201" name="TextBox 1200">
          <a:extLst>
            <a:ext uri="{FF2B5EF4-FFF2-40B4-BE49-F238E27FC236}">
              <a16:creationId xmlns:a16="http://schemas.microsoft.com/office/drawing/2014/main" id="{00000000-0008-0000-0000-000007000000}"/>
            </a:ext>
          </a:extLst>
        </xdr:cNvPr>
        <xdr:cNvSpPr txBox="1"/>
      </xdr:nvSpPr>
      <xdr:spPr>
        <a:xfrm>
          <a:off x="8267700" y="40271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122</xdr:row>
      <xdr:rowOff>0</xdr:rowOff>
    </xdr:from>
    <xdr:ext cx="65" cy="172227"/>
    <xdr:sp macro="" textlink="">
      <xdr:nvSpPr>
        <xdr:cNvPr id="1202" name="TextBox 1201">
          <a:extLst>
            <a:ext uri="{FF2B5EF4-FFF2-40B4-BE49-F238E27FC236}">
              <a16:creationId xmlns:a16="http://schemas.microsoft.com/office/drawing/2014/main" id="{00000000-0008-0000-0000-000007000000}"/>
            </a:ext>
          </a:extLst>
        </xdr:cNvPr>
        <xdr:cNvSpPr txBox="1"/>
      </xdr:nvSpPr>
      <xdr:spPr>
        <a:xfrm>
          <a:off x="8267700" y="40271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123</xdr:row>
      <xdr:rowOff>0</xdr:rowOff>
    </xdr:from>
    <xdr:ext cx="65" cy="172227"/>
    <xdr:sp macro="" textlink="">
      <xdr:nvSpPr>
        <xdr:cNvPr id="1203" name="TextBox 1202">
          <a:extLst>
            <a:ext uri="{FF2B5EF4-FFF2-40B4-BE49-F238E27FC236}">
              <a16:creationId xmlns:a16="http://schemas.microsoft.com/office/drawing/2014/main" id="{00000000-0008-0000-0000-000007000000}"/>
            </a:ext>
          </a:extLst>
        </xdr:cNvPr>
        <xdr:cNvSpPr txBox="1"/>
      </xdr:nvSpPr>
      <xdr:spPr>
        <a:xfrm>
          <a:off x="8267700" y="40454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123</xdr:row>
      <xdr:rowOff>0</xdr:rowOff>
    </xdr:from>
    <xdr:ext cx="65" cy="172227"/>
    <xdr:sp macro="" textlink="">
      <xdr:nvSpPr>
        <xdr:cNvPr id="1204" name="TextBox 1203">
          <a:extLst>
            <a:ext uri="{FF2B5EF4-FFF2-40B4-BE49-F238E27FC236}">
              <a16:creationId xmlns:a16="http://schemas.microsoft.com/office/drawing/2014/main" id="{00000000-0008-0000-0000-000007000000}"/>
            </a:ext>
          </a:extLst>
        </xdr:cNvPr>
        <xdr:cNvSpPr txBox="1"/>
      </xdr:nvSpPr>
      <xdr:spPr>
        <a:xfrm>
          <a:off x="8267700" y="40454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129</xdr:row>
      <xdr:rowOff>0</xdr:rowOff>
    </xdr:from>
    <xdr:ext cx="65" cy="172227"/>
    <xdr:sp macro="" textlink="">
      <xdr:nvSpPr>
        <xdr:cNvPr id="1205" name="TextBox 1204">
          <a:extLst>
            <a:ext uri="{FF2B5EF4-FFF2-40B4-BE49-F238E27FC236}">
              <a16:creationId xmlns:a16="http://schemas.microsoft.com/office/drawing/2014/main" id="{00000000-0008-0000-0000-000007000000}"/>
            </a:ext>
          </a:extLst>
        </xdr:cNvPr>
        <xdr:cNvSpPr txBox="1"/>
      </xdr:nvSpPr>
      <xdr:spPr>
        <a:xfrm>
          <a:off x="8267700" y="41551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129</xdr:row>
      <xdr:rowOff>0</xdr:rowOff>
    </xdr:from>
    <xdr:ext cx="65" cy="172227"/>
    <xdr:sp macro="" textlink="">
      <xdr:nvSpPr>
        <xdr:cNvPr id="1206" name="TextBox 1205">
          <a:extLst>
            <a:ext uri="{FF2B5EF4-FFF2-40B4-BE49-F238E27FC236}">
              <a16:creationId xmlns:a16="http://schemas.microsoft.com/office/drawing/2014/main" id="{00000000-0008-0000-0000-000007000000}"/>
            </a:ext>
          </a:extLst>
        </xdr:cNvPr>
        <xdr:cNvSpPr txBox="1"/>
      </xdr:nvSpPr>
      <xdr:spPr>
        <a:xfrm>
          <a:off x="8267700" y="41551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130</xdr:row>
      <xdr:rowOff>0</xdr:rowOff>
    </xdr:from>
    <xdr:ext cx="65" cy="172227"/>
    <xdr:sp macro="" textlink="">
      <xdr:nvSpPr>
        <xdr:cNvPr id="1207" name="TextBox 1206">
          <a:extLst>
            <a:ext uri="{FF2B5EF4-FFF2-40B4-BE49-F238E27FC236}">
              <a16:creationId xmlns:a16="http://schemas.microsoft.com/office/drawing/2014/main" id="{00000000-0008-0000-0000-000007000000}"/>
            </a:ext>
          </a:extLst>
        </xdr:cNvPr>
        <xdr:cNvSpPr txBox="1"/>
      </xdr:nvSpPr>
      <xdr:spPr>
        <a:xfrm>
          <a:off x="8267700" y="41734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130</xdr:row>
      <xdr:rowOff>0</xdr:rowOff>
    </xdr:from>
    <xdr:ext cx="65" cy="172227"/>
    <xdr:sp macro="" textlink="">
      <xdr:nvSpPr>
        <xdr:cNvPr id="1208" name="TextBox 1207">
          <a:extLst>
            <a:ext uri="{FF2B5EF4-FFF2-40B4-BE49-F238E27FC236}">
              <a16:creationId xmlns:a16="http://schemas.microsoft.com/office/drawing/2014/main" id="{00000000-0008-0000-0000-000007000000}"/>
            </a:ext>
          </a:extLst>
        </xdr:cNvPr>
        <xdr:cNvSpPr txBox="1"/>
      </xdr:nvSpPr>
      <xdr:spPr>
        <a:xfrm>
          <a:off x="8267700" y="41734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131</xdr:row>
      <xdr:rowOff>0</xdr:rowOff>
    </xdr:from>
    <xdr:ext cx="65" cy="172227"/>
    <xdr:sp macro="" textlink="">
      <xdr:nvSpPr>
        <xdr:cNvPr id="1209" name="TextBox 1208">
          <a:extLst>
            <a:ext uri="{FF2B5EF4-FFF2-40B4-BE49-F238E27FC236}">
              <a16:creationId xmlns:a16="http://schemas.microsoft.com/office/drawing/2014/main" id="{00000000-0008-0000-0000-000007000000}"/>
            </a:ext>
          </a:extLst>
        </xdr:cNvPr>
        <xdr:cNvSpPr txBox="1"/>
      </xdr:nvSpPr>
      <xdr:spPr>
        <a:xfrm>
          <a:off x="8267700" y="41917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131</xdr:row>
      <xdr:rowOff>0</xdr:rowOff>
    </xdr:from>
    <xdr:ext cx="65" cy="172227"/>
    <xdr:sp macro="" textlink="">
      <xdr:nvSpPr>
        <xdr:cNvPr id="1210" name="TextBox 1209">
          <a:extLst>
            <a:ext uri="{FF2B5EF4-FFF2-40B4-BE49-F238E27FC236}">
              <a16:creationId xmlns:a16="http://schemas.microsoft.com/office/drawing/2014/main" id="{00000000-0008-0000-0000-000007000000}"/>
            </a:ext>
          </a:extLst>
        </xdr:cNvPr>
        <xdr:cNvSpPr txBox="1"/>
      </xdr:nvSpPr>
      <xdr:spPr>
        <a:xfrm>
          <a:off x="8267700" y="41917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132</xdr:row>
      <xdr:rowOff>0</xdr:rowOff>
    </xdr:from>
    <xdr:ext cx="65" cy="172227"/>
    <xdr:sp macro="" textlink="">
      <xdr:nvSpPr>
        <xdr:cNvPr id="1211" name="TextBox 1210">
          <a:extLst>
            <a:ext uri="{FF2B5EF4-FFF2-40B4-BE49-F238E27FC236}">
              <a16:creationId xmlns:a16="http://schemas.microsoft.com/office/drawing/2014/main" id="{00000000-0008-0000-0000-000007000000}"/>
            </a:ext>
          </a:extLst>
        </xdr:cNvPr>
        <xdr:cNvSpPr txBox="1"/>
      </xdr:nvSpPr>
      <xdr:spPr>
        <a:xfrm>
          <a:off x="8267700" y="4210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132</xdr:row>
      <xdr:rowOff>0</xdr:rowOff>
    </xdr:from>
    <xdr:ext cx="65" cy="172227"/>
    <xdr:sp macro="" textlink="">
      <xdr:nvSpPr>
        <xdr:cNvPr id="1212" name="TextBox 1211">
          <a:extLst>
            <a:ext uri="{FF2B5EF4-FFF2-40B4-BE49-F238E27FC236}">
              <a16:creationId xmlns:a16="http://schemas.microsoft.com/office/drawing/2014/main" id="{00000000-0008-0000-0000-000007000000}"/>
            </a:ext>
          </a:extLst>
        </xdr:cNvPr>
        <xdr:cNvSpPr txBox="1"/>
      </xdr:nvSpPr>
      <xdr:spPr>
        <a:xfrm>
          <a:off x="8267700" y="4210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133</xdr:row>
      <xdr:rowOff>0</xdr:rowOff>
    </xdr:from>
    <xdr:ext cx="65" cy="172227"/>
    <xdr:sp macro="" textlink="">
      <xdr:nvSpPr>
        <xdr:cNvPr id="1213" name="TextBox 1212">
          <a:extLst>
            <a:ext uri="{FF2B5EF4-FFF2-40B4-BE49-F238E27FC236}">
              <a16:creationId xmlns:a16="http://schemas.microsoft.com/office/drawing/2014/main" id="{00000000-0008-0000-0000-000007000000}"/>
            </a:ext>
          </a:extLst>
        </xdr:cNvPr>
        <xdr:cNvSpPr txBox="1"/>
      </xdr:nvSpPr>
      <xdr:spPr>
        <a:xfrm>
          <a:off x="8267700" y="4228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133</xdr:row>
      <xdr:rowOff>0</xdr:rowOff>
    </xdr:from>
    <xdr:ext cx="65" cy="172227"/>
    <xdr:sp macro="" textlink="">
      <xdr:nvSpPr>
        <xdr:cNvPr id="1214" name="TextBox 1213">
          <a:extLst>
            <a:ext uri="{FF2B5EF4-FFF2-40B4-BE49-F238E27FC236}">
              <a16:creationId xmlns:a16="http://schemas.microsoft.com/office/drawing/2014/main" id="{00000000-0008-0000-0000-000007000000}"/>
            </a:ext>
          </a:extLst>
        </xdr:cNvPr>
        <xdr:cNvSpPr txBox="1"/>
      </xdr:nvSpPr>
      <xdr:spPr>
        <a:xfrm>
          <a:off x="8267700" y="4228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215" name="TextBox 1214">
          <a:extLst>
            <a:ext uri="{FF2B5EF4-FFF2-40B4-BE49-F238E27FC236}">
              <a16:creationId xmlns:a16="http://schemas.microsoft.com/office/drawing/2014/main" id="{00000000-0008-0000-0000-000007000000}"/>
            </a:ext>
          </a:extLst>
        </xdr:cNvPr>
        <xdr:cNvSpPr txBox="1"/>
      </xdr:nvSpPr>
      <xdr:spPr>
        <a:xfrm>
          <a:off x="8267700" y="33642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216" name="TextBox 1215">
          <a:extLst>
            <a:ext uri="{FF2B5EF4-FFF2-40B4-BE49-F238E27FC236}">
              <a16:creationId xmlns:a16="http://schemas.microsoft.com/office/drawing/2014/main" id="{00000000-0008-0000-0000-000007000000}"/>
            </a:ext>
          </a:extLst>
        </xdr:cNvPr>
        <xdr:cNvSpPr txBox="1"/>
      </xdr:nvSpPr>
      <xdr:spPr>
        <a:xfrm>
          <a:off x="8267700" y="33642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1217" name="TextBox 1216">
          <a:extLst>
            <a:ext uri="{FF2B5EF4-FFF2-40B4-BE49-F238E27FC236}">
              <a16:creationId xmlns:a16="http://schemas.microsoft.com/office/drawing/2014/main" id="{00000000-0008-0000-0000-000007000000}"/>
            </a:ext>
          </a:extLst>
        </xdr:cNvPr>
        <xdr:cNvSpPr txBox="1"/>
      </xdr:nvSpPr>
      <xdr:spPr>
        <a:xfrm>
          <a:off x="8267700" y="33840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1218" name="TextBox 1217">
          <a:extLst>
            <a:ext uri="{FF2B5EF4-FFF2-40B4-BE49-F238E27FC236}">
              <a16:creationId xmlns:a16="http://schemas.microsoft.com/office/drawing/2014/main" id="{00000000-0008-0000-0000-000007000000}"/>
            </a:ext>
          </a:extLst>
        </xdr:cNvPr>
        <xdr:cNvSpPr txBox="1"/>
      </xdr:nvSpPr>
      <xdr:spPr>
        <a:xfrm>
          <a:off x="8267700" y="33840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88</xdr:row>
      <xdr:rowOff>0</xdr:rowOff>
    </xdr:from>
    <xdr:ext cx="65" cy="172227"/>
    <xdr:sp macro="" textlink="">
      <xdr:nvSpPr>
        <xdr:cNvPr id="1219" name="TextBox 1218">
          <a:extLst>
            <a:ext uri="{FF2B5EF4-FFF2-40B4-BE49-F238E27FC236}">
              <a16:creationId xmlns:a16="http://schemas.microsoft.com/office/drawing/2014/main" id="{00000000-0008-0000-0000-000007000000}"/>
            </a:ext>
          </a:extLst>
        </xdr:cNvPr>
        <xdr:cNvSpPr txBox="1"/>
      </xdr:nvSpPr>
      <xdr:spPr>
        <a:xfrm>
          <a:off x="8267700" y="3403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88</xdr:row>
      <xdr:rowOff>0</xdr:rowOff>
    </xdr:from>
    <xdr:ext cx="65" cy="172227"/>
    <xdr:sp macro="" textlink="">
      <xdr:nvSpPr>
        <xdr:cNvPr id="1220" name="TextBox 1219">
          <a:extLst>
            <a:ext uri="{FF2B5EF4-FFF2-40B4-BE49-F238E27FC236}">
              <a16:creationId xmlns:a16="http://schemas.microsoft.com/office/drawing/2014/main" id="{00000000-0008-0000-0000-000007000000}"/>
            </a:ext>
          </a:extLst>
        </xdr:cNvPr>
        <xdr:cNvSpPr txBox="1"/>
      </xdr:nvSpPr>
      <xdr:spPr>
        <a:xfrm>
          <a:off x="8267700" y="3403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88</xdr:row>
      <xdr:rowOff>0</xdr:rowOff>
    </xdr:from>
    <xdr:ext cx="65" cy="172227"/>
    <xdr:sp macro="" textlink="">
      <xdr:nvSpPr>
        <xdr:cNvPr id="1221" name="TextBox 1220">
          <a:extLst>
            <a:ext uri="{FF2B5EF4-FFF2-40B4-BE49-F238E27FC236}">
              <a16:creationId xmlns:a16="http://schemas.microsoft.com/office/drawing/2014/main" id="{00000000-0008-0000-0000-000007000000}"/>
            </a:ext>
          </a:extLst>
        </xdr:cNvPr>
        <xdr:cNvSpPr txBox="1"/>
      </xdr:nvSpPr>
      <xdr:spPr>
        <a:xfrm>
          <a:off x="8267700" y="3403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88</xdr:row>
      <xdr:rowOff>0</xdr:rowOff>
    </xdr:from>
    <xdr:ext cx="65" cy="172227"/>
    <xdr:sp macro="" textlink="">
      <xdr:nvSpPr>
        <xdr:cNvPr id="1222" name="TextBox 1221">
          <a:extLst>
            <a:ext uri="{FF2B5EF4-FFF2-40B4-BE49-F238E27FC236}">
              <a16:creationId xmlns:a16="http://schemas.microsoft.com/office/drawing/2014/main" id="{00000000-0008-0000-0000-000007000000}"/>
            </a:ext>
          </a:extLst>
        </xdr:cNvPr>
        <xdr:cNvSpPr txBox="1"/>
      </xdr:nvSpPr>
      <xdr:spPr>
        <a:xfrm>
          <a:off x="8267700" y="3403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1223" name="TextBox 1222">
          <a:extLst>
            <a:ext uri="{FF2B5EF4-FFF2-40B4-BE49-F238E27FC236}">
              <a16:creationId xmlns:a16="http://schemas.microsoft.com/office/drawing/2014/main" id="{00000000-0008-0000-0000-000007000000}"/>
            </a:ext>
          </a:extLst>
        </xdr:cNvPr>
        <xdr:cNvSpPr txBox="1"/>
      </xdr:nvSpPr>
      <xdr:spPr>
        <a:xfrm>
          <a:off x="8267700" y="33444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1224" name="TextBox 1223">
          <a:extLst>
            <a:ext uri="{FF2B5EF4-FFF2-40B4-BE49-F238E27FC236}">
              <a16:creationId xmlns:a16="http://schemas.microsoft.com/office/drawing/2014/main" id="{00000000-0008-0000-0000-000007000000}"/>
            </a:ext>
          </a:extLst>
        </xdr:cNvPr>
        <xdr:cNvSpPr txBox="1"/>
      </xdr:nvSpPr>
      <xdr:spPr>
        <a:xfrm>
          <a:off x="8267700" y="33444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225" name="TextBox 1224">
          <a:extLst>
            <a:ext uri="{FF2B5EF4-FFF2-40B4-BE49-F238E27FC236}">
              <a16:creationId xmlns:a16="http://schemas.microsoft.com/office/drawing/2014/main" id="{00000000-0008-0000-0000-000007000000}"/>
            </a:ext>
          </a:extLst>
        </xdr:cNvPr>
        <xdr:cNvSpPr txBox="1"/>
      </xdr:nvSpPr>
      <xdr:spPr>
        <a:xfrm>
          <a:off x="8267700" y="33642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226" name="TextBox 1225">
          <a:extLst>
            <a:ext uri="{FF2B5EF4-FFF2-40B4-BE49-F238E27FC236}">
              <a16:creationId xmlns:a16="http://schemas.microsoft.com/office/drawing/2014/main" id="{00000000-0008-0000-0000-000007000000}"/>
            </a:ext>
          </a:extLst>
        </xdr:cNvPr>
        <xdr:cNvSpPr txBox="1"/>
      </xdr:nvSpPr>
      <xdr:spPr>
        <a:xfrm>
          <a:off x="8267700" y="33642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227" name="TextBox 1226">
          <a:extLst>
            <a:ext uri="{FF2B5EF4-FFF2-40B4-BE49-F238E27FC236}">
              <a16:creationId xmlns:a16="http://schemas.microsoft.com/office/drawing/2014/main" id="{00000000-0008-0000-0000-000007000000}"/>
            </a:ext>
          </a:extLst>
        </xdr:cNvPr>
        <xdr:cNvSpPr txBox="1"/>
      </xdr:nvSpPr>
      <xdr:spPr>
        <a:xfrm>
          <a:off x="8267700" y="33642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228" name="TextBox 1227">
          <a:extLst>
            <a:ext uri="{FF2B5EF4-FFF2-40B4-BE49-F238E27FC236}">
              <a16:creationId xmlns:a16="http://schemas.microsoft.com/office/drawing/2014/main" id="{00000000-0008-0000-0000-000007000000}"/>
            </a:ext>
          </a:extLst>
        </xdr:cNvPr>
        <xdr:cNvSpPr txBox="1"/>
      </xdr:nvSpPr>
      <xdr:spPr>
        <a:xfrm>
          <a:off x="8267700" y="33642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1229" name="TextBox 1228">
          <a:extLst>
            <a:ext uri="{FF2B5EF4-FFF2-40B4-BE49-F238E27FC236}">
              <a16:creationId xmlns:a16="http://schemas.microsoft.com/office/drawing/2014/main" id="{00000000-0008-0000-0000-000007000000}"/>
            </a:ext>
          </a:extLst>
        </xdr:cNvPr>
        <xdr:cNvSpPr txBox="1"/>
      </xdr:nvSpPr>
      <xdr:spPr>
        <a:xfrm>
          <a:off x="8267700" y="33840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1230" name="TextBox 1229">
          <a:extLst>
            <a:ext uri="{FF2B5EF4-FFF2-40B4-BE49-F238E27FC236}">
              <a16:creationId xmlns:a16="http://schemas.microsoft.com/office/drawing/2014/main" id="{00000000-0008-0000-0000-000007000000}"/>
            </a:ext>
          </a:extLst>
        </xdr:cNvPr>
        <xdr:cNvSpPr txBox="1"/>
      </xdr:nvSpPr>
      <xdr:spPr>
        <a:xfrm>
          <a:off x="8267700" y="33840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1231" name="TextBox 1230">
          <a:extLst>
            <a:ext uri="{FF2B5EF4-FFF2-40B4-BE49-F238E27FC236}">
              <a16:creationId xmlns:a16="http://schemas.microsoft.com/office/drawing/2014/main" id="{00000000-0008-0000-0000-000007000000}"/>
            </a:ext>
          </a:extLst>
        </xdr:cNvPr>
        <xdr:cNvSpPr txBox="1"/>
      </xdr:nvSpPr>
      <xdr:spPr>
        <a:xfrm>
          <a:off x="8267700" y="33840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1232" name="TextBox 1231">
          <a:extLst>
            <a:ext uri="{FF2B5EF4-FFF2-40B4-BE49-F238E27FC236}">
              <a16:creationId xmlns:a16="http://schemas.microsoft.com/office/drawing/2014/main" id="{00000000-0008-0000-0000-000007000000}"/>
            </a:ext>
          </a:extLst>
        </xdr:cNvPr>
        <xdr:cNvSpPr txBox="1"/>
      </xdr:nvSpPr>
      <xdr:spPr>
        <a:xfrm>
          <a:off x="8267700" y="33840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1233" name="TextBox 1232">
          <a:extLst>
            <a:ext uri="{FF2B5EF4-FFF2-40B4-BE49-F238E27FC236}">
              <a16:creationId xmlns:a16="http://schemas.microsoft.com/office/drawing/2014/main" id="{00000000-0008-0000-0000-000007000000}"/>
            </a:ext>
          </a:extLst>
        </xdr:cNvPr>
        <xdr:cNvSpPr txBox="1"/>
      </xdr:nvSpPr>
      <xdr:spPr>
        <a:xfrm>
          <a:off x="8267700" y="33840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1234" name="TextBox 1233">
          <a:extLst>
            <a:ext uri="{FF2B5EF4-FFF2-40B4-BE49-F238E27FC236}">
              <a16:creationId xmlns:a16="http://schemas.microsoft.com/office/drawing/2014/main" id="{00000000-0008-0000-0000-000007000000}"/>
            </a:ext>
          </a:extLst>
        </xdr:cNvPr>
        <xdr:cNvSpPr txBox="1"/>
      </xdr:nvSpPr>
      <xdr:spPr>
        <a:xfrm>
          <a:off x="8267700" y="33840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1235" name="TextBox 1234">
          <a:extLst>
            <a:ext uri="{FF2B5EF4-FFF2-40B4-BE49-F238E27FC236}">
              <a16:creationId xmlns:a16="http://schemas.microsoft.com/office/drawing/2014/main" id="{00000000-0008-0000-0000-000007000000}"/>
            </a:ext>
          </a:extLst>
        </xdr:cNvPr>
        <xdr:cNvSpPr txBox="1"/>
      </xdr:nvSpPr>
      <xdr:spPr>
        <a:xfrm>
          <a:off x="8267700" y="33840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1236" name="TextBox 1235">
          <a:extLst>
            <a:ext uri="{FF2B5EF4-FFF2-40B4-BE49-F238E27FC236}">
              <a16:creationId xmlns:a16="http://schemas.microsoft.com/office/drawing/2014/main" id="{00000000-0008-0000-0000-000007000000}"/>
            </a:ext>
          </a:extLst>
        </xdr:cNvPr>
        <xdr:cNvSpPr txBox="1"/>
      </xdr:nvSpPr>
      <xdr:spPr>
        <a:xfrm>
          <a:off x="8267700" y="33840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1237" name="TextBox 1236">
          <a:extLst>
            <a:ext uri="{FF2B5EF4-FFF2-40B4-BE49-F238E27FC236}">
              <a16:creationId xmlns:a16="http://schemas.microsoft.com/office/drawing/2014/main" id="{00000000-0008-0000-0000-000007000000}"/>
            </a:ext>
          </a:extLst>
        </xdr:cNvPr>
        <xdr:cNvSpPr txBox="1"/>
      </xdr:nvSpPr>
      <xdr:spPr>
        <a:xfrm>
          <a:off x="8267700" y="33444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1238" name="TextBox 1237">
          <a:extLst>
            <a:ext uri="{FF2B5EF4-FFF2-40B4-BE49-F238E27FC236}">
              <a16:creationId xmlns:a16="http://schemas.microsoft.com/office/drawing/2014/main" id="{00000000-0008-0000-0000-000007000000}"/>
            </a:ext>
          </a:extLst>
        </xdr:cNvPr>
        <xdr:cNvSpPr txBox="1"/>
      </xdr:nvSpPr>
      <xdr:spPr>
        <a:xfrm>
          <a:off x="8267700" y="33444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1239" name="TextBox 1238">
          <a:extLst>
            <a:ext uri="{FF2B5EF4-FFF2-40B4-BE49-F238E27FC236}">
              <a16:creationId xmlns:a16="http://schemas.microsoft.com/office/drawing/2014/main" id="{00000000-0008-0000-0000-000007000000}"/>
            </a:ext>
          </a:extLst>
        </xdr:cNvPr>
        <xdr:cNvSpPr txBox="1"/>
      </xdr:nvSpPr>
      <xdr:spPr>
        <a:xfrm>
          <a:off x="8267700" y="33444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1240" name="TextBox 1239">
          <a:extLst>
            <a:ext uri="{FF2B5EF4-FFF2-40B4-BE49-F238E27FC236}">
              <a16:creationId xmlns:a16="http://schemas.microsoft.com/office/drawing/2014/main" id="{00000000-0008-0000-0000-000007000000}"/>
            </a:ext>
          </a:extLst>
        </xdr:cNvPr>
        <xdr:cNvSpPr txBox="1"/>
      </xdr:nvSpPr>
      <xdr:spPr>
        <a:xfrm>
          <a:off x="8267700" y="33444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84</xdr:row>
      <xdr:rowOff>0</xdr:rowOff>
    </xdr:from>
    <xdr:ext cx="65" cy="172227"/>
    <xdr:sp macro="" textlink="">
      <xdr:nvSpPr>
        <xdr:cNvPr id="1153" name="TextBox 1152">
          <a:extLst>
            <a:ext uri="{FF2B5EF4-FFF2-40B4-BE49-F238E27FC236}">
              <a16:creationId xmlns:a16="http://schemas.microsoft.com/office/drawing/2014/main" id="{00000000-0008-0000-0000-000007000000}"/>
            </a:ext>
          </a:extLst>
        </xdr:cNvPr>
        <xdr:cNvSpPr txBox="1"/>
      </xdr:nvSpPr>
      <xdr:spPr>
        <a:xfrm>
          <a:off x="8267700" y="33246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84</xdr:row>
      <xdr:rowOff>0</xdr:rowOff>
    </xdr:from>
    <xdr:ext cx="65" cy="172227"/>
    <xdr:sp macro="" textlink="">
      <xdr:nvSpPr>
        <xdr:cNvPr id="1246" name="TextBox 1245">
          <a:extLst>
            <a:ext uri="{FF2B5EF4-FFF2-40B4-BE49-F238E27FC236}">
              <a16:creationId xmlns:a16="http://schemas.microsoft.com/office/drawing/2014/main" id="{00000000-0008-0000-0000-000007000000}"/>
            </a:ext>
          </a:extLst>
        </xdr:cNvPr>
        <xdr:cNvSpPr txBox="1"/>
      </xdr:nvSpPr>
      <xdr:spPr>
        <a:xfrm>
          <a:off x="8267700" y="33246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1247" name="TextBox 1246">
          <a:extLst>
            <a:ext uri="{FF2B5EF4-FFF2-40B4-BE49-F238E27FC236}">
              <a16:creationId xmlns:a16="http://schemas.microsoft.com/office/drawing/2014/main" id="{00000000-0008-0000-0000-000007000000}"/>
            </a:ext>
          </a:extLst>
        </xdr:cNvPr>
        <xdr:cNvSpPr txBox="1"/>
      </xdr:nvSpPr>
      <xdr:spPr>
        <a:xfrm>
          <a:off x="8267700" y="33444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1248" name="TextBox 1247">
          <a:extLst>
            <a:ext uri="{FF2B5EF4-FFF2-40B4-BE49-F238E27FC236}">
              <a16:creationId xmlns:a16="http://schemas.microsoft.com/office/drawing/2014/main" id="{00000000-0008-0000-0000-000007000000}"/>
            </a:ext>
          </a:extLst>
        </xdr:cNvPr>
        <xdr:cNvSpPr txBox="1"/>
      </xdr:nvSpPr>
      <xdr:spPr>
        <a:xfrm>
          <a:off x="8267700" y="33444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249" name="TextBox 1248">
          <a:extLst>
            <a:ext uri="{FF2B5EF4-FFF2-40B4-BE49-F238E27FC236}">
              <a16:creationId xmlns:a16="http://schemas.microsoft.com/office/drawing/2014/main" id="{00000000-0008-0000-0000-000007000000}"/>
            </a:ext>
          </a:extLst>
        </xdr:cNvPr>
        <xdr:cNvSpPr txBox="1"/>
      </xdr:nvSpPr>
      <xdr:spPr>
        <a:xfrm>
          <a:off x="8267700" y="33642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250" name="TextBox 1249">
          <a:extLst>
            <a:ext uri="{FF2B5EF4-FFF2-40B4-BE49-F238E27FC236}">
              <a16:creationId xmlns:a16="http://schemas.microsoft.com/office/drawing/2014/main" id="{00000000-0008-0000-0000-000007000000}"/>
            </a:ext>
          </a:extLst>
        </xdr:cNvPr>
        <xdr:cNvSpPr txBox="1"/>
      </xdr:nvSpPr>
      <xdr:spPr>
        <a:xfrm>
          <a:off x="8267700" y="33642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1251" name="TextBox 1250">
          <a:extLst>
            <a:ext uri="{FF2B5EF4-FFF2-40B4-BE49-F238E27FC236}">
              <a16:creationId xmlns:a16="http://schemas.microsoft.com/office/drawing/2014/main" id="{00000000-0008-0000-0000-000007000000}"/>
            </a:ext>
          </a:extLst>
        </xdr:cNvPr>
        <xdr:cNvSpPr txBox="1"/>
      </xdr:nvSpPr>
      <xdr:spPr>
        <a:xfrm>
          <a:off x="8267700" y="33840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1252" name="TextBox 1251">
          <a:extLst>
            <a:ext uri="{FF2B5EF4-FFF2-40B4-BE49-F238E27FC236}">
              <a16:creationId xmlns:a16="http://schemas.microsoft.com/office/drawing/2014/main" id="{00000000-0008-0000-0000-000007000000}"/>
            </a:ext>
          </a:extLst>
        </xdr:cNvPr>
        <xdr:cNvSpPr txBox="1"/>
      </xdr:nvSpPr>
      <xdr:spPr>
        <a:xfrm>
          <a:off x="8267700" y="33840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88</xdr:row>
      <xdr:rowOff>0</xdr:rowOff>
    </xdr:from>
    <xdr:ext cx="65" cy="172227"/>
    <xdr:sp macro="" textlink="">
      <xdr:nvSpPr>
        <xdr:cNvPr id="1253" name="TextBox 1252">
          <a:extLst>
            <a:ext uri="{FF2B5EF4-FFF2-40B4-BE49-F238E27FC236}">
              <a16:creationId xmlns:a16="http://schemas.microsoft.com/office/drawing/2014/main" id="{00000000-0008-0000-0000-000007000000}"/>
            </a:ext>
          </a:extLst>
        </xdr:cNvPr>
        <xdr:cNvSpPr txBox="1"/>
      </xdr:nvSpPr>
      <xdr:spPr>
        <a:xfrm>
          <a:off x="8267700" y="3403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88</xdr:row>
      <xdr:rowOff>0</xdr:rowOff>
    </xdr:from>
    <xdr:ext cx="65" cy="172227"/>
    <xdr:sp macro="" textlink="">
      <xdr:nvSpPr>
        <xdr:cNvPr id="1254" name="TextBox 1253">
          <a:extLst>
            <a:ext uri="{FF2B5EF4-FFF2-40B4-BE49-F238E27FC236}">
              <a16:creationId xmlns:a16="http://schemas.microsoft.com/office/drawing/2014/main" id="{00000000-0008-0000-0000-000007000000}"/>
            </a:ext>
          </a:extLst>
        </xdr:cNvPr>
        <xdr:cNvSpPr txBox="1"/>
      </xdr:nvSpPr>
      <xdr:spPr>
        <a:xfrm>
          <a:off x="8267700" y="3403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89</xdr:row>
      <xdr:rowOff>0</xdr:rowOff>
    </xdr:from>
    <xdr:ext cx="65" cy="172227"/>
    <xdr:sp macro="" textlink="">
      <xdr:nvSpPr>
        <xdr:cNvPr id="1255" name="TextBox 1254">
          <a:extLst>
            <a:ext uri="{FF2B5EF4-FFF2-40B4-BE49-F238E27FC236}">
              <a16:creationId xmlns:a16="http://schemas.microsoft.com/office/drawing/2014/main" id="{00000000-0008-0000-0000-000007000000}"/>
            </a:ext>
          </a:extLst>
        </xdr:cNvPr>
        <xdr:cNvSpPr txBox="1"/>
      </xdr:nvSpPr>
      <xdr:spPr>
        <a:xfrm>
          <a:off x="8267700" y="34236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89</xdr:row>
      <xdr:rowOff>0</xdr:rowOff>
    </xdr:from>
    <xdr:ext cx="65" cy="172227"/>
    <xdr:sp macro="" textlink="">
      <xdr:nvSpPr>
        <xdr:cNvPr id="1256" name="TextBox 1255">
          <a:extLst>
            <a:ext uri="{FF2B5EF4-FFF2-40B4-BE49-F238E27FC236}">
              <a16:creationId xmlns:a16="http://schemas.microsoft.com/office/drawing/2014/main" id="{00000000-0008-0000-0000-000007000000}"/>
            </a:ext>
          </a:extLst>
        </xdr:cNvPr>
        <xdr:cNvSpPr txBox="1"/>
      </xdr:nvSpPr>
      <xdr:spPr>
        <a:xfrm>
          <a:off x="8267700" y="34236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90</xdr:row>
      <xdr:rowOff>0</xdr:rowOff>
    </xdr:from>
    <xdr:ext cx="65" cy="172227"/>
    <xdr:sp macro="" textlink="">
      <xdr:nvSpPr>
        <xdr:cNvPr id="1257" name="TextBox 1256">
          <a:extLst>
            <a:ext uri="{FF2B5EF4-FFF2-40B4-BE49-F238E27FC236}">
              <a16:creationId xmlns:a16="http://schemas.microsoft.com/office/drawing/2014/main" id="{00000000-0008-0000-0000-000007000000}"/>
            </a:ext>
          </a:extLst>
        </xdr:cNvPr>
        <xdr:cNvSpPr txBox="1"/>
      </xdr:nvSpPr>
      <xdr:spPr>
        <a:xfrm>
          <a:off x="8267700" y="34419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90</xdr:row>
      <xdr:rowOff>0</xdr:rowOff>
    </xdr:from>
    <xdr:ext cx="65" cy="172227"/>
    <xdr:sp macro="" textlink="">
      <xdr:nvSpPr>
        <xdr:cNvPr id="1258" name="TextBox 1257">
          <a:extLst>
            <a:ext uri="{FF2B5EF4-FFF2-40B4-BE49-F238E27FC236}">
              <a16:creationId xmlns:a16="http://schemas.microsoft.com/office/drawing/2014/main" id="{00000000-0008-0000-0000-000007000000}"/>
            </a:ext>
          </a:extLst>
        </xdr:cNvPr>
        <xdr:cNvSpPr txBox="1"/>
      </xdr:nvSpPr>
      <xdr:spPr>
        <a:xfrm>
          <a:off x="8267700" y="34419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91</xdr:row>
      <xdr:rowOff>0</xdr:rowOff>
    </xdr:from>
    <xdr:ext cx="65" cy="172227"/>
    <xdr:sp macro="" textlink="">
      <xdr:nvSpPr>
        <xdr:cNvPr id="1259" name="TextBox 1258">
          <a:extLst>
            <a:ext uri="{FF2B5EF4-FFF2-40B4-BE49-F238E27FC236}">
              <a16:creationId xmlns:a16="http://schemas.microsoft.com/office/drawing/2014/main" id="{00000000-0008-0000-0000-000007000000}"/>
            </a:ext>
          </a:extLst>
        </xdr:cNvPr>
        <xdr:cNvSpPr txBox="1"/>
      </xdr:nvSpPr>
      <xdr:spPr>
        <a:xfrm>
          <a:off x="8267700" y="34602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91</xdr:row>
      <xdr:rowOff>0</xdr:rowOff>
    </xdr:from>
    <xdr:ext cx="65" cy="172227"/>
    <xdr:sp macro="" textlink="">
      <xdr:nvSpPr>
        <xdr:cNvPr id="1260" name="TextBox 1259">
          <a:extLst>
            <a:ext uri="{FF2B5EF4-FFF2-40B4-BE49-F238E27FC236}">
              <a16:creationId xmlns:a16="http://schemas.microsoft.com/office/drawing/2014/main" id="{00000000-0008-0000-0000-000007000000}"/>
            </a:ext>
          </a:extLst>
        </xdr:cNvPr>
        <xdr:cNvSpPr txBox="1"/>
      </xdr:nvSpPr>
      <xdr:spPr>
        <a:xfrm>
          <a:off x="8267700" y="34602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92</xdr:row>
      <xdr:rowOff>0</xdr:rowOff>
    </xdr:from>
    <xdr:ext cx="65" cy="172227"/>
    <xdr:sp macro="" textlink="">
      <xdr:nvSpPr>
        <xdr:cNvPr id="1261" name="TextBox 1260">
          <a:extLst>
            <a:ext uri="{FF2B5EF4-FFF2-40B4-BE49-F238E27FC236}">
              <a16:creationId xmlns:a16="http://schemas.microsoft.com/office/drawing/2014/main" id="{00000000-0008-0000-0000-000007000000}"/>
            </a:ext>
          </a:extLst>
        </xdr:cNvPr>
        <xdr:cNvSpPr txBox="1"/>
      </xdr:nvSpPr>
      <xdr:spPr>
        <a:xfrm>
          <a:off x="8267700" y="34785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92</xdr:row>
      <xdr:rowOff>0</xdr:rowOff>
    </xdr:from>
    <xdr:ext cx="65" cy="172227"/>
    <xdr:sp macro="" textlink="">
      <xdr:nvSpPr>
        <xdr:cNvPr id="1262" name="TextBox 1261">
          <a:extLst>
            <a:ext uri="{FF2B5EF4-FFF2-40B4-BE49-F238E27FC236}">
              <a16:creationId xmlns:a16="http://schemas.microsoft.com/office/drawing/2014/main" id="{00000000-0008-0000-0000-000007000000}"/>
            </a:ext>
          </a:extLst>
        </xdr:cNvPr>
        <xdr:cNvSpPr txBox="1"/>
      </xdr:nvSpPr>
      <xdr:spPr>
        <a:xfrm>
          <a:off x="8267700" y="34785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93</xdr:row>
      <xdr:rowOff>0</xdr:rowOff>
    </xdr:from>
    <xdr:ext cx="65" cy="172227"/>
    <xdr:sp macro="" textlink="">
      <xdr:nvSpPr>
        <xdr:cNvPr id="1263" name="TextBox 1262">
          <a:extLst>
            <a:ext uri="{FF2B5EF4-FFF2-40B4-BE49-F238E27FC236}">
              <a16:creationId xmlns:a16="http://schemas.microsoft.com/office/drawing/2014/main" id="{00000000-0008-0000-0000-000007000000}"/>
            </a:ext>
          </a:extLst>
        </xdr:cNvPr>
        <xdr:cNvSpPr txBox="1"/>
      </xdr:nvSpPr>
      <xdr:spPr>
        <a:xfrm>
          <a:off x="8267700" y="34968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93</xdr:row>
      <xdr:rowOff>0</xdr:rowOff>
    </xdr:from>
    <xdr:ext cx="65" cy="172227"/>
    <xdr:sp macro="" textlink="">
      <xdr:nvSpPr>
        <xdr:cNvPr id="1264" name="TextBox 1263">
          <a:extLst>
            <a:ext uri="{FF2B5EF4-FFF2-40B4-BE49-F238E27FC236}">
              <a16:creationId xmlns:a16="http://schemas.microsoft.com/office/drawing/2014/main" id="{00000000-0008-0000-0000-000007000000}"/>
            </a:ext>
          </a:extLst>
        </xdr:cNvPr>
        <xdr:cNvSpPr txBox="1"/>
      </xdr:nvSpPr>
      <xdr:spPr>
        <a:xfrm>
          <a:off x="8267700" y="34968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99</xdr:row>
      <xdr:rowOff>0</xdr:rowOff>
    </xdr:from>
    <xdr:ext cx="65" cy="172227"/>
    <xdr:sp macro="" textlink="">
      <xdr:nvSpPr>
        <xdr:cNvPr id="1265" name="TextBox 1264">
          <a:extLst>
            <a:ext uri="{FF2B5EF4-FFF2-40B4-BE49-F238E27FC236}">
              <a16:creationId xmlns:a16="http://schemas.microsoft.com/office/drawing/2014/main" id="{00000000-0008-0000-0000-000007000000}"/>
            </a:ext>
          </a:extLst>
        </xdr:cNvPr>
        <xdr:cNvSpPr txBox="1"/>
      </xdr:nvSpPr>
      <xdr:spPr>
        <a:xfrm>
          <a:off x="8267700" y="36065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99</xdr:row>
      <xdr:rowOff>0</xdr:rowOff>
    </xdr:from>
    <xdr:ext cx="65" cy="172227"/>
    <xdr:sp macro="" textlink="">
      <xdr:nvSpPr>
        <xdr:cNvPr id="1266" name="TextBox 1265">
          <a:extLst>
            <a:ext uri="{FF2B5EF4-FFF2-40B4-BE49-F238E27FC236}">
              <a16:creationId xmlns:a16="http://schemas.microsoft.com/office/drawing/2014/main" id="{00000000-0008-0000-0000-000007000000}"/>
            </a:ext>
          </a:extLst>
        </xdr:cNvPr>
        <xdr:cNvSpPr txBox="1"/>
      </xdr:nvSpPr>
      <xdr:spPr>
        <a:xfrm>
          <a:off x="8267700" y="36065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100</xdr:row>
      <xdr:rowOff>0</xdr:rowOff>
    </xdr:from>
    <xdr:ext cx="65" cy="172227"/>
    <xdr:sp macro="" textlink="">
      <xdr:nvSpPr>
        <xdr:cNvPr id="1267" name="TextBox 1266">
          <a:extLst>
            <a:ext uri="{FF2B5EF4-FFF2-40B4-BE49-F238E27FC236}">
              <a16:creationId xmlns:a16="http://schemas.microsoft.com/office/drawing/2014/main" id="{00000000-0008-0000-0000-000007000000}"/>
            </a:ext>
          </a:extLst>
        </xdr:cNvPr>
        <xdr:cNvSpPr txBox="1"/>
      </xdr:nvSpPr>
      <xdr:spPr>
        <a:xfrm>
          <a:off x="8267700" y="36248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100</xdr:row>
      <xdr:rowOff>0</xdr:rowOff>
    </xdr:from>
    <xdr:ext cx="65" cy="172227"/>
    <xdr:sp macro="" textlink="">
      <xdr:nvSpPr>
        <xdr:cNvPr id="1268" name="TextBox 1267">
          <a:extLst>
            <a:ext uri="{FF2B5EF4-FFF2-40B4-BE49-F238E27FC236}">
              <a16:creationId xmlns:a16="http://schemas.microsoft.com/office/drawing/2014/main" id="{00000000-0008-0000-0000-000007000000}"/>
            </a:ext>
          </a:extLst>
        </xdr:cNvPr>
        <xdr:cNvSpPr txBox="1"/>
      </xdr:nvSpPr>
      <xdr:spPr>
        <a:xfrm>
          <a:off x="8267700" y="36248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101</xdr:row>
      <xdr:rowOff>0</xdr:rowOff>
    </xdr:from>
    <xdr:ext cx="65" cy="172227"/>
    <xdr:sp macro="" textlink="">
      <xdr:nvSpPr>
        <xdr:cNvPr id="1269" name="TextBox 1268">
          <a:extLst>
            <a:ext uri="{FF2B5EF4-FFF2-40B4-BE49-F238E27FC236}">
              <a16:creationId xmlns:a16="http://schemas.microsoft.com/office/drawing/2014/main" id="{00000000-0008-0000-0000-000007000000}"/>
            </a:ext>
          </a:extLst>
        </xdr:cNvPr>
        <xdr:cNvSpPr txBox="1"/>
      </xdr:nvSpPr>
      <xdr:spPr>
        <a:xfrm>
          <a:off x="8267700" y="36431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101</xdr:row>
      <xdr:rowOff>0</xdr:rowOff>
    </xdr:from>
    <xdr:ext cx="65" cy="172227"/>
    <xdr:sp macro="" textlink="">
      <xdr:nvSpPr>
        <xdr:cNvPr id="1270" name="TextBox 1269">
          <a:extLst>
            <a:ext uri="{FF2B5EF4-FFF2-40B4-BE49-F238E27FC236}">
              <a16:creationId xmlns:a16="http://schemas.microsoft.com/office/drawing/2014/main" id="{00000000-0008-0000-0000-000007000000}"/>
            </a:ext>
          </a:extLst>
        </xdr:cNvPr>
        <xdr:cNvSpPr txBox="1"/>
      </xdr:nvSpPr>
      <xdr:spPr>
        <a:xfrm>
          <a:off x="8267700" y="36431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102</xdr:row>
      <xdr:rowOff>0</xdr:rowOff>
    </xdr:from>
    <xdr:ext cx="65" cy="172227"/>
    <xdr:sp macro="" textlink="">
      <xdr:nvSpPr>
        <xdr:cNvPr id="1271" name="TextBox 1270">
          <a:extLst>
            <a:ext uri="{FF2B5EF4-FFF2-40B4-BE49-F238E27FC236}">
              <a16:creationId xmlns:a16="http://schemas.microsoft.com/office/drawing/2014/main" id="{00000000-0008-0000-0000-000007000000}"/>
            </a:ext>
          </a:extLst>
        </xdr:cNvPr>
        <xdr:cNvSpPr txBox="1"/>
      </xdr:nvSpPr>
      <xdr:spPr>
        <a:xfrm>
          <a:off x="8267700" y="36614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102</xdr:row>
      <xdr:rowOff>0</xdr:rowOff>
    </xdr:from>
    <xdr:ext cx="65" cy="172227"/>
    <xdr:sp macro="" textlink="">
      <xdr:nvSpPr>
        <xdr:cNvPr id="1272" name="TextBox 1271">
          <a:extLst>
            <a:ext uri="{FF2B5EF4-FFF2-40B4-BE49-F238E27FC236}">
              <a16:creationId xmlns:a16="http://schemas.microsoft.com/office/drawing/2014/main" id="{00000000-0008-0000-0000-000007000000}"/>
            </a:ext>
          </a:extLst>
        </xdr:cNvPr>
        <xdr:cNvSpPr txBox="1"/>
      </xdr:nvSpPr>
      <xdr:spPr>
        <a:xfrm>
          <a:off x="8267700" y="36614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103</xdr:row>
      <xdr:rowOff>0</xdr:rowOff>
    </xdr:from>
    <xdr:ext cx="65" cy="172227"/>
    <xdr:sp macro="" textlink="">
      <xdr:nvSpPr>
        <xdr:cNvPr id="1273" name="TextBox 1272">
          <a:extLst>
            <a:ext uri="{FF2B5EF4-FFF2-40B4-BE49-F238E27FC236}">
              <a16:creationId xmlns:a16="http://schemas.microsoft.com/office/drawing/2014/main" id="{00000000-0008-0000-0000-000007000000}"/>
            </a:ext>
          </a:extLst>
        </xdr:cNvPr>
        <xdr:cNvSpPr txBox="1"/>
      </xdr:nvSpPr>
      <xdr:spPr>
        <a:xfrm>
          <a:off x="8267700" y="36796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103</xdr:row>
      <xdr:rowOff>0</xdr:rowOff>
    </xdr:from>
    <xdr:ext cx="65" cy="172227"/>
    <xdr:sp macro="" textlink="">
      <xdr:nvSpPr>
        <xdr:cNvPr id="1274" name="TextBox 1273">
          <a:extLst>
            <a:ext uri="{FF2B5EF4-FFF2-40B4-BE49-F238E27FC236}">
              <a16:creationId xmlns:a16="http://schemas.microsoft.com/office/drawing/2014/main" id="{00000000-0008-0000-0000-000007000000}"/>
            </a:ext>
          </a:extLst>
        </xdr:cNvPr>
        <xdr:cNvSpPr txBox="1"/>
      </xdr:nvSpPr>
      <xdr:spPr>
        <a:xfrm>
          <a:off x="8267700" y="36796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109</xdr:row>
      <xdr:rowOff>0</xdr:rowOff>
    </xdr:from>
    <xdr:ext cx="65" cy="172227"/>
    <xdr:sp macro="" textlink="">
      <xdr:nvSpPr>
        <xdr:cNvPr id="1275" name="TextBox 1274">
          <a:extLst>
            <a:ext uri="{FF2B5EF4-FFF2-40B4-BE49-F238E27FC236}">
              <a16:creationId xmlns:a16="http://schemas.microsoft.com/office/drawing/2014/main" id="{00000000-0008-0000-0000-000007000000}"/>
            </a:ext>
          </a:extLst>
        </xdr:cNvPr>
        <xdr:cNvSpPr txBox="1"/>
      </xdr:nvSpPr>
      <xdr:spPr>
        <a:xfrm>
          <a:off x="8267700" y="3789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109</xdr:row>
      <xdr:rowOff>0</xdr:rowOff>
    </xdr:from>
    <xdr:ext cx="65" cy="172227"/>
    <xdr:sp macro="" textlink="">
      <xdr:nvSpPr>
        <xdr:cNvPr id="1276" name="TextBox 1275">
          <a:extLst>
            <a:ext uri="{FF2B5EF4-FFF2-40B4-BE49-F238E27FC236}">
              <a16:creationId xmlns:a16="http://schemas.microsoft.com/office/drawing/2014/main" id="{00000000-0008-0000-0000-000007000000}"/>
            </a:ext>
          </a:extLst>
        </xdr:cNvPr>
        <xdr:cNvSpPr txBox="1"/>
      </xdr:nvSpPr>
      <xdr:spPr>
        <a:xfrm>
          <a:off x="8267700" y="3789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110</xdr:row>
      <xdr:rowOff>0</xdr:rowOff>
    </xdr:from>
    <xdr:ext cx="65" cy="172227"/>
    <xdr:sp macro="" textlink="">
      <xdr:nvSpPr>
        <xdr:cNvPr id="1277" name="TextBox 1276">
          <a:extLst>
            <a:ext uri="{FF2B5EF4-FFF2-40B4-BE49-F238E27FC236}">
              <a16:creationId xmlns:a16="http://schemas.microsoft.com/office/drawing/2014/main" id="{00000000-0008-0000-0000-000007000000}"/>
            </a:ext>
          </a:extLst>
        </xdr:cNvPr>
        <xdr:cNvSpPr txBox="1"/>
      </xdr:nvSpPr>
      <xdr:spPr>
        <a:xfrm>
          <a:off x="8267700" y="3807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110</xdr:row>
      <xdr:rowOff>0</xdr:rowOff>
    </xdr:from>
    <xdr:ext cx="65" cy="172227"/>
    <xdr:sp macro="" textlink="">
      <xdr:nvSpPr>
        <xdr:cNvPr id="1278" name="TextBox 1277">
          <a:extLst>
            <a:ext uri="{FF2B5EF4-FFF2-40B4-BE49-F238E27FC236}">
              <a16:creationId xmlns:a16="http://schemas.microsoft.com/office/drawing/2014/main" id="{00000000-0008-0000-0000-000007000000}"/>
            </a:ext>
          </a:extLst>
        </xdr:cNvPr>
        <xdr:cNvSpPr txBox="1"/>
      </xdr:nvSpPr>
      <xdr:spPr>
        <a:xfrm>
          <a:off x="8267700" y="3807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111</xdr:row>
      <xdr:rowOff>0</xdr:rowOff>
    </xdr:from>
    <xdr:ext cx="65" cy="172227"/>
    <xdr:sp macro="" textlink="">
      <xdr:nvSpPr>
        <xdr:cNvPr id="1279" name="TextBox 1278">
          <a:extLst>
            <a:ext uri="{FF2B5EF4-FFF2-40B4-BE49-F238E27FC236}">
              <a16:creationId xmlns:a16="http://schemas.microsoft.com/office/drawing/2014/main" id="{00000000-0008-0000-0000-000007000000}"/>
            </a:ext>
          </a:extLst>
        </xdr:cNvPr>
        <xdr:cNvSpPr txBox="1"/>
      </xdr:nvSpPr>
      <xdr:spPr>
        <a:xfrm>
          <a:off x="8267700" y="3826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111</xdr:row>
      <xdr:rowOff>0</xdr:rowOff>
    </xdr:from>
    <xdr:ext cx="65" cy="172227"/>
    <xdr:sp macro="" textlink="">
      <xdr:nvSpPr>
        <xdr:cNvPr id="1280" name="TextBox 1279">
          <a:extLst>
            <a:ext uri="{FF2B5EF4-FFF2-40B4-BE49-F238E27FC236}">
              <a16:creationId xmlns:a16="http://schemas.microsoft.com/office/drawing/2014/main" id="{00000000-0008-0000-0000-000007000000}"/>
            </a:ext>
          </a:extLst>
        </xdr:cNvPr>
        <xdr:cNvSpPr txBox="1"/>
      </xdr:nvSpPr>
      <xdr:spPr>
        <a:xfrm>
          <a:off x="8267700" y="3826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112</xdr:row>
      <xdr:rowOff>0</xdr:rowOff>
    </xdr:from>
    <xdr:ext cx="65" cy="172227"/>
    <xdr:sp macro="" textlink="">
      <xdr:nvSpPr>
        <xdr:cNvPr id="1281" name="TextBox 1280">
          <a:extLst>
            <a:ext uri="{FF2B5EF4-FFF2-40B4-BE49-F238E27FC236}">
              <a16:creationId xmlns:a16="http://schemas.microsoft.com/office/drawing/2014/main" id="{00000000-0008-0000-0000-000007000000}"/>
            </a:ext>
          </a:extLst>
        </xdr:cNvPr>
        <xdr:cNvSpPr txBox="1"/>
      </xdr:nvSpPr>
      <xdr:spPr>
        <a:xfrm>
          <a:off x="8267700" y="38442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112</xdr:row>
      <xdr:rowOff>0</xdr:rowOff>
    </xdr:from>
    <xdr:ext cx="65" cy="172227"/>
    <xdr:sp macro="" textlink="">
      <xdr:nvSpPr>
        <xdr:cNvPr id="1282" name="TextBox 1281">
          <a:extLst>
            <a:ext uri="{FF2B5EF4-FFF2-40B4-BE49-F238E27FC236}">
              <a16:creationId xmlns:a16="http://schemas.microsoft.com/office/drawing/2014/main" id="{00000000-0008-0000-0000-000007000000}"/>
            </a:ext>
          </a:extLst>
        </xdr:cNvPr>
        <xdr:cNvSpPr txBox="1"/>
      </xdr:nvSpPr>
      <xdr:spPr>
        <a:xfrm>
          <a:off x="8267700" y="38442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113</xdr:row>
      <xdr:rowOff>0</xdr:rowOff>
    </xdr:from>
    <xdr:ext cx="65" cy="172227"/>
    <xdr:sp macro="" textlink="">
      <xdr:nvSpPr>
        <xdr:cNvPr id="1283" name="TextBox 1282">
          <a:extLst>
            <a:ext uri="{FF2B5EF4-FFF2-40B4-BE49-F238E27FC236}">
              <a16:creationId xmlns:a16="http://schemas.microsoft.com/office/drawing/2014/main" id="{00000000-0008-0000-0000-000007000000}"/>
            </a:ext>
          </a:extLst>
        </xdr:cNvPr>
        <xdr:cNvSpPr txBox="1"/>
      </xdr:nvSpPr>
      <xdr:spPr>
        <a:xfrm>
          <a:off x="8267700" y="38625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113</xdr:row>
      <xdr:rowOff>0</xdr:rowOff>
    </xdr:from>
    <xdr:ext cx="65" cy="172227"/>
    <xdr:sp macro="" textlink="">
      <xdr:nvSpPr>
        <xdr:cNvPr id="1284" name="TextBox 1283">
          <a:extLst>
            <a:ext uri="{FF2B5EF4-FFF2-40B4-BE49-F238E27FC236}">
              <a16:creationId xmlns:a16="http://schemas.microsoft.com/office/drawing/2014/main" id="{00000000-0008-0000-0000-000007000000}"/>
            </a:ext>
          </a:extLst>
        </xdr:cNvPr>
        <xdr:cNvSpPr txBox="1"/>
      </xdr:nvSpPr>
      <xdr:spPr>
        <a:xfrm>
          <a:off x="8267700" y="38625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119</xdr:row>
      <xdr:rowOff>0</xdr:rowOff>
    </xdr:from>
    <xdr:ext cx="65" cy="172227"/>
    <xdr:sp macro="" textlink="">
      <xdr:nvSpPr>
        <xdr:cNvPr id="1285" name="TextBox 1284">
          <a:extLst>
            <a:ext uri="{FF2B5EF4-FFF2-40B4-BE49-F238E27FC236}">
              <a16:creationId xmlns:a16="http://schemas.microsoft.com/office/drawing/2014/main" id="{00000000-0008-0000-0000-000007000000}"/>
            </a:ext>
          </a:extLst>
        </xdr:cNvPr>
        <xdr:cNvSpPr txBox="1"/>
      </xdr:nvSpPr>
      <xdr:spPr>
        <a:xfrm>
          <a:off x="8267700" y="39723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119</xdr:row>
      <xdr:rowOff>0</xdr:rowOff>
    </xdr:from>
    <xdr:ext cx="65" cy="172227"/>
    <xdr:sp macro="" textlink="">
      <xdr:nvSpPr>
        <xdr:cNvPr id="1286" name="TextBox 1285">
          <a:extLst>
            <a:ext uri="{FF2B5EF4-FFF2-40B4-BE49-F238E27FC236}">
              <a16:creationId xmlns:a16="http://schemas.microsoft.com/office/drawing/2014/main" id="{00000000-0008-0000-0000-000007000000}"/>
            </a:ext>
          </a:extLst>
        </xdr:cNvPr>
        <xdr:cNvSpPr txBox="1"/>
      </xdr:nvSpPr>
      <xdr:spPr>
        <a:xfrm>
          <a:off x="8267700" y="39723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120</xdr:row>
      <xdr:rowOff>0</xdr:rowOff>
    </xdr:from>
    <xdr:ext cx="65" cy="172227"/>
    <xdr:sp macro="" textlink="">
      <xdr:nvSpPr>
        <xdr:cNvPr id="1287" name="TextBox 1286">
          <a:extLst>
            <a:ext uri="{FF2B5EF4-FFF2-40B4-BE49-F238E27FC236}">
              <a16:creationId xmlns:a16="http://schemas.microsoft.com/office/drawing/2014/main" id="{00000000-0008-0000-0000-000007000000}"/>
            </a:ext>
          </a:extLst>
        </xdr:cNvPr>
        <xdr:cNvSpPr txBox="1"/>
      </xdr:nvSpPr>
      <xdr:spPr>
        <a:xfrm>
          <a:off x="8267700" y="39905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120</xdr:row>
      <xdr:rowOff>0</xdr:rowOff>
    </xdr:from>
    <xdr:ext cx="65" cy="172227"/>
    <xdr:sp macro="" textlink="">
      <xdr:nvSpPr>
        <xdr:cNvPr id="1288" name="TextBox 1287">
          <a:extLst>
            <a:ext uri="{FF2B5EF4-FFF2-40B4-BE49-F238E27FC236}">
              <a16:creationId xmlns:a16="http://schemas.microsoft.com/office/drawing/2014/main" id="{00000000-0008-0000-0000-000007000000}"/>
            </a:ext>
          </a:extLst>
        </xdr:cNvPr>
        <xdr:cNvSpPr txBox="1"/>
      </xdr:nvSpPr>
      <xdr:spPr>
        <a:xfrm>
          <a:off x="8267700" y="39905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121</xdr:row>
      <xdr:rowOff>0</xdr:rowOff>
    </xdr:from>
    <xdr:ext cx="65" cy="172227"/>
    <xdr:sp macro="" textlink="">
      <xdr:nvSpPr>
        <xdr:cNvPr id="1289" name="TextBox 1288">
          <a:extLst>
            <a:ext uri="{FF2B5EF4-FFF2-40B4-BE49-F238E27FC236}">
              <a16:creationId xmlns:a16="http://schemas.microsoft.com/office/drawing/2014/main" id="{00000000-0008-0000-0000-000007000000}"/>
            </a:ext>
          </a:extLst>
        </xdr:cNvPr>
        <xdr:cNvSpPr txBox="1"/>
      </xdr:nvSpPr>
      <xdr:spPr>
        <a:xfrm>
          <a:off x="8267700" y="40088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121</xdr:row>
      <xdr:rowOff>0</xdr:rowOff>
    </xdr:from>
    <xdr:ext cx="65" cy="172227"/>
    <xdr:sp macro="" textlink="">
      <xdr:nvSpPr>
        <xdr:cNvPr id="1290" name="TextBox 1289">
          <a:extLst>
            <a:ext uri="{FF2B5EF4-FFF2-40B4-BE49-F238E27FC236}">
              <a16:creationId xmlns:a16="http://schemas.microsoft.com/office/drawing/2014/main" id="{00000000-0008-0000-0000-000007000000}"/>
            </a:ext>
          </a:extLst>
        </xdr:cNvPr>
        <xdr:cNvSpPr txBox="1"/>
      </xdr:nvSpPr>
      <xdr:spPr>
        <a:xfrm>
          <a:off x="8267700" y="40088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122</xdr:row>
      <xdr:rowOff>0</xdr:rowOff>
    </xdr:from>
    <xdr:ext cx="65" cy="172227"/>
    <xdr:sp macro="" textlink="">
      <xdr:nvSpPr>
        <xdr:cNvPr id="1291" name="TextBox 1290">
          <a:extLst>
            <a:ext uri="{FF2B5EF4-FFF2-40B4-BE49-F238E27FC236}">
              <a16:creationId xmlns:a16="http://schemas.microsoft.com/office/drawing/2014/main" id="{00000000-0008-0000-0000-000007000000}"/>
            </a:ext>
          </a:extLst>
        </xdr:cNvPr>
        <xdr:cNvSpPr txBox="1"/>
      </xdr:nvSpPr>
      <xdr:spPr>
        <a:xfrm>
          <a:off x="8267700" y="40271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122</xdr:row>
      <xdr:rowOff>0</xdr:rowOff>
    </xdr:from>
    <xdr:ext cx="65" cy="172227"/>
    <xdr:sp macro="" textlink="">
      <xdr:nvSpPr>
        <xdr:cNvPr id="1292" name="TextBox 1291">
          <a:extLst>
            <a:ext uri="{FF2B5EF4-FFF2-40B4-BE49-F238E27FC236}">
              <a16:creationId xmlns:a16="http://schemas.microsoft.com/office/drawing/2014/main" id="{00000000-0008-0000-0000-000007000000}"/>
            </a:ext>
          </a:extLst>
        </xdr:cNvPr>
        <xdr:cNvSpPr txBox="1"/>
      </xdr:nvSpPr>
      <xdr:spPr>
        <a:xfrm>
          <a:off x="8267700" y="40271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123</xdr:row>
      <xdr:rowOff>0</xdr:rowOff>
    </xdr:from>
    <xdr:ext cx="65" cy="172227"/>
    <xdr:sp macro="" textlink="">
      <xdr:nvSpPr>
        <xdr:cNvPr id="1293" name="TextBox 1292">
          <a:extLst>
            <a:ext uri="{FF2B5EF4-FFF2-40B4-BE49-F238E27FC236}">
              <a16:creationId xmlns:a16="http://schemas.microsoft.com/office/drawing/2014/main" id="{00000000-0008-0000-0000-000007000000}"/>
            </a:ext>
          </a:extLst>
        </xdr:cNvPr>
        <xdr:cNvSpPr txBox="1"/>
      </xdr:nvSpPr>
      <xdr:spPr>
        <a:xfrm>
          <a:off x="8267700" y="40454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123</xdr:row>
      <xdr:rowOff>0</xdr:rowOff>
    </xdr:from>
    <xdr:ext cx="65" cy="172227"/>
    <xdr:sp macro="" textlink="">
      <xdr:nvSpPr>
        <xdr:cNvPr id="1294" name="TextBox 1293">
          <a:extLst>
            <a:ext uri="{FF2B5EF4-FFF2-40B4-BE49-F238E27FC236}">
              <a16:creationId xmlns:a16="http://schemas.microsoft.com/office/drawing/2014/main" id="{00000000-0008-0000-0000-000007000000}"/>
            </a:ext>
          </a:extLst>
        </xdr:cNvPr>
        <xdr:cNvSpPr txBox="1"/>
      </xdr:nvSpPr>
      <xdr:spPr>
        <a:xfrm>
          <a:off x="8267700" y="40454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129</xdr:row>
      <xdr:rowOff>0</xdr:rowOff>
    </xdr:from>
    <xdr:ext cx="65" cy="172227"/>
    <xdr:sp macro="" textlink="">
      <xdr:nvSpPr>
        <xdr:cNvPr id="1295" name="TextBox 1294">
          <a:extLst>
            <a:ext uri="{FF2B5EF4-FFF2-40B4-BE49-F238E27FC236}">
              <a16:creationId xmlns:a16="http://schemas.microsoft.com/office/drawing/2014/main" id="{00000000-0008-0000-0000-000007000000}"/>
            </a:ext>
          </a:extLst>
        </xdr:cNvPr>
        <xdr:cNvSpPr txBox="1"/>
      </xdr:nvSpPr>
      <xdr:spPr>
        <a:xfrm>
          <a:off x="8267700" y="41551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129</xdr:row>
      <xdr:rowOff>0</xdr:rowOff>
    </xdr:from>
    <xdr:ext cx="65" cy="172227"/>
    <xdr:sp macro="" textlink="">
      <xdr:nvSpPr>
        <xdr:cNvPr id="1296" name="TextBox 1295">
          <a:extLst>
            <a:ext uri="{FF2B5EF4-FFF2-40B4-BE49-F238E27FC236}">
              <a16:creationId xmlns:a16="http://schemas.microsoft.com/office/drawing/2014/main" id="{00000000-0008-0000-0000-000007000000}"/>
            </a:ext>
          </a:extLst>
        </xdr:cNvPr>
        <xdr:cNvSpPr txBox="1"/>
      </xdr:nvSpPr>
      <xdr:spPr>
        <a:xfrm>
          <a:off x="8267700" y="41551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130</xdr:row>
      <xdr:rowOff>0</xdr:rowOff>
    </xdr:from>
    <xdr:ext cx="65" cy="172227"/>
    <xdr:sp macro="" textlink="">
      <xdr:nvSpPr>
        <xdr:cNvPr id="1297" name="TextBox 1296">
          <a:extLst>
            <a:ext uri="{FF2B5EF4-FFF2-40B4-BE49-F238E27FC236}">
              <a16:creationId xmlns:a16="http://schemas.microsoft.com/office/drawing/2014/main" id="{00000000-0008-0000-0000-000007000000}"/>
            </a:ext>
          </a:extLst>
        </xdr:cNvPr>
        <xdr:cNvSpPr txBox="1"/>
      </xdr:nvSpPr>
      <xdr:spPr>
        <a:xfrm>
          <a:off x="8267700" y="41734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130</xdr:row>
      <xdr:rowOff>0</xdr:rowOff>
    </xdr:from>
    <xdr:ext cx="65" cy="172227"/>
    <xdr:sp macro="" textlink="">
      <xdr:nvSpPr>
        <xdr:cNvPr id="1298" name="TextBox 1297">
          <a:extLst>
            <a:ext uri="{FF2B5EF4-FFF2-40B4-BE49-F238E27FC236}">
              <a16:creationId xmlns:a16="http://schemas.microsoft.com/office/drawing/2014/main" id="{00000000-0008-0000-0000-000007000000}"/>
            </a:ext>
          </a:extLst>
        </xdr:cNvPr>
        <xdr:cNvSpPr txBox="1"/>
      </xdr:nvSpPr>
      <xdr:spPr>
        <a:xfrm>
          <a:off x="8267700" y="41734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131</xdr:row>
      <xdr:rowOff>0</xdr:rowOff>
    </xdr:from>
    <xdr:ext cx="65" cy="172227"/>
    <xdr:sp macro="" textlink="">
      <xdr:nvSpPr>
        <xdr:cNvPr id="1299" name="TextBox 1298">
          <a:extLst>
            <a:ext uri="{FF2B5EF4-FFF2-40B4-BE49-F238E27FC236}">
              <a16:creationId xmlns:a16="http://schemas.microsoft.com/office/drawing/2014/main" id="{00000000-0008-0000-0000-000007000000}"/>
            </a:ext>
          </a:extLst>
        </xdr:cNvPr>
        <xdr:cNvSpPr txBox="1"/>
      </xdr:nvSpPr>
      <xdr:spPr>
        <a:xfrm>
          <a:off x="8267700" y="41917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131</xdr:row>
      <xdr:rowOff>0</xdr:rowOff>
    </xdr:from>
    <xdr:ext cx="65" cy="172227"/>
    <xdr:sp macro="" textlink="">
      <xdr:nvSpPr>
        <xdr:cNvPr id="1300" name="TextBox 1299">
          <a:extLst>
            <a:ext uri="{FF2B5EF4-FFF2-40B4-BE49-F238E27FC236}">
              <a16:creationId xmlns:a16="http://schemas.microsoft.com/office/drawing/2014/main" id="{00000000-0008-0000-0000-000007000000}"/>
            </a:ext>
          </a:extLst>
        </xdr:cNvPr>
        <xdr:cNvSpPr txBox="1"/>
      </xdr:nvSpPr>
      <xdr:spPr>
        <a:xfrm>
          <a:off x="8267700" y="41917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132</xdr:row>
      <xdr:rowOff>0</xdr:rowOff>
    </xdr:from>
    <xdr:ext cx="65" cy="172227"/>
    <xdr:sp macro="" textlink="">
      <xdr:nvSpPr>
        <xdr:cNvPr id="1301" name="TextBox 1300">
          <a:extLst>
            <a:ext uri="{FF2B5EF4-FFF2-40B4-BE49-F238E27FC236}">
              <a16:creationId xmlns:a16="http://schemas.microsoft.com/office/drawing/2014/main" id="{00000000-0008-0000-0000-000007000000}"/>
            </a:ext>
          </a:extLst>
        </xdr:cNvPr>
        <xdr:cNvSpPr txBox="1"/>
      </xdr:nvSpPr>
      <xdr:spPr>
        <a:xfrm>
          <a:off x="8267700" y="4210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132</xdr:row>
      <xdr:rowOff>0</xdr:rowOff>
    </xdr:from>
    <xdr:ext cx="65" cy="172227"/>
    <xdr:sp macro="" textlink="">
      <xdr:nvSpPr>
        <xdr:cNvPr id="1302" name="TextBox 1301">
          <a:extLst>
            <a:ext uri="{FF2B5EF4-FFF2-40B4-BE49-F238E27FC236}">
              <a16:creationId xmlns:a16="http://schemas.microsoft.com/office/drawing/2014/main" id="{00000000-0008-0000-0000-000007000000}"/>
            </a:ext>
          </a:extLst>
        </xdr:cNvPr>
        <xdr:cNvSpPr txBox="1"/>
      </xdr:nvSpPr>
      <xdr:spPr>
        <a:xfrm>
          <a:off x="8267700" y="4210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133</xdr:row>
      <xdr:rowOff>0</xdr:rowOff>
    </xdr:from>
    <xdr:ext cx="65" cy="172227"/>
    <xdr:sp macro="" textlink="">
      <xdr:nvSpPr>
        <xdr:cNvPr id="1303" name="TextBox 1302">
          <a:extLst>
            <a:ext uri="{FF2B5EF4-FFF2-40B4-BE49-F238E27FC236}">
              <a16:creationId xmlns:a16="http://schemas.microsoft.com/office/drawing/2014/main" id="{00000000-0008-0000-0000-000007000000}"/>
            </a:ext>
          </a:extLst>
        </xdr:cNvPr>
        <xdr:cNvSpPr txBox="1"/>
      </xdr:nvSpPr>
      <xdr:spPr>
        <a:xfrm>
          <a:off x="8267700" y="4228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133</xdr:row>
      <xdr:rowOff>0</xdr:rowOff>
    </xdr:from>
    <xdr:ext cx="65" cy="172227"/>
    <xdr:sp macro="" textlink="">
      <xdr:nvSpPr>
        <xdr:cNvPr id="1304" name="TextBox 1303">
          <a:extLst>
            <a:ext uri="{FF2B5EF4-FFF2-40B4-BE49-F238E27FC236}">
              <a16:creationId xmlns:a16="http://schemas.microsoft.com/office/drawing/2014/main" id="{00000000-0008-0000-0000-000007000000}"/>
            </a:ext>
          </a:extLst>
        </xdr:cNvPr>
        <xdr:cNvSpPr txBox="1"/>
      </xdr:nvSpPr>
      <xdr:spPr>
        <a:xfrm>
          <a:off x="8267700" y="4228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305" name="TextBox 1304">
          <a:extLst>
            <a:ext uri="{FF2B5EF4-FFF2-40B4-BE49-F238E27FC236}">
              <a16:creationId xmlns:a16="http://schemas.microsoft.com/office/drawing/2014/main" id="{00000000-0008-0000-0000-000007000000}"/>
            </a:ext>
          </a:extLst>
        </xdr:cNvPr>
        <xdr:cNvSpPr txBox="1"/>
      </xdr:nvSpPr>
      <xdr:spPr>
        <a:xfrm>
          <a:off x="8267700" y="33642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306" name="TextBox 1305">
          <a:extLst>
            <a:ext uri="{FF2B5EF4-FFF2-40B4-BE49-F238E27FC236}">
              <a16:creationId xmlns:a16="http://schemas.microsoft.com/office/drawing/2014/main" id="{00000000-0008-0000-0000-000007000000}"/>
            </a:ext>
          </a:extLst>
        </xdr:cNvPr>
        <xdr:cNvSpPr txBox="1"/>
      </xdr:nvSpPr>
      <xdr:spPr>
        <a:xfrm>
          <a:off x="8267700" y="33642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1307" name="TextBox 1306">
          <a:extLst>
            <a:ext uri="{FF2B5EF4-FFF2-40B4-BE49-F238E27FC236}">
              <a16:creationId xmlns:a16="http://schemas.microsoft.com/office/drawing/2014/main" id="{00000000-0008-0000-0000-000007000000}"/>
            </a:ext>
          </a:extLst>
        </xdr:cNvPr>
        <xdr:cNvSpPr txBox="1"/>
      </xdr:nvSpPr>
      <xdr:spPr>
        <a:xfrm>
          <a:off x="8267700" y="33840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1308" name="TextBox 1307">
          <a:extLst>
            <a:ext uri="{FF2B5EF4-FFF2-40B4-BE49-F238E27FC236}">
              <a16:creationId xmlns:a16="http://schemas.microsoft.com/office/drawing/2014/main" id="{00000000-0008-0000-0000-000007000000}"/>
            </a:ext>
          </a:extLst>
        </xdr:cNvPr>
        <xdr:cNvSpPr txBox="1"/>
      </xdr:nvSpPr>
      <xdr:spPr>
        <a:xfrm>
          <a:off x="8267700" y="33840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88</xdr:row>
      <xdr:rowOff>0</xdr:rowOff>
    </xdr:from>
    <xdr:ext cx="65" cy="172227"/>
    <xdr:sp macro="" textlink="">
      <xdr:nvSpPr>
        <xdr:cNvPr id="1309" name="TextBox 1308">
          <a:extLst>
            <a:ext uri="{FF2B5EF4-FFF2-40B4-BE49-F238E27FC236}">
              <a16:creationId xmlns:a16="http://schemas.microsoft.com/office/drawing/2014/main" id="{00000000-0008-0000-0000-000007000000}"/>
            </a:ext>
          </a:extLst>
        </xdr:cNvPr>
        <xdr:cNvSpPr txBox="1"/>
      </xdr:nvSpPr>
      <xdr:spPr>
        <a:xfrm>
          <a:off x="8267700" y="3403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88</xdr:row>
      <xdr:rowOff>0</xdr:rowOff>
    </xdr:from>
    <xdr:ext cx="65" cy="172227"/>
    <xdr:sp macro="" textlink="">
      <xdr:nvSpPr>
        <xdr:cNvPr id="1310" name="TextBox 1309">
          <a:extLst>
            <a:ext uri="{FF2B5EF4-FFF2-40B4-BE49-F238E27FC236}">
              <a16:creationId xmlns:a16="http://schemas.microsoft.com/office/drawing/2014/main" id="{00000000-0008-0000-0000-000007000000}"/>
            </a:ext>
          </a:extLst>
        </xdr:cNvPr>
        <xdr:cNvSpPr txBox="1"/>
      </xdr:nvSpPr>
      <xdr:spPr>
        <a:xfrm>
          <a:off x="8267700" y="3403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88</xdr:row>
      <xdr:rowOff>0</xdr:rowOff>
    </xdr:from>
    <xdr:ext cx="65" cy="172227"/>
    <xdr:sp macro="" textlink="">
      <xdr:nvSpPr>
        <xdr:cNvPr id="1311" name="TextBox 1310">
          <a:extLst>
            <a:ext uri="{FF2B5EF4-FFF2-40B4-BE49-F238E27FC236}">
              <a16:creationId xmlns:a16="http://schemas.microsoft.com/office/drawing/2014/main" id="{00000000-0008-0000-0000-000007000000}"/>
            </a:ext>
          </a:extLst>
        </xdr:cNvPr>
        <xdr:cNvSpPr txBox="1"/>
      </xdr:nvSpPr>
      <xdr:spPr>
        <a:xfrm>
          <a:off x="8267700" y="3403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88</xdr:row>
      <xdr:rowOff>0</xdr:rowOff>
    </xdr:from>
    <xdr:ext cx="65" cy="172227"/>
    <xdr:sp macro="" textlink="">
      <xdr:nvSpPr>
        <xdr:cNvPr id="1312" name="TextBox 1311">
          <a:extLst>
            <a:ext uri="{FF2B5EF4-FFF2-40B4-BE49-F238E27FC236}">
              <a16:creationId xmlns:a16="http://schemas.microsoft.com/office/drawing/2014/main" id="{00000000-0008-0000-0000-000007000000}"/>
            </a:ext>
          </a:extLst>
        </xdr:cNvPr>
        <xdr:cNvSpPr txBox="1"/>
      </xdr:nvSpPr>
      <xdr:spPr>
        <a:xfrm>
          <a:off x="8267700" y="3403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1313" name="TextBox 1312">
          <a:extLst>
            <a:ext uri="{FF2B5EF4-FFF2-40B4-BE49-F238E27FC236}">
              <a16:creationId xmlns:a16="http://schemas.microsoft.com/office/drawing/2014/main" id="{00000000-0008-0000-0000-000007000000}"/>
            </a:ext>
          </a:extLst>
        </xdr:cNvPr>
        <xdr:cNvSpPr txBox="1"/>
      </xdr:nvSpPr>
      <xdr:spPr>
        <a:xfrm>
          <a:off x="8267700" y="33444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1314" name="TextBox 1313">
          <a:extLst>
            <a:ext uri="{FF2B5EF4-FFF2-40B4-BE49-F238E27FC236}">
              <a16:creationId xmlns:a16="http://schemas.microsoft.com/office/drawing/2014/main" id="{00000000-0008-0000-0000-000007000000}"/>
            </a:ext>
          </a:extLst>
        </xdr:cNvPr>
        <xdr:cNvSpPr txBox="1"/>
      </xdr:nvSpPr>
      <xdr:spPr>
        <a:xfrm>
          <a:off x="8267700" y="33444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315" name="TextBox 1314">
          <a:extLst>
            <a:ext uri="{FF2B5EF4-FFF2-40B4-BE49-F238E27FC236}">
              <a16:creationId xmlns:a16="http://schemas.microsoft.com/office/drawing/2014/main" id="{00000000-0008-0000-0000-000007000000}"/>
            </a:ext>
          </a:extLst>
        </xdr:cNvPr>
        <xdr:cNvSpPr txBox="1"/>
      </xdr:nvSpPr>
      <xdr:spPr>
        <a:xfrm>
          <a:off x="8267700" y="33642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316" name="TextBox 1315">
          <a:extLst>
            <a:ext uri="{FF2B5EF4-FFF2-40B4-BE49-F238E27FC236}">
              <a16:creationId xmlns:a16="http://schemas.microsoft.com/office/drawing/2014/main" id="{00000000-0008-0000-0000-000007000000}"/>
            </a:ext>
          </a:extLst>
        </xdr:cNvPr>
        <xdr:cNvSpPr txBox="1"/>
      </xdr:nvSpPr>
      <xdr:spPr>
        <a:xfrm>
          <a:off x="8267700" y="33642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317" name="TextBox 1316">
          <a:extLst>
            <a:ext uri="{FF2B5EF4-FFF2-40B4-BE49-F238E27FC236}">
              <a16:creationId xmlns:a16="http://schemas.microsoft.com/office/drawing/2014/main" id="{00000000-0008-0000-0000-000007000000}"/>
            </a:ext>
          </a:extLst>
        </xdr:cNvPr>
        <xdr:cNvSpPr txBox="1"/>
      </xdr:nvSpPr>
      <xdr:spPr>
        <a:xfrm>
          <a:off x="8267700" y="33642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318" name="TextBox 1317">
          <a:extLst>
            <a:ext uri="{FF2B5EF4-FFF2-40B4-BE49-F238E27FC236}">
              <a16:creationId xmlns:a16="http://schemas.microsoft.com/office/drawing/2014/main" id="{00000000-0008-0000-0000-000007000000}"/>
            </a:ext>
          </a:extLst>
        </xdr:cNvPr>
        <xdr:cNvSpPr txBox="1"/>
      </xdr:nvSpPr>
      <xdr:spPr>
        <a:xfrm>
          <a:off x="8267700" y="33642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1319" name="TextBox 1318">
          <a:extLst>
            <a:ext uri="{FF2B5EF4-FFF2-40B4-BE49-F238E27FC236}">
              <a16:creationId xmlns:a16="http://schemas.microsoft.com/office/drawing/2014/main" id="{00000000-0008-0000-0000-000007000000}"/>
            </a:ext>
          </a:extLst>
        </xdr:cNvPr>
        <xdr:cNvSpPr txBox="1"/>
      </xdr:nvSpPr>
      <xdr:spPr>
        <a:xfrm>
          <a:off x="8267700" y="33840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1320" name="TextBox 1319">
          <a:extLst>
            <a:ext uri="{FF2B5EF4-FFF2-40B4-BE49-F238E27FC236}">
              <a16:creationId xmlns:a16="http://schemas.microsoft.com/office/drawing/2014/main" id="{00000000-0008-0000-0000-000007000000}"/>
            </a:ext>
          </a:extLst>
        </xdr:cNvPr>
        <xdr:cNvSpPr txBox="1"/>
      </xdr:nvSpPr>
      <xdr:spPr>
        <a:xfrm>
          <a:off x="8267700" y="33840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1321" name="TextBox 1320">
          <a:extLst>
            <a:ext uri="{FF2B5EF4-FFF2-40B4-BE49-F238E27FC236}">
              <a16:creationId xmlns:a16="http://schemas.microsoft.com/office/drawing/2014/main" id="{00000000-0008-0000-0000-000007000000}"/>
            </a:ext>
          </a:extLst>
        </xdr:cNvPr>
        <xdr:cNvSpPr txBox="1"/>
      </xdr:nvSpPr>
      <xdr:spPr>
        <a:xfrm>
          <a:off x="8267700" y="33840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1322" name="TextBox 1321">
          <a:extLst>
            <a:ext uri="{FF2B5EF4-FFF2-40B4-BE49-F238E27FC236}">
              <a16:creationId xmlns:a16="http://schemas.microsoft.com/office/drawing/2014/main" id="{00000000-0008-0000-0000-000007000000}"/>
            </a:ext>
          </a:extLst>
        </xdr:cNvPr>
        <xdr:cNvSpPr txBox="1"/>
      </xdr:nvSpPr>
      <xdr:spPr>
        <a:xfrm>
          <a:off x="8267700" y="33840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1323" name="TextBox 1322">
          <a:extLst>
            <a:ext uri="{FF2B5EF4-FFF2-40B4-BE49-F238E27FC236}">
              <a16:creationId xmlns:a16="http://schemas.microsoft.com/office/drawing/2014/main" id="{00000000-0008-0000-0000-000007000000}"/>
            </a:ext>
          </a:extLst>
        </xdr:cNvPr>
        <xdr:cNvSpPr txBox="1"/>
      </xdr:nvSpPr>
      <xdr:spPr>
        <a:xfrm>
          <a:off x="8267700" y="33840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1324" name="TextBox 1323">
          <a:extLst>
            <a:ext uri="{FF2B5EF4-FFF2-40B4-BE49-F238E27FC236}">
              <a16:creationId xmlns:a16="http://schemas.microsoft.com/office/drawing/2014/main" id="{00000000-0008-0000-0000-000007000000}"/>
            </a:ext>
          </a:extLst>
        </xdr:cNvPr>
        <xdr:cNvSpPr txBox="1"/>
      </xdr:nvSpPr>
      <xdr:spPr>
        <a:xfrm>
          <a:off x="8267700" y="33840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1325" name="TextBox 1324">
          <a:extLst>
            <a:ext uri="{FF2B5EF4-FFF2-40B4-BE49-F238E27FC236}">
              <a16:creationId xmlns:a16="http://schemas.microsoft.com/office/drawing/2014/main" id="{00000000-0008-0000-0000-000007000000}"/>
            </a:ext>
          </a:extLst>
        </xdr:cNvPr>
        <xdr:cNvSpPr txBox="1"/>
      </xdr:nvSpPr>
      <xdr:spPr>
        <a:xfrm>
          <a:off x="8267700" y="33840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1326" name="TextBox 1325">
          <a:extLst>
            <a:ext uri="{FF2B5EF4-FFF2-40B4-BE49-F238E27FC236}">
              <a16:creationId xmlns:a16="http://schemas.microsoft.com/office/drawing/2014/main" id="{00000000-0008-0000-0000-000007000000}"/>
            </a:ext>
          </a:extLst>
        </xdr:cNvPr>
        <xdr:cNvSpPr txBox="1"/>
      </xdr:nvSpPr>
      <xdr:spPr>
        <a:xfrm>
          <a:off x="8267700" y="33840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1327" name="TextBox 1326">
          <a:extLst>
            <a:ext uri="{FF2B5EF4-FFF2-40B4-BE49-F238E27FC236}">
              <a16:creationId xmlns:a16="http://schemas.microsoft.com/office/drawing/2014/main" id="{00000000-0008-0000-0000-000007000000}"/>
            </a:ext>
          </a:extLst>
        </xdr:cNvPr>
        <xdr:cNvSpPr txBox="1"/>
      </xdr:nvSpPr>
      <xdr:spPr>
        <a:xfrm>
          <a:off x="8267700" y="33444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1328" name="TextBox 1327">
          <a:extLst>
            <a:ext uri="{FF2B5EF4-FFF2-40B4-BE49-F238E27FC236}">
              <a16:creationId xmlns:a16="http://schemas.microsoft.com/office/drawing/2014/main" id="{00000000-0008-0000-0000-000007000000}"/>
            </a:ext>
          </a:extLst>
        </xdr:cNvPr>
        <xdr:cNvSpPr txBox="1"/>
      </xdr:nvSpPr>
      <xdr:spPr>
        <a:xfrm>
          <a:off x="8267700" y="33444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1329" name="TextBox 1328">
          <a:extLst>
            <a:ext uri="{FF2B5EF4-FFF2-40B4-BE49-F238E27FC236}">
              <a16:creationId xmlns:a16="http://schemas.microsoft.com/office/drawing/2014/main" id="{00000000-0008-0000-0000-000007000000}"/>
            </a:ext>
          </a:extLst>
        </xdr:cNvPr>
        <xdr:cNvSpPr txBox="1"/>
      </xdr:nvSpPr>
      <xdr:spPr>
        <a:xfrm>
          <a:off x="8267700" y="33444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1330" name="TextBox 1329">
          <a:extLst>
            <a:ext uri="{FF2B5EF4-FFF2-40B4-BE49-F238E27FC236}">
              <a16:creationId xmlns:a16="http://schemas.microsoft.com/office/drawing/2014/main" id="{00000000-0008-0000-0000-000007000000}"/>
            </a:ext>
          </a:extLst>
        </xdr:cNvPr>
        <xdr:cNvSpPr txBox="1"/>
      </xdr:nvSpPr>
      <xdr:spPr>
        <a:xfrm>
          <a:off x="8267700" y="33444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84</xdr:row>
      <xdr:rowOff>0</xdr:rowOff>
    </xdr:from>
    <xdr:ext cx="65" cy="172227"/>
    <xdr:sp macro="" textlink="">
      <xdr:nvSpPr>
        <xdr:cNvPr id="1332" name="TextBox 1331">
          <a:extLst>
            <a:ext uri="{FF2B5EF4-FFF2-40B4-BE49-F238E27FC236}">
              <a16:creationId xmlns:a16="http://schemas.microsoft.com/office/drawing/2014/main" id="{00000000-0008-0000-0000-000007000000}"/>
            </a:ext>
          </a:extLst>
        </xdr:cNvPr>
        <xdr:cNvSpPr txBox="1"/>
      </xdr:nvSpPr>
      <xdr:spPr>
        <a:xfrm>
          <a:off x="8267700" y="33794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84</xdr:row>
      <xdr:rowOff>0</xdr:rowOff>
    </xdr:from>
    <xdr:ext cx="65" cy="172227"/>
    <xdr:sp macro="" textlink="">
      <xdr:nvSpPr>
        <xdr:cNvPr id="1336" name="TextBox 1335">
          <a:extLst>
            <a:ext uri="{FF2B5EF4-FFF2-40B4-BE49-F238E27FC236}">
              <a16:creationId xmlns:a16="http://schemas.microsoft.com/office/drawing/2014/main" id="{00000000-0008-0000-0000-000007000000}"/>
            </a:ext>
          </a:extLst>
        </xdr:cNvPr>
        <xdr:cNvSpPr txBox="1"/>
      </xdr:nvSpPr>
      <xdr:spPr>
        <a:xfrm>
          <a:off x="8267700" y="33794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1337" name="TextBox 1336">
          <a:extLst>
            <a:ext uri="{FF2B5EF4-FFF2-40B4-BE49-F238E27FC236}">
              <a16:creationId xmlns:a16="http://schemas.microsoft.com/office/drawing/2014/main" id="{00000000-0008-0000-0000-000007000000}"/>
            </a:ext>
          </a:extLst>
        </xdr:cNvPr>
        <xdr:cNvSpPr txBox="1"/>
      </xdr:nvSpPr>
      <xdr:spPr>
        <a:xfrm>
          <a:off x="8267700" y="3399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1338" name="TextBox 1337">
          <a:extLst>
            <a:ext uri="{FF2B5EF4-FFF2-40B4-BE49-F238E27FC236}">
              <a16:creationId xmlns:a16="http://schemas.microsoft.com/office/drawing/2014/main" id="{00000000-0008-0000-0000-000007000000}"/>
            </a:ext>
          </a:extLst>
        </xdr:cNvPr>
        <xdr:cNvSpPr txBox="1"/>
      </xdr:nvSpPr>
      <xdr:spPr>
        <a:xfrm>
          <a:off x="8267700" y="3399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339" name="TextBox 1338">
          <a:extLst>
            <a:ext uri="{FF2B5EF4-FFF2-40B4-BE49-F238E27FC236}">
              <a16:creationId xmlns:a16="http://schemas.microsoft.com/office/drawing/2014/main" id="{00000000-0008-0000-0000-000007000000}"/>
            </a:ext>
          </a:extLst>
        </xdr:cNvPr>
        <xdr:cNvSpPr txBox="1"/>
      </xdr:nvSpPr>
      <xdr:spPr>
        <a:xfrm>
          <a:off x="8267700" y="3419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340" name="TextBox 1339">
          <a:extLst>
            <a:ext uri="{FF2B5EF4-FFF2-40B4-BE49-F238E27FC236}">
              <a16:creationId xmlns:a16="http://schemas.microsoft.com/office/drawing/2014/main" id="{00000000-0008-0000-0000-000007000000}"/>
            </a:ext>
          </a:extLst>
        </xdr:cNvPr>
        <xdr:cNvSpPr txBox="1"/>
      </xdr:nvSpPr>
      <xdr:spPr>
        <a:xfrm>
          <a:off x="8267700" y="3419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1341" name="TextBox 1340">
          <a:extLst>
            <a:ext uri="{FF2B5EF4-FFF2-40B4-BE49-F238E27FC236}">
              <a16:creationId xmlns:a16="http://schemas.microsoft.com/office/drawing/2014/main" id="{00000000-0008-0000-0000-000007000000}"/>
            </a:ext>
          </a:extLst>
        </xdr:cNvPr>
        <xdr:cNvSpPr txBox="1"/>
      </xdr:nvSpPr>
      <xdr:spPr>
        <a:xfrm>
          <a:off x="8267700" y="34389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1342" name="TextBox 1341">
          <a:extLst>
            <a:ext uri="{FF2B5EF4-FFF2-40B4-BE49-F238E27FC236}">
              <a16:creationId xmlns:a16="http://schemas.microsoft.com/office/drawing/2014/main" id="{00000000-0008-0000-0000-000007000000}"/>
            </a:ext>
          </a:extLst>
        </xdr:cNvPr>
        <xdr:cNvSpPr txBox="1"/>
      </xdr:nvSpPr>
      <xdr:spPr>
        <a:xfrm>
          <a:off x="8267700" y="34389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88</xdr:row>
      <xdr:rowOff>0</xdr:rowOff>
    </xdr:from>
    <xdr:ext cx="65" cy="172227"/>
    <xdr:sp macro="" textlink="">
      <xdr:nvSpPr>
        <xdr:cNvPr id="1343" name="TextBox 1342">
          <a:extLst>
            <a:ext uri="{FF2B5EF4-FFF2-40B4-BE49-F238E27FC236}">
              <a16:creationId xmlns:a16="http://schemas.microsoft.com/office/drawing/2014/main" id="{00000000-0008-0000-0000-000007000000}"/>
            </a:ext>
          </a:extLst>
        </xdr:cNvPr>
        <xdr:cNvSpPr txBox="1"/>
      </xdr:nvSpPr>
      <xdr:spPr>
        <a:xfrm>
          <a:off x="8267700" y="34587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88</xdr:row>
      <xdr:rowOff>0</xdr:rowOff>
    </xdr:from>
    <xdr:ext cx="65" cy="172227"/>
    <xdr:sp macro="" textlink="">
      <xdr:nvSpPr>
        <xdr:cNvPr id="1344" name="TextBox 1343">
          <a:extLst>
            <a:ext uri="{FF2B5EF4-FFF2-40B4-BE49-F238E27FC236}">
              <a16:creationId xmlns:a16="http://schemas.microsoft.com/office/drawing/2014/main" id="{00000000-0008-0000-0000-000007000000}"/>
            </a:ext>
          </a:extLst>
        </xdr:cNvPr>
        <xdr:cNvSpPr txBox="1"/>
      </xdr:nvSpPr>
      <xdr:spPr>
        <a:xfrm>
          <a:off x="8267700" y="34587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89</xdr:row>
      <xdr:rowOff>0</xdr:rowOff>
    </xdr:from>
    <xdr:ext cx="65" cy="172227"/>
    <xdr:sp macro="" textlink="">
      <xdr:nvSpPr>
        <xdr:cNvPr id="1345" name="TextBox 1344">
          <a:extLst>
            <a:ext uri="{FF2B5EF4-FFF2-40B4-BE49-F238E27FC236}">
              <a16:creationId xmlns:a16="http://schemas.microsoft.com/office/drawing/2014/main" id="{00000000-0008-0000-0000-000007000000}"/>
            </a:ext>
          </a:extLst>
        </xdr:cNvPr>
        <xdr:cNvSpPr txBox="1"/>
      </xdr:nvSpPr>
      <xdr:spPr>
        <a:xfrm>
          <a:off x="8267700" y="34785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89</xdr:row>
      <xdr:rowOff>0</xdr:rowOff>
    </xdr:from>
    <xdr:ext cx="65" cy="172227"/>
    <xdr:sp macro="" textlink="">
      <xdr:nvSpPr>
        <xdr:cNvPr id="1346" name="TextBox 1345">
          <a:extLst>
            <a:ext uri="{FF2B5EF4-FFF2-40B4-BE49-F238E27FC236}">
              <a16:creationId xmlns:a16="http://schemas.microsoft.com/office/drawing/2014/main" id="{00000000-0008-0000-0000-000007000000}"/>
            </a:ext>
          </a:extLst>
        </xdr:cNvPr>
        <xdr:cNvSpPr txBox="1"/>
      </xdr:nvSpPr>
      <xdr:spPr>
        <a:xfrm>
          <a:off x="8267700" y="34785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90</xdr:row>
      <xdr:rowOff>0</xdr:rowOff>
    </xdr:from>
    <xdr:ext cx="65" cy="172227"/>
    <xdr:sp macro="" textlink="">
      <xdr:nvSpPr>
        <xdr:cNvPr id="1347" name="TextBox 1346">
          <a:extLst>
            <a:ext uri="{FF2B5EF4-FFF2-40B4-BE49-F238E27FC236}">
              <a16:creationId xmlns:a16="http://schemas.microsoft.com/office/drawing/2014/main" id="{00000000-0008-0000-0000-000007000000}"/>
            </a:ext>
          </a:extLst>
        </xdr:cNvPr>
        <xdr:cNvSpPr txBox="1"/>
      </xdr:nvSpPr>
      <xdr:spPr>
        <a:xfrm>
          <a:off x="8267700" y="34968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90</xdr:row>
      <xdr:rowOff>0</xdr:rowOff>
    </xdr:from>
    <xdr:ext cx="65" cy="172227"/>
    <xdr:sp macro="" textlink="">
      <xdr:nvSpPr>
        <xdr:cNvPr id="1348" name="TextBox 1347">
          <a:extLst>
            <a:ext uri="{FF2B5EF4-FFF2-40B4-BE49-F238E27FC236}">
              <a16:creationId xmlns:a16="http://schemas.microsoft.com/office/drawing/2014/main" id="{00000000-0008-0000-0000-000007000000}"/>
            </a:ext>
          </a:extLst>
        </xdr:cNvPr>
        <xdr:cNvSpPr txBox="1"/>
      </xdr:nvSpPr>
      <xdr:spPr>
        <a:xfrm>
          <a:off x="8267700" y="34968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91</xdr:row>
      <xdr:rowOff>0</xdr:rowOff>
    </xdr:from>
    <xdr:ext cx="65" cy="172227"/>
    <xdr:sp macro="" textlink="">
      <xdr:nvSpPr>
        <xdr:cNvPr id="1349" name="TextBox 1348">
          <a:extLst>
            <a:ext uri="{FF2B5EF4-FFF2-40B4-BE49-F238E27FC236}">
              <a16:creationId xmlns:a16="http://schemas.microsoft.com/office/drawing/2014/main" id="{00000000-0008-0000-0000-000007000000}"/>
            </a:ext>
          </a:extLst>
        </xdr:cNvPr>
        <xdr:cNvSpPr txBox="1"/>
      </xdr:nvSpPr>
      <xdr:spPr>
        <a:xfrm>
          <a:off x="8267700" y="35151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91</xdr:row>
      <xdr:rowOff>0</xdr:rowOff>
    </xdr:from>
    <xdr:ext cx="65" cy="172227"/>
    <xdr:sp macro="" textlink="">
      <xdr:nvSpPr>
        <xdr:cNvPr id="1350" name="TextBox 1349">
          <a:extLst>
            <a:ext uri="{FF2B5EF4-FFF2-40B4-BE49-F238E27FC236}">
              <a16:creationId xmlns:a16="http://schemas.microsoft.com/office/drawing/2014/main" id="{00000000-0008-0000-0000-000007000000}"/>
            </a:ext>
          </a:extLst>
        </xdr:cNvPr>
        <xdr:cNvSpPr txBox="1"/>
      </xdr:nvSpPr>
      <xdr:spPr>
        <a:xfrm>
          <a:off x="8267700" y="35151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92</xdr:row>
      <xdr:rowOff>0</xdr:rowOff>
    </xdr:from>
    <xdr:ext cx="65" cy="172227"/>
    <xdr:sp macro="" textlink="">
      <xdr:nvSpPr>
        <xdr:cNvPr id="1351" name="TextBox 1350">
          <a:extLst>
            <a:ext uri="{FF2B5EF4-FFF2-40B4-BE49-F238E27FC236}">
              <a16:creationId xmlns:a16="http://schemas.microsoft.com/office/drawing/2014/main" id="{00000000-0008-0000-0000-000007000000}"/>
            </a:ext>
          </a:extLst>
        </xdr:cNvPr>
        <xdr:cNvSpPr txBox="1"/>
      </xdr:nvSpPr>
      <xdr:spPr>
        <a:xfrm>
          <a:off x="8267700" y="35333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92</xdr:row>
      <xdr:rowOff>0</xdr:rowOff>
    </xdr:from>
    <xdr:ext cx="65" cy="172227"/>
    <xdr:sp macro="" textlink="">
      <xdr:nvSpPr>
        <xdr:cNvPr id="1352" name="TextBox 1351">
          <a:extLst>
            <a:ext uri="{FF2B5EF4-FFF2-40B4-BE49-F238E27FC236}">
              <a16:creationId xmlns:a16="http://schemas.microsoft.com/office/drawing/2014/main" id="{00000000-0008-0000-0000-000007000000}"/>
            </a:ext>
          </a:extLst>
        </xdr:cNvPr>
        <xdr:cNvSpPr txBox="1"/>
      </xdr:nvSpPr>
      <xdr:spPr>
        <a:xfrm>
          <a:off x="8267700" y="35333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93</xdr:row>
      <xdr:rowOff>0</xdr:rowOff>
    </xdr:from>
    <xdr:ext cx="65" cy="172227"/>
    <xdr:sp macro="" textlink="">
      <xdr:nvSpPr>
        <xdr:cNvPr id="1353" name="TextBox 1352">
          <a:extLst>
            <a:ext uri="{FF2B5EF4-FFF2-40B4-BE49-F238E27FC236}">
              <a16:creationId xmlns:a16="http://schemas.microsoft.com/office/drawing/2014/main" id="{00000000-0008-0000-0000-000007000000}"/>
            </a:ext>
          </a:extLst>
        </xdr:cNvPr>
        <xdr:cNvSpPr txBox="1"/>
      </xdr:nvSpPr>
      <xdr:spPr>
        <a:xfrm>
          <a:off x="8267700" y="35516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93</xdr:row>
      <xdr:rowOff>0</xdr:rowOff>
    </xdr:from>
    <xdr:ext cx="65" cy="172227"/>
    <xdr:sp macro="" textlink="">
      <xdr:nvSpPr>
        <xdr:cNvPr id="1354" name="TextBox 1353">
          <a:extLst>
            <a:ext uri="{FF2B5EF4-FFF2-40B4-BE49-F238E27FC236}">
              <a16:creationId xmlns:a16="http://schemas.microsoft.com/office/drawing/2014/main" id="{00000000-0008-0000-0000-000007000000}"/>
            </a:ext>
          </a:extLst>
        </xdr:cNvPr>
        <xdr:cNvSpPr txBox="1"/>
      </xdr:nvSpPr>
      <xdr:spPr>
        <a:xfrm>
          <a:off x="8267700" y="35516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99</xdr:row>
      <xdr:rowOff>0</xdr:rowOff>
    </xdr:from>
    <xdr:ext cx="65" cy="172227"/>
    <xdr:sp macro="" textlink="">
      <xdr:nvSpPr>
        <xdr:cNvPr id="1355" name="TextBox 1354">
          <a:extLst>
            <a:ext uri="{FF2B5EF4-FFF2-40B4-BE49-F238E27FC236}">
              <a16:creationId xmlns:a16="http://schemas.microsoft.com/office/drawing/2014/main" id="{00000000-0008-0000-0000-000007000000}"/>
            </a:ext>
          </a:extLst>
        </xdr:cNvPr>
        <xdr:cNvSpPr txBox="1"/>
      </xdr:nvSpPr>
      <xdr:spPr>
        <a:xfrm>
          <a:off x="8267700" y="36614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99</xdr:row>
      <xdr:rowOff>0</xdr:rowOff>
    </xdr:from>
    <xdr:ext cx="65" cy="172227"/>
    <xdr:sp macro="" textlink="">
      <xdr:nvSpPr>
        <xdr:cNvPr id="1356" name="TextBox 1355">
          <a:extLst>
            <a:ext uri="{FF2B5EF4-FFF2-40B4-BE49-F238E27FC236}">
              <a16:creationId xmlns:a16="http://schemas.microsoft.com/office/drawing/2014/main" id="{00000000-0008-0000-0000-000007000000}"/>
            </a:ext>
          </a:extLst>
        </xdr:cNvPr>
        <xdr:cNvSpPr txBox="1"/>
      </xdr:nvSpPr>
      <xdr:spPr>
        <a:xfrm>
          <a:off x="8267700" y="36614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100</xdr:row>
      <xdr:rowOff>0</xdr:rowOff>
    </xdr:from>
    <xdr:ext cx="65" cy="172227"/>
    <xdr:sp macro="" textlink="">
      <xdr:nvSpPr>
        <xdr:cNvPr id="1357" name="TextBox 1356">
          <a:extLst>
            <a:ext uri="{FF2B5EF4-FFF2-40B4-BE49-F238E27FC236}">
              <a16:creationId xmlns:a16="http://schemas.microsoft.com/office/drawing/2014/main" id="{00000000-0008-0000-0000-000007000000}"/>
            </a:ext>
          </a:extLst>
        </xdr:cNvPr>
        <xdr:cNvSpPr txBox="1"/>
      </xdr:nvSpPr>
      <xdr:spPr>
        <a:xfrm>
          <a:off x="8267700" y="36796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100</xdr:row>
      <xdr:rowOff>0</xdr:rowOff>
    </xdr:from>
    <xdr:ext cx="65" cy="172227"/>
    <xdr:sp macro="" textlink="">
      <xdr:nvSpPr>
        <xdr:cNvPr id="1358" name="TextBox 1357">
          <a:extLst>
            <a:ext uri="{FF2B5EF4-FFF2-40B4-BE49-F238E27FC236}">
              <a16:creationId xmlns:a16="http://schemas.microsoft.com/office/drawing/2014/main" id="{00000000-0008-0000-0000-000007000000}"/>
            </a:ext>
          </a:extLst>
        </xdr:cNvPr>
        <xdr:cNvSpPr txBox="1"/>
      </xdr:nvSpPr>
      <xdr:spPr>
        <a:xfrm>
          <a:off x="8267700" y="36796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101</xdr:row>
      <xdr:rowOff>0</xdr:rowOff>
    </xdr:from>
    <xdr:ext cx="65" cy="172227"/>
    <xdr:sp macro="" textlink="">
      <xdr:nvSpPr>
        <xdr:cNvPr id="1359" name="TextBox 1358">
          <a:extLst>
            <a:ext uri="{FF2B5EF4-FFF2-40B4-BE49-F238E27FC236}">
              <a16:creationId xmlns:a16="http://schemas.microsoft.com/office/drawing/2014/main" id="{00000000-0008-0000-0000-000007000000}"/>
            </a:ext>
          </a:extLst>
        </xdr:cNvPr>
        <xdr:cNvSpPr txBox="1"/>
      </xdr:nvSpPr>
      <xdr:spPr>
        <a:xfrm>
          <a:off x="8267700" y="36979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101</xdr:row>
      <xdr:rowOff>0</xdr:rowOff>
    </xdr:from>
    <xdr:ext cx="65" cy="172227"/>
    <xdr:sp macro="" textlink="">
      <xdr:nvSpPr>
        <xdr:cNvPr id="1360" name="TextBox 1359">
          <a:extLst>
            <a:ext uri="{FF2B5EF4-FFF2-40B4-BE49-F238E27FC236}">
              <a16:creationId xmlns:a16="http://schemas.microsoft.com/office/drawing/2014/main" id="{00000000-0008-0000-0000-000007000000}"/>
            </a:ext>
          </a:extLst>
        </xdr:cNvPr>
        <xdr:cNvSpPr txBox="1"/>
      </xdr:nvSpPr>
      <xdr:spPr>
        <a:xfrm>
          <a:off x="8267700" y="36979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102</xdr:row>
      <xdr:rowOff>0</xdr:rowOff>
    </xdr:from>
    <xdr:ext cx="65" cy="172227"/>
    <xdr:sp macro="" textlink="">
      <xdr:nvSpPr>
        <xdr:cNvPr id="1361" name="TextBox 1360">
          <a:extLst>
            <a:ext uri="{FF2B5EF4-FFF2-40B4-BE49-F238E27FC236}">
              <a16:creationId xmlns:a16="http://schemas.microsoft.com/office/drawing/2014/main" id="{00000000-0008-0000-0000-000007000000}"/>
            </a:ext>
          </a:extLst>
        </xdr:cNvPr>
        <xdr:cNvSpPr txBox="1"/>
      </xdr:nvSpPr>
      <xdr:spPr>
        <a:xfrm>
          <a:off x="8267700" y="37162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102</xdr:row>
      <xdr:rowOff>0</xdr:rowOff>
    </xdr:from>
    <xdr:ext cx="65" cy="172227"/>
    <xdr:sp macro="" textlink="">
      <xdr:nvSpPr>
        <xdr:cNvPr id="1362" name="TextBox 1361">
          <a:extLst>
            <a:ext uri="{FF2B5EF4-FFF2-40B4-BE49-F238E27FC236}">
              <a16:creationId xmlns:a16="http://schemas.microsoft.com/office/drawing/2014/main" id="{00000000-0008-0000-0000-000007000000}"/>
            </a:ext>
          </a:extLst>
        </xdr:cNvPr>
        <xdr:cNvSpPr txBox="1"/>
      </xdr:nvSpPr>
      <xdr:spPr>
        <a:xfrm>
          <a:off x="8267700" y="37162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103</xdr:row>
      <xdr:rowOff>0</xdr:rowOff>
    </xdr:from>
    <xdr:ext cx="65" cy="172227"/>
    <xdr:sp macro="" textlink="">
      <xdr:nvSpPr>
        <xdr:cNvPr id="1363" name="TextBox 1362">
          <a:extLst>
            <a:ext uri="{FF2B5EF4-FFF2-40B4-BE49-F238E27FC236}">
              <a16:creationId xmlns:a16="http://schemas.microsoft.com/office/drawing/2014/main" id="{00000000-0008-0000-0000-000007000000}"/>
            </a:ext>
          </a:extLst>
        </xdr:cNvPr>
        <xdr:cNvSpPr txBox="1"/>
      </xdr:nvSpPr>
      <xdr:spPr>
        <a:xfrm>
          <a:off x="8267700" y="37345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103</xdr:row>
      <xdr:rowOff>0</xdr:rowOff>
    </xdr:from>
    <xdr:ext cx="65" cy="172227"/>
    <xdr:sp macro="" textlink="">
      <xdr:nvSpPr>
        <xdr:cNvPr id="1364" name="TextBox 1363">
          <a:extLst>
            <a:ext uri="{FF2B5EF4-FFF2-40B4-BE49-F238E27FC236}">
              <a16:creationId xmlns:a16="http://schemas.microsoft.com/office/drawing/2014/main" id="{00000000-0008-0000-0000-000007000000}"/>
            </a:ext>
          </a:extLst>
        </xdr:cNvPr>
        <xdr:cNvSpPr txBox="1"/>
      </xdr:nvSpPr>
      <xdr:spPr>
        <a:xfrm>
          <a:off x="8267700" y="37345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109</xdr:row>
      <xdr:rowOff>0</xdr:rowOff>
    </xdr:from>
    <xdr:ext cx="65" cy="172227"/>
    <xdr:sp macro="" textlink="">
      <xdr:nvSpPr>
        <xdr:cNvPr id="1365" name="TextBox 1364">
          <a:extLst>
            <a:ext uri="{FF2B5EF4-FFF2-40B4-BE49-F238E27FC236}">
              <a16:creationId xmlns:a16="http://schemas.microsoft.com/office/drawing/2014/main" id="{00000000-0008-0000-0000-000007000000}"/>
            </a:ext>
          </a:extLst>
        </xdr:cNvPr>
        <xdr:cNvSpPr txBox="1"/>
      </xdr:nvSpPr>
      <xdr:spPr>
        <a:xfrm>
          <a:off x="8267700" y="38442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109</xdr:row>
      <xdr:rowOff>0</xdr:rowOff>
    </xdr:from>
    <xdr:ext cx="65" cy="172227"/>
    <xdr:sp macro="" textlink="">
      <xdr:nvSpPr>
        <xdr:cNvPr id="1366" name="TextBox 1365">
          <a:extLst>
            <a:ext uri="{FF2B5EF4-FFF2-40B4-BE49-F238E27FC236}">
              <a16:creationId xmlns:a16="http://schemas.microsoft.com/office/drawing/2014/main" id="{00000000-0008-0000-0000-000007000000}"/>
            </a:ext>
          </a:extLst>
        </xdr:cNvPr>
        <xdr:cNvSpPr txBox="1"/>
      </xdr:nvSpPr>
      <xdr:spPr>
        <a:xfrm>
          <a:off x="8267700" y="38442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110</xdr:row>
      <xdr:rowOff>0</xdr:rowOff>
    </xdr:from>
    <xdr:ext cx="65" cy="172227"/>
    <xdr:sp macro="" textlink="">
      <xdr:nvSpPr>
        <xdr:cNvPr id="1367" name="TextBox 1366">
          <a:extLst>
            <a:ext uri="{FF2B5EF4-FFF2-40B4-BE49-F238E27FC236}">
              <a16:creationId xmlns:a16="http://schemas.microsoft.com/office/drawing/2014/main" id="{00000000-0008-0000-0000-000007000000}"/>
            </a:ext>
          </a:extLst>
        </xdr:cNvPr>
        <xdr:cNvSpPr txBox="1"/>
      </xdr:nvSpPr>
      <xdr:spPr>
        <a:xfrm>
          <a:off x="8267700" y="38625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110</xdr:row>
      <xdr:rowOff>0</xdr:rowOff>
    </xdr:from>
    <xdr:ext cx="65" cy="172227"/>
    <xdr:sp macro="" textlink="">
      <xdr:nvSpPr>
        <xdr:cNvPr id="1368" name="TextBox 1367">
          <a:extLst>
            <a:ext uri="{FF2B5EF4-FFF2-40B4-BE49-F238E27FC236}">
              <a16:creationId xmlns:a16="http://schemas.microsoft.com/office/drawing/2014/main" id="{00000000-0008-0000-0000-000007000000}"/>
            </a:ext>
          </a:extLst>
        </xdr:cNvPr>
        <xdr:cNvSpPr txBox="1"/>
      </xdr:nvSpPr>
      <xdr:spPr>
        <a:xfrm>
          <a:off x="8267700" y="38625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111</xdr:row>
      <xdr:rowOff>0</xdr:rowOff>
    </xdr:from>
    <xdr:ext cx="65" cy="172227"/>
    <xdr:sp macro="" textlink="">
      <xdr:nvSpPr>
        <xdr:cNvPr id="1369" name="TextBox 1368">
          <a:extLst>
            <a:ext uri="{FF2B5EF4-FFF2-40B4-BE49-F238E27FC236}">
              <a16:creationId xmlns:a16="http://schemas.microsoft.com/office/drawing/2014/main" id="{00000000-0008-0000-0000-000007000000}"/>
            </a:ext>
          </a:extLst>
        </xdr:cNvPr>
        <xdr:cNvSpPr txBox="1"/>
      </xdr:nvSpPr>
      <xdr:spPr>
        <a:xfrm>
          <a:off x="8267700" y="38808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111</xdr:row>
      <xdr:rowOff>0</xdr:rowOff>
    </xdr:from>
    <xdr:ext cx="65" cy="172227"/>
    <xdr:sp macro="" textlink="">
      <xdr:nvSpPr>
        <xdr:cNvPr id="1370" name="TextBox 1369">
          <a:extLst>
            <a:ext uri="{FF2B5EF4-FFF2-40B4-BE49-F238E27FC236}">
              <a16:creationId xmlns:a16="http://schemas.microsoft.com/office/drawing/2014/main" id="{00000000-0008-0000-0000-000007000000}"/>
            </a:ext>
          </a:extLst>
        </xdr:cNvPr>
        <xdr:cNvSpPr txBox="1"/>
      </xdr:nvSpPr>
      <xdr:spPr>
        <a:xfrm>
          <a:off x="8267700" y="38808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112</xdr:row>
      <xdr:rowOff>0</xdr:rowOff>
    </xdr:from>
    <xdr:ext cx="65" cy="172227"/>
    <xdr:sp macro="" textlink="">
      <xdr:nvSpPr>
        <xdr:cNvPr id="1371" name="TextBox 1370">
          <a:extLst>
            <a:ext uri="{FF2B5EF4-FFF2-40B4-BE49-F238E27FC236}">
              <a16:creationId xmlns:a16="http://schemas.microsoft.com/office/drawing/2014/main" id="{00000000-0008-0000-0000-000007000000}"/>
            </a:ext>
          </a:extLst>
        </xdr:cNvPr>
        <xdr:cNvSpPr txBox="1"/>
      </xdr:nvSpPr>
      <xdr:spPr>
        <a:xfrm>
          <a:off x="8267700" y="38991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112</xdr:row>
      <xdr:rowOff>0</xdr:rowOff>
    </xdr:from>
    <xdr:ext cx="65" cy="172227"/>
    <xdr:sp macro="" textlink="">
      <xdr:nvSpPr>
        <xdr:cNvPr id="1372" name="TextBox 1371">
          <a:extLst>
            <a:ext uri="{FF2B5EF4-FFF2-40B4-BE49-F238E27FC236}">
              <a16:creationId xmlns:a16="http://schemas.microsoft.com/office/drawing/2014/main" id="{00000000-0008-0000-0000-000007000000}"/>
            </a:ext>
          </a:extLst>
        </xdr:cNvPr>
        <xdr:cNvSpPr txBox="1"/>
      </xdr:nvSpPr>
      <xdr:spPr>
        <a:xfrm>
          <a:off x="8267700" y="38991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113</xdr:row>
      <xdr:rowOff>0</xdr:rowOff>
    </xdr:from>
    <xdr:ext cx="65" cy="172227"/>
    <xdr:sp macro="" textlink="">
      <xdr:nvSpPr>
        <xdr:cNvPr id="1373" name="TextBox 1372">
          <a:extLst>
            <a:ext uri="{FF2B5EF4-FFF2-40B4-BE49-F238E27FC236}">
              <a16:creationId xmlns:a16="http://schemas.microsoft.com/office/drawing/2014/main" id="{00000000-0008-0000-0000-000007000000}"/>
            </a:ext>
          </a:extLst>
        </xdr:cNvPr>
        <xdr:cNvSpPr txBox="1"/>
      </xdr:nvSpPr>
      <xdr:spPr>
        <a:xfrm>
          <a:off x="8267700" y="39174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113</xdr:row>
      <xdr:rowOff>0</xdr:rowOff>
    </xdr:from>
    <xdr:ext cx="65" cy="172227"/>
    <xdr:sp macro="" textlink="">
      <xdr:nvSpPr>
        <xdr:cNvPr id="1374" name="TextBox 1373">
          <a:extLst>
            <a:ext uri="{FF2B5EF4-FFF2-40B4-BE49-F238E27FC236}">
              <a16:creationId xmlns:a16="http://schemas.microsoft.com/office/drawing/2014/main" id="{00000000-0008-0000-0000-000007000000}"/>
            </a:ext>
          </a:extLst>
        </xdr:cNvPr>
        <xdr:cNvSpPr txBox="1"/>
      </xdr:nvSpPr>
      <xdr:spPr>
        <a:xfrm>
          <a:off x="8267700" y="39174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119</xdr:row>
      <xdr:rowOff>0</xdr:rowOff>
    </xdr:from>
    <xdr:ext cx="65" cy="172227"/>
    <xdr:sp macro="" textlink="">
      <xdr:nvSpPr>
        <xdr:cNvPr id="1375" name="TextBox 1374">
          <a:extLst>
            <a:ext uri="{FF2B5EF4-FFF2-40B4-BE49-F238E27FC236}">
              <a16:creationId xmlns:a16="http://schemas.microsoft.com/office/drawing/2014/main" id="{00000000-0008-0000-0000-000007000000}"/>
            </a:ext>
          </a:extLst>
        </xdr:cNvPr>
        <xdr:cNvSpPr txBox="1"/>
      </xdr:nvSpPr>
      <xdr:spPr>
        <a:xfrm>
          <a:off x="8267700" y="40271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119</xdr:row>
      <xdr:rowOff>0</xdr:rowOff>
    </xdr:from>
    <xdr:ext cx="65" cy="172227"/>
    <xdr:sp macro="" textlink="">
      <xdr:nvSpPr>
        <xdr:cNvPr id="1376" name="TextBox 1375">
          <a:extLst>
            <a:ext uri="{FF2B5EF4-FFF2-40B4-BE49-F238E27FC236}">
              <a16:creationId xmlns:a16="http://schemas.microsoft.com/office/drawing/2014/main" id="{00000000-0008-0000-0000-000007000000}"/>
            </a:ext>
          </a:extLst>
        </xdr:cNvPr>
        <xdr:cNvSpPr txBox="1"/>
      </xdr:nvSpPr>
      <xdr:spPr>
        <a:xfrm>
          <a:off x="8267700" y="40271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120</xdr:row>
      <xdr:rowOff>0</xdr:rowOff>
    </xdr:from>
    <xdr:ext cx="65" cy="172227"/>
    <xdr:sp macro="" textlink="">
      <xdr:nvSpPr>
        <xdr:cNvPr id="1377" name="TextBox 1376">
          <a:extLst>
            <a:ext uri="{FF2B5EF4-FFF2-40B4-BE49-F238E27FC236}">
              <a16:creationId xmlns:a16="http://schemas.microsoft.com/office/drawing/2014/main" id="{00000000-0008-0000-0000-000007000000}"/>
            </a:ext>
          </a:extLst>
        </xdr:cNvPr>
        <xdr:cNvSpPr txBox="1"/>
      </xdr:nvSpPr>
      <xdr:spPr>
        <a:xfrm>
          <a:off x="8267700" y="40454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120</xdr:row>
      <xdr:rowOff>0</xdr:rowOff>
    </xdr:from>
    <xdr:ext cx="65" cy="172227"/>
    <xdr:sp macro="" textlink="">
      <xdr:nvSpPr>
        <xdr:cNvPr id="1378" name="TextBox 1377">
          <a:extLst>
            <a:ext uri="{FF2B5EF4-FFF2-40B4-BE49-F238E27FC236}">
              <a16:creationId xmlns:a16="http://schemas.microsoft.com/office/drawing/2014/main" id="{00000000-0008-0000-0000-000007000000}"/>
            </a:ext>
          </a:extLst>
        </xdr:cNvPr>
        <xdr:cNvSpPr txBox="1"/>
      </xdr:nvSpPr>
      <xdr:spPr>
        <a:xfrm>
          <a:off x="8267700" y="40454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121</xdr:row>
      <xdr:rowOff>0</xdr:rowOff>
    </xdr:from>
    <xdr:ext cx="65" cy="172227"/>
    <xdr:sp macro="" textlink="">
      <xdr:nvSpPr>
        <xdr:cNvPr id="1379" name="TextBox 1378">
          <a:extLst>
            <a:ext uri="{FF2B5EF4-FFF2-40B4-BE49-F238E27FC236}">
              <a16:creationId xmlns:a16="http://schemas.microsoft.com/office/drawing/2014/main" id="{00000000-0008-0000-0000-000007000000}"/>
            </a:ext>
          </a:extLst>
        </xdr:cNvPr>
        <xdr:cNvSpPr txBox="1"/>
      </xdr:nvSpPr>
      <xdr:spPr>
        <a:xfrm>
          <a:off x="8267700" y="40637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121</xdr:row>
      <xdr:rowOff>0</xdr:rowOff>
    </xdr:from>
    <xdr:ext cx="65" cy="172227"/>
    <xdr:sp macro="" textlink="">
      <xdr:nvSpPr>
        <xdr:cNvPr id="1380" name="TextBox 1379">
          <a:extLst>
            <a:ext uri="{FF2B5EF4-FFF2-40B4-BE49-F238E27FC236}">
              <a16:creationId xmlns:a16="http://schemas.microsoft.com/office/drawing/2014/main" id="{00000000-0008-0000-0000-000007000000}"/>
            </a:ext>
          </a:extLst>
        </xdr:cNvPr>
        <xdr:cNvSpPr txBox="1"/>
      </xdr:nvSpPr>
      <xdr:spPr>
        <a:xfrm>
          <a:off x="8267700" y="40637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122</xdr:row>
      <xdr:rowOff>0</xdr:rowOff>
    </xdr:from>
    <xdr:ext cx="65" cy="172227"/>
    <xdr:sp macro="" textlink="">
      <xdr:nvSpPr>
        <xdr:cNvPr id="1381" name="TextBox 1380">
          <a:extLst>
            <a:ext uri="{FF2B5EF4-FFF2-40B4-BE49-F238E27FC236}">
              <a16:creationId xmlns:a16="http://schemas.microsoft.com/office/drawing/2014/main" id="{00000000-0008-0000-0000-000007000000}"/>
            </a:ext>
          </a:extLst>
        </xdr:cNvPr>
        <xdr:cNvSpPr txBox="1"/>
      </xdr:nvSpPr>
      <xdr:spPr>
        <a:xfrm>
          <a:off x="8267700" y="40820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122</xdr:row>
      <xdr:rowOff>0</xdr:rowOff>
    </xdr:from>
    <xdr:ext cx="65" cy="172227"/>
    <xdr:sp macro="" textlink="">
      <xdr:nvSpPr>
        <xdr:cNvPr id="1382" name="TextBox 1381">
          <a:extLst>
            <a:ext uri="{FF2B5EF4-FFF2-40B4-BE49-F238E27FC236}">
              <a16:creationId xmlns:a16="http://schemas.microsoft.com/office/drawing/2014/main" id="{00000000-0008-0000-0000-000007000000}"/>
            </a:ext>
          </a:extLst>
        </xdr:cNvPr>
        <xdr:cNvSpPr txBox="1"/>
      </xdr:nvSpPr>
      <xdr:spPr>
        <a:xfrm>
          <a:off x="8267700" y="40820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123</xdr:row>
      <xdr:rowOff>0</xdr:rowOff>
    </xdr:from>
    <xdr:ext cx="65" cy="172227"/>
    <xdr:sp macro="" textlink="">
      <xdr:nvSpPr>
        <xdr:cNvPr id="1383" name="TextBox 1382">
          <a:extLst>
            <a:ext uri="{FF2B5EF4-FFF2-40B4-BE49-F238E27FC236}">
              <a16:creationId xmlns:a16="http://schemas.microsoft.com/office/drawing/2014/main" id="{00000000-0008-0000-0000-000007000000}"/>
            </a:ext>
          </a:extLst>
        </xdr:cNvPr>
        <xdr:cNvSpPr txBox="1"/>
      </xdr:nvSpPr>
      <xdr:spPr>
        <a:xfrm>
          <a:off x="8267700" y="41003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123</xdr:row>
      <xdr:rowOff>0</xdr:rowOff>
    </xdr:from>
    <xdr:ext cx="65" cy="172227"/>
    <xdr:sp macro="" textlink="">
      <xdr:nvSpPr>
        <xdr:cNvPr id="1384" name="TextBox 1383">
          <a:extLst>
            <a:ext uri="{FF2B5EF4-FFF2-40B4-BE49-F238E27FC236}">
              <a16:creationId xmlns:a16="http://schemas.microsoft.com/office/drawing/2014/main" id="{00000000-0008-0000-0000-000007000000}"/>
            </a:ext>
          </a:extLst>
        </xdr:cNvPr>
        <xdr:cNvSpPr txBox="1"/>
      </xdr:nvSpPr>
      <xdr:spPr>
        <a:xfrm>
          <a:off x="8267700" y="41003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129</xdr:row>
      <xdr:rowOff>0</xdr:rowOff>
    </xdr:from>
    <xdr:ext cx="65" cy="172227"/>
    <xdr:sp macro="" textlink="">
      <xdr:nvSpPr>
        <xdr:cNvPr id="1385" name="TextBox 1384">
          <a:extLst>
            <a:ext uri="{FF2B5EF4-FFF2-40B4-BE49-F238E27FC236}">
              <a16:creationId xmlns:a16="http://schemas.microsoft.com/office/drawing/2014/main" id="{00000000-0008-0000-0000-000007000000}"/>
            </a:ext>
          </a:extLst>
        </xdr:cNvPr>
        <xdr:cNvSpPr txBox="1"/>
      </xdr:nvSpPr>
      <xdr:spPr>
        <a:xfrm>
          <a:off x="8267700" y="4210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129</xdr:row>
      <xdr:rowOff>0</xdr:rowOff>
    </xdr:from>
    <xdr:ext cx="65" cy="172227"/>
    <xdr:sp macro="" textlink="">
      <xdr:nvSpPr>
        <xdr:cNvPr id="1386" name="TextBox 1385">
          <a:extLst>
            <a:ext uri="{FF2B5EF4-FFF2-40B4-BE49-F238E27FC236}">
              <a16:creationId xmlns:a16="http://schemas.microsoft.com/office/drawing/2014/main" id="{00000000-0008-0000-0000-000007000000}"/>
            </a:ext>
          </a:extLst>
        </xdr:cNvPr>
        <xdr:cNvSpPr txBox="1"/>
      </xdr:nvSpPr>
      <xdr:spPr>
        <a:xfrm>
          <a:off x="8267700" y="4210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130</xdr:row>
      <xdr:rowOff>0</xdr:rowOff>
    </xdr:from>
    <xdr:ext cx="65" cy="172227"/>
    <xdr:sp macro="" textlink="">
      <xdr:nvSpPr>
        <xdr:cNvPr id="1387" name="TextBox 1386">
          <a:extLst>
            <a:ext uri="{FF2B5EF4-FFF2-40B4-BE49-F238E27FC236}">
              <a16:creationId xmlns:a16="http://schemas.microsoft.com/office/drawing/2014/main" id="{00000000-0008-0000-0000-000007000000}"/>
            </a:ext>
          </a:extLst>
        </xdr:cNvPr>
        <xdr:cNvSpPr txBox="1"/>
      </xdr:nvSpPr>
      <xdr:spPr>
        <a:xfrm>
          <a:off x="8267700" y="4228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130</xdr:row>
      <xdr:rowOff>0</xdr:rowOff>
    </xdr:from>
    <xdr:ext cx="65" cy="172227"/>
    <xdr:sp macro="" textlink="">
      <xdr:nvSpPr>
        <xdr:cNvPr id="1388" name="TextBox 1387">
          <a:extLst>
            <a:ext uri="{FF2B5EF4-FFF2-40B4-BE49-F238E27FC236}">
              <a16:creationId xmlns:a16="http://schemas.microsoft.com/office/drawing/2014/main" id="{00000000-0008-0000-0000-000007000000}"/>
            </a:ext>
          </a:extLst>
        </xdr:cNvPr>
        <xdr:cNvSpPr txBox="1"/>
      </xdr:nvSpPr>
      <xdr:spPr>
        <a:xfrm>
          <a:off x="8267700" y="4228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131</xdr:row>
      <xdr:rowOff>0</xdr:rowOff>
    </xdr:from>
    <xdr:ext cx="65" cy="172227"/>
    <xdr:sp macro="" textlink="">
      <xdr:nvSpPr>
        <xdr:cNvPr id="1389" name="TextBox 1388">
          <a:extLst>
            <a:ext uri="{FF2B5EF4-FFF2-40B4-BE49-F238E27FC236}">
              <a16:creationId xmlns:a16="http://schemas.microsoft.com/office/drawing/2014/main" id="{00000000-0008-0000-0000-000007000000}"/>
            </a:ext>
          </a:extLst>
        </xdr:cNvPr>
        <xdr:cNvSpPr txBox="1"/>
      </xdr:nvSpPr>
      <xdr:spPr>
        <a:xfrm>
          <a:off x="8267700" y="42466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131</xdr:row>
      <xdr:rowOff>0</xdr:rowOff>
    </xdr:from>
    <xdr:ext cx="65" cy="172227"/>
    <xdr:sp macro="" textlink="">
      <xdr:nvSpPr>
        <xdr:cNvPr id="1390" name="TextBox 1389">
          <a:extLst>
            <a:ext uri="{FF2B5EF4-FFF2-40B4-BE49-F238E27FC236}">
              <a16:creationId xmlns:a16="http://schemas.microsoft.com/office/drawing/2014/main" id="{00000000-0008-0000-0000-000007000000}"/>
            </a:ext>
          </a:extLst>
        </xdr:cNvPr>
        <xdr:cNvSpPr txBox="1"/>
      </xdr:nvSpPr>
      <xdr:spPr>
        <a:xfrm>
          <a:off x="8267700" y="42466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132</xdr:row>
      <xdr:rowOff>0</xdr:rowOff>
    </xdr:from>
    <xdr:ext cx="65" cy="172227"/>
    <xdr:sp macro="" textlink="">
      <xdr:nvSpPr>
        <xdr:cNvPr id="1391" name="TextBox 1390">
          <a:extLst>
            <a:ext uri="{FF2B5EF4-FFF2-40B4-BE49-F238E27FC236}">
              <a16:creationId xmlns:a16="http://schemas.microsoft.com/office/drawing/2014/main" id="{00000000-0008-0000-0000-000007000000}"/>
            </a:ext>
          </a:extLst>
        </xdr:cNvPr>
        <xdr:cNvSpPr txBox="1"/>
      </xdr:nvSpPr>
      <xdr:spPr>
        <a:xfrm>
          <a:off x="8267700" y="42649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132</xdr:row>
      <xdr:rowOff>0</xdr:rowOff>
    </xdr:from>
    <xdr:ext cx="65" cy="172227"/>
    <xdr:sp macro="" textlink="">
      <xdr:nvSpPr>
        <xdr:cNvPr id="1392" name="TextBox 1391">
          <a:extLst>
            <a:ext uri="{FF2B5EF4-FFF2-40B4-BE49-F238E27FC236}">
              <a16:creationId xmlns:a16="http://schemas.microsoft.com/office/drawing/2014/main" id="{00000000-0008-0000-0000-000007000000}"/>
            </a:ext>
          </a:extLst>
        </xdr:cNvPr>
        <xdr:cNvSpPr txBox="1"/>
      </xdr:nvSpPr>
      <xdr:spPr>
        <a:xfrm>
          <a:off x="8267700" y="42649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133</xdr:row>
      <xdr:rowOff>0</xdr:rowOff>
    </xdr:from>
    <xdr:ext cx="65" cy="172227"/>
    <xdr:sp macro="" textlink="">
      <xdr:nvSpPr>
        <xdr:cNvPr id="1393" name="TextBox 1392">
          <a:extLst>
            <a:ext uri="{FF2B5EF4-FFF2-40B4-BE49-F238E27FC236}">
              <a16:creationId xmlns:a16="http://schemas.microsoft.com/office/drawing/2014/main" id="{00000000-0008-0000-0000-000007000000}"/>
            </a:ext>
          </a:extLst>
        </xdr:cNvPr>
        <xdr:cNvSpPr txBox="1"/>
      </xdr:nvSpPr>
      <xdr:spPr>
        <a:xfrm>
          <a:off x="8267700" y="42832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133</xdr:row>
      <xdr:rowOff>0</xdr:rowOff>
    </xdr:from>
    <xdr:ext cx="65" cy="172227"/>
    <xdr:sp macro="" textlink="">
      <xdr:nvSpPr>
        <xdr:cNvPr id="1394" name="TextBox 1393">
          <a:extLst>
            <a:ext uri="{FF2B5EF4-FFF2-40B4-BE49-F238E27FC236}">
              <a16:creationId xmlns:a16="http://schemas.microsoft.com/office/drawing/2014/main" id="{00000000-0008-0000-0000-000007000000}"/>
            </a:ext>
          </a:extLst>
        </xdr:cNvPr>
        <xdr:cNvSpPr txBox="1"/>
      </xdr:nvSpPr>
      <xdr:spPr>
        <a:xfrm>
          <a:off x="8267700" y="42832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395" name="TextBox 1394">
          <a:extLst>
            <a:ext uri="{FF2B5EF4-FFF2-40B4-BE49-F238E27FC236}">
              <a16:creationId xmlns:a16="http://schemas.microsoft.com/office/drawing/2014/main" id="{00000000-0008-0000-0000-000007000000}"/>
            </a:ext>
          </a:extLst>
        </xdr:cNvPr>
        <xdr:cNvSpPr txBox="1"/>
      </xdr:nvSpPr>
      <xdr:spPr>
        <a:xfrm>
          <a:off x="8267700" y="3419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396" name="TextBox 1395">
          <a:extLst>
            <a:ext uri="{FF2B5EF4-FFF2-40B4-BE49-F238E27FC236}">
              <a16:creationId xmlns:a16="http://schemas.microsoft.com/office/drawing/2014/main" id="{00000000-0008-0000-0000-000007000000}"/>
            </a:ext>
          </a:extLst>
        </xdr:cNvPr>
        <xdr:cNvSpPr txBox="1"/>
      </xdr:nvSpPr>
      <xdr:spPr>
        <a:xfrm>
          <a:off x="8267700" y="3419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1397" name="TextBox 1396">
          <a:extLst>
            <a:ext uri="{FF2B5EF4-FFF2-40B4-BE49-F238E27FC236}">
              <a16:creationId xmlns:a16="http://schemas.microsoft.com/office/drawing/2014/main" id="{00000000-0008-0000-0000-000007000000}"/>
            </a:ext>
          </a:extLst>
        </xdr:cNvPr>
        <xdr:cNvSpPr txBox="1"/>
      </xdr:nvSpPr>
      <xdr:spPr>
        <a:xfrm>
          <a:off x="8267700" y="34389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1398" name="TextBox 1397">
          <a:extLst>
            <a:ext uri="{FF2B5EF4-FFF2-40B4-BE49-F238E27FC236}">
              <a16:creationId xmlns:a16="http://schemas.microsoft.com/office/drawing/2014/main" id="{00000000-0008-0000-0000-000007000000}"/>
            </a:ext>
          </a:extLst>
        </xdr:cNvPr>
        <xdr:cNvSpPr txBox="1"/>
      </xdr:nvSpPr>
      <xdr:spPr>
        <a:xfrm>
          <a:off x="8267700" y="34389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88</xdr:row>
      <xdr:rowOff>0</xdr:rowOff>
    </xdr:from>
    <xdr:ext cx="65" cy="172227"/>
    <xdr:sp macro="" textlink="">
      <xdr:nvSpPr>
        <xdr:cNvPr id="1399" name="TextBox 1398">
          <a:extLst>
            <a:ext uri="{FF2B5EF4-FFF2-40B4-BE49-F238E27FC236}">
              <a16:creationId xmlns:a16="http://schemas.microsoft.com/office/drawing/2014/main" id="{00000000-0008-0000-0000-000007000000}"/>
            </a:ext>
          </a:extLst>
        </xdr:cNvPr>
        <xdr:cNvSpPr txBox="1"/>
      </xdr:nvSpPr>
      <xdr:spPr>
        <a:xfrm>
          <a:off x="8267700" y="34587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88</xdr:row>
      <xdr:rowOff>0</xdr:rowOff>
    </xdr:from>
    <xdr:ext cx="65" cy="172227"/>
    <xdr:sp macro="" textlink="">
      <xdr:nvSpPr>
        <xdr:cNvPr id="1400" name="TextBox 1399">
          <a:extLst>
            <a:ext uri="{FF2B5EF4-FFF2-40B4-BE49-F238E27FC236}">
              <a16:creationId xmlns:a16="http://schemas.microsoft.com/office/drawing/2014/main" id="{00000000-0008-0000-0000-000007000000}"/>
            </a:ext>
          </a:extLst>
        </xdr:cNvPr>
        <xdr:cNvSpPr txBox="1"/>
      </xdr:nvSpPr>
      <xdr:spPr>
        <a:xfrm>
          <a:off x="8267700" y="34587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88</xdr:row>
      <xdr:rowOff>0</xdr:rowOff>
    </xdr:from>
    <xdr:ext cx="65" cy="172227"/>
    <xdr:sp macro="" textlink="">
      <xdr:nvSpPr>
        <xdr:cNvPr id="1401" name="TextBox 1400">
          <a:extLst>
            <a:ext uri="{FF2B5EF4-FFF2-40B4-BE49-F238E27FC236}">
              <a16:creationId xmlns:a16="http://schemas.microsoft.com/office/drawing/2014/main" id="{00000000-0008-0000-0000-000007000000}"/>
            </a:ext>
          </a:extLst>
        </xdr:cNvPr>
        <xdr:cNvSpPr txBox="1"/>
      </xdr:nvSpPr>
      <xdr:spPr>
        <a:xfrm>
          <a:off x="8267700" y="34587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88</xdr:row>
      <xdr:rowOff>0</xdr:rowOff>
    </xdr:from>
    <xdr:ext cx="65" cy="172227"/>
    <xdr:sp macro="" textlink="">
      <xdr:nvSpPr>
        <xdr:cNvPr id="1402" name="TextBox 1401">
          <a:extLst>
            <a:ext uri="{FF2B5EF4-FFF2-40B4-BE49-F238E27FC236}">
              <a16:creationId xmlns:a16="http://schemas.microsoft.com/office/drawing/2014/main" id="{00000000-0008-0000-0000-000007000000}"/>
            </a:ext>
          </a:extLst>
        </xdr:cNvPr>
        <xdr:cNvSpPr txBox="1"/>
      </xdr:nvSpPr>
      <xdr:spPr>
        <a:xfrm>
          <a:off x="8267700" y="34587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1403" name="TextBox 1402">
          <a:extLst>
            <a:ext uri="{FF2B5EF4-FFF2-40B4-BE49-F238E27FC236}">
              <a16:creationId xmlns:a16="http://schemas.microsoft.com/office/drawing/2014/main" id="{00000000-0008-0000-0000-000007000000}"/>
            </a:ext>
          </a:extLst>
        </xdr:cNvPr>
        <xdr:cNvSpPr txBox="1"/>
      </xdr:nvSpPr>
      <xdr:spPr>
        <a:xfrm>
          <a:off x="8267700" y="3399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1404" name="TextBox 1403">
          <a:extLst>
            <a:ext uri="{FF2B5EF4-FFF2-40B4-BE49-F238E27FC236}">
              <a16:creationId xmlns:a16="http://schemas.microsoft.com/office/drawing/2014/main" id="{00000000-0008-0000-0000-000007000000}"/>
            </a:ext>
          </a:extLst>
        </xdr:cNvPr>
        <xdr:cNvSpPr txBox="1"/>
      </xdr:nvSpPr>
      <xdr:spPr>
        <a:xfrm>
          <a:off x="8267700" y="3399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405" name="TextBox 1404">
          <a:extLst>
            <a:ext uri="{FF2B5EF4-FFF2-40B4-BE49-F238E27FC236}">
              <a16:creationId xmlns:a16="http://schemas.microsoft.com/office/drawing/2014/main" id="{00000000-0008-0000-0000-000007000000}"/>
            </a:ext>
          </a:extLst>
        </xdr:cNvPr>
        <xdr:cNvSpPr txBox="1"/>
      </xdr:nvSpPr>
      <xdr:spPr>
        <a:xfrm>
          <a:off x="8267700" y="3419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406" name="TextBox 1405">
          <a:extLst>
            <a:ext uri="{FF2B5EF4-FFF2-40B4-BE49-F238E27FC236}">
              <a16:creationId xmlns:a16="http://schemas.microsoft.com/office/drawing/2014/main" id="{00000000-0008-0000-0000-000007000000}"/>
            </a:ext>
          </a:extLst>
        </xdr:cNvPr>
        <xdr:cNvSpPr txBox="1"/>
      </xdr:nvSpPr>
      <xdr:spPr>
        <a:xfrm>
          <a:off x="8267700" y="3419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407" name="TextBox 1406">
          <a:extLst>
            <a:ext uri="{FF2B5EF4-FFF2-40B4-BE49-F238E27FC236}">
              <a16:creationId xmlns:a16="http://schemas.microsoft.com/office/drawing/2014/main" id="{00000000-0008-0000-0000-000007000000}"/>
            </a:ext>
          </a:extLst>
        </xdr:cNvPr>
        <xdr:cNvSpPr txBox="1"/>
      </xdr:nvSpPr>
      <xdr:spPr>
        <a:xfrm>
          <a:off x="8267700" y="3419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408" name="TextBox 1407">
          <a:extLst>
            <a:ext uri="{FF2B5EF4-FFF2-40B4-BE49-F238E27FC236}">
              <a16:creationId xmlns:a16="http://schemas.microsoft.com/office/drawing/2014/main" id="{00000000-0008-0000-0000-000007000000}"/>
            </a:ext>
          </a:extLst>
        </xdr:cNvPr>
        <xdr:cNvSpPr txBox="1"/>
      </xdr:nvSpPr>
      <xdr:spPr>
        <a:xfrm>
          <a:off x="8267700" y="3419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1409" name="TextBox 1408">
          <a:extLst>
            <a:ext uri="{FF2B5EF4-FFF2-40B4-BE49-F238E27FC236}">
              <a16:creationId xmlns:a16="http://schemas.microsoft.com/office/drawing/2014/main" id="{00000000-0008-0000-0000-000007000000}"/>
            </a:ext>
          </a:extLst>
        </xdr:cNvPr>
        <xdr:cNvSpPr txBox="1"/>
      </xdr:nvSpPr>
      <xdr:spPr>
        <a:xfrm>
          <a:off x="8267700" y="34389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1410" name="TextBox 1409">
          <a:extLst>
            <a:ext uri="{FF2B5EF4-FFF2-40B4-BE49-F238E27FC236}">
              <a16:creationId xmlns:a16="http://schemas.microsoft.com/office/drawing/2014/main" id="{00000000-0008-0000-0000-000007000000}"/>
            </a:ext>
          </a:extLst>
        </xdr:cNvPr>
        <xdr:cNvSpPr txBox="1"/>
      </xdr:nvSpPr>
      <xdr:spPr>
        <a:xfrm>
          <a:off x="8267700" y="34389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1411" name="TextBox 1410">
          <a:extLst>
            <a:ext uri="{FF2B5EF4-FFF2-40B4-BE49-F238E27FC236}">
              <a16:creationId xmlns:a16="http://schemas.microsoft.com/office/drawing/2014/main" id="{00000000-0008-0000-0000-000007000000}"/>
            </a:ext>
          </a:extLst>
        </xdr:cNvPr>
        <xdr:cNvSpPr txBox="1"/>
      </xdr:nvSpPr>
      <xdr:spPr>
        <a:xfrm>
          <a:off x="8267700" y="34389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1412" name="TextBox 1411">
          <a:extLst>
            <a:ext uri="{FF2B5EF4-FFF2-40B4-BE49-F238E27FC236}">
              <a16:creationId xmlns:a16="http://schemas.microsoft.com/office/drawing/2014/main" id="{00000000-0008-0000-0000-000007000000}"/>
            </a:ext>
          </a:extLst>
        </xdr:cNvPr>
        <xdr:cNvSpPr txBox="1"/>
      </xdr:nvSpPr>
      <xdr:spPr>
        <a:xfrm>
          <a:off x="8267700" y="34389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1413" name="TextBox 1412">
          <a:extLst>
            <a:ext uri="{FF2B5EF4-FFF2-40B4-BE49-F238E27FC236}">
              <a16:creationId xmlns:a16="http://schemas.microsoft.com/office/drawing/2014/main" id="{00000000-0008-0000-0000-000007000000}"/>
            </a:ext>
          </a:extLst>
        </xdr:cNvPr>
        <xdr:cNvSpPr txBox="1"/>
      </xdr:nvSpPr>
      <xdr:spPr>
        <a:xfrm>
          <a:off x="8267700" y="34389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1414" name="TextBox 1413">
          <a:extLst>
            <a:ext uri="{FF2B5EF4-FFF2-40B4-BE49-F238E27FC236}">
              <a16:creationId xmlns:a16="http://schemas.microsoft.com/office/drawing/2014/main" id="{00000000-0008-0000-0000-000007000000}"/>
            </a:ext>
          </a:extLst>
        </xdr:cNvPr>
        <xdr:cNvSpPr txBox="1"/>
      </xdr:nvSpPr>
      <xdr:spPr>
        <a:xfrm>
          <a:off x="8267700" y="34389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1415" name="TextBox 1414">
          <a:extLst>
            <a:ext uri="{FF2B5EF4-FFF2-40B4-BE49-F238E27FC236}">
              <a16:creationId xmlns:a16="http://schemas.microsoft.com/office/drawing/2014/main" id="{00000000-0008-0000-0000-000007000000}"/>
            </a:ext>
          </a:extLst>
        </xdr:cNvPr>
        <xdr:cNvSpPr txBox="1"/>
      </xdr:nvSpPr>
      <xdr:spPr>
        <a:xfrm>
          <a:off x="8267700" y="34389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1416" name="TextBox 1415">
          <a:extLst>
            <a:ext uri="{FF2B5EF4-FFF2-40B4-BE49-F238E27FC236}">
              <a16:creationId xmlns:a16="http://schemas.microsoft.com/office/drawing/2014/main" id="{00000000-0008-0000-0000-000007000000}"/>
            </a:ext>
          </a:extLst>
        </xdr:cNvPr>
        <xdr:cNvSpPr txBox="1"/>
      </xdr:nvSpPr>
      <xdr:spPr>
        <a:xfrm>
          <a:off x="8267700" y="34389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1417" name="TextBox 1416">
          <a:extLst>
            <a:ext uri="{FF2B5EF4-FFF2-40B4-BE49-F238E27FC236}">
              <a16:creationId xmlns:a16="http://schemas.microsoft.com/office/drawing/2014/main" id="{00000000-0008-0000-0000-000007000000}"/>
            </a:ext>
          </a:extLst>
        </xdr:cNvPr>
        <xdr:cNvSpPr txBox="1"/>
      </xdr:nvSpPr>
      <xdr:spPr>
        <a:xfrm>
          <a:off x="8267700" y="3399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1418" name="TextBox 1417">
          <a:extLst>
            <a:ext uri="{FF2B5EF4-FFF2-40B4-BE49-F238E27FC236}">
              <a16:creationId xmlns:a16="http://schemas.microsoft.com/office/drawing/2014/main" id="{00000000-0008-0000-0000-000007000000}"/>
            </a:ext>
          </a:extLst>
        </xdr:cNvPr>
        <xdr:cNvSpPr txBox="1"/>
      </xdr:nvSpPr>
      <xdr:spPr>
        <a:xfrm>
          <a:off x="8267700" y="3399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1419" name="TextBox 1418">
          <a:extLst>
            <a:ext uri="{FF2B5EF4-FFF2-40B4-BE49-F238E27FC236}">
              <a16:creationId xmlns:a16="http://schemas.microsoft.com/office/drawing/2014/main" id="{00000000-0008-0000-0000-000007000000}"/>
            </a:ext>
          </a:extLst>
        </xdr:cNvPr>
        <xdr:cNvSpPr txBox="1"/>
      </xdr:nvSpPr>
      <xdr:spPr>
        <a:xfrm>
          <a:off x="8267700" y="3399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1420" name="TextBox 1419">
          <a:extLst>
            <a:ext uri="{FF2B5EF4-FFF2-40B4-BE49-F238E27FC236}">
              <a16:creationId xmlns:a16="http://schemas.microsoft.com/office/drawing/2014/main" id="{00000000-0008-0000-0000-000007000000}"/>
            </a:ext>
          </a:extLst>
        </xdr:cNvPr>
        <xdr:cNvSpPr txBox="1"/>
      </xdr:nvSpPr>
      <xdr:spPr>
        <a:xfrm>
          <a:off x="8267700" y="3399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421" name="TextBox 1420">
          <a:extLst>
            <a:ext uri="{FF2B5EF4-FFF2-40B4-BE49-F238E27FC236}">
              <a16:creationId xmlns:a16="http://schemas.microsoft.com/office/drawing/2014/main" id="{00000000-0008-0000-0000-000007000000}"/>
            </a:ext>
          </a:extLst>
        </xdr:cNvPr>
        <xdr:cNvSpPr txBox="1"/>
      </xdr:nvSpPr>
      <xdr:spPr>
        <a:xfrm>
          <a:off x="8267700" y="3419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422" name="TextBox 1421">
          <a:extLst>
            <a:ext uri="{FF2B5EF4-FFF2-40B4-BE49-F238E27FC236}">
              <a16:creationId xmlns:a16="http://schemas.microsoft.com/office/drawing/2014/main" id="{00000000-0008-0000-0000-000007000000}"/>
            </a:ext>
          </a:extLst>
        </xdr:cNvPr>
        <xdr:cNvSpPr txBox="1"/>
      </xdr:nvSpPr>
      <xdr:spPr>
        <a:xfrm>
          <a:off x="8267700" y="3419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423" name="TextBox 1422">
          <a:extLst>
            <a:ext uri="{FF2B5EF4-FFF2-40B4-BE49-F238E27FC236}">
              <a16:creationId xmlns:a16="http://schemas.microsoft.com/office/drawing/2014/main" id="{00000000-0008-0000-0000-000007000000}"/>
            </a:ext>
          </a:extLst>
        </xdr:cNvPr>
        <xdr:cNvSpPr txBox="1"/>
      </xdr:nvSpPr>
      <xdr:spPr>
        <a:xfrm>
          <a:off x="8267700" y="3419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424" name="TextBox 1423">
          <a:extLst>
            <a:ext uri="{FF2B5EF4-FFF2-40B4-BE49-F238E27FC236}">
              <a16:creationId xmlns:a16="http://schemas.microsoft.com/office/drawing/2014/main" id="{00000000-0008-0000-0000-000007000000}"/>
            </a:ext>
          </a:extLst>
        </xdr:cNvPr>
        <xdr:cNvSpPr txBox="1"/>
      </xdr:nvSpPr>
      <xdr:spPr>
        <a:xfrm>
          <a:off x="8267700" y="3419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425" name="TextBox 1424">
          <a:extLst>
            <a:ext uri="{FF2B5EF4-FFF2-40B4-BE49-F238E27FC236}">
              <a16:creationId xmlns:a16="http://schemas.microsoft.com/office/drawing/2014/main" id="{00000000-0008-0000-0000-000007000000}"/>
            </a:ext>
          </a:extLst>
        </xdr:cNvPr>
        <xdr:cNvSpPr txBox="1"/>
      </xdr:nvSpPr>
      <xdr:spPr>
        <a:xfrm>
          <a:off x="8267700" y="3419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426" name="TextBox 1425">
          <a:extLst>
            <a:ext uri="{FF2B5EF4-FFF2-40B4-BE49-F238E27FC236}">
              <a16:creationId xmlns:a16="http://schemas.microsoft.com/office/drawing/2014/main" id="{00000000-0008-0000-0000-000007000000}"/>
            </a:ext>
          </a:extLst>
        </xdr:cNvPr>
        <xdr:cNvSpPr txBox="1"/>
      </xdr:nvSpPr>
      <xdr:spPr>
        <a:xfrm>
          <a:off x="8267700" y="3419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427" name="TextBox 1426">
          <a:extLst>
            <a:ext uri="{FF2B5EF4-FFF2-40B4-BE49-F238E27FC236}">
              <a16:creationId xmlns:a16="http://schemas.microsoft.com/office/drawing/2014/main" id="{00000000-0008-0000-0000-000007000000}"/>
            </a:ext>
          </a:extLst>
        </xdr:cNvPr>
        <xdr:cNvSpPr txBox="1"/>
      </xdr:nvSpPr>
      <xdr:spPr>
        <a:xfrm>
          <a:off x="8267700" y="3419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428" name="TextBox 1427">
          <a:extLst>
            <a:ext uri="{FF2B5EF4-FFF2-40B4-BE49-F238E27FC236}">
              <a16:creationId xmlns:a16="http://schemas.microsoft.com/office/drawing/2014/main" id="{00000000-0008-0000-0000-000007000000}"/>
            </a:ext>
          </a:extLst>
        </xdr:cNvPr>
        <xdr:cNvSpPr txBox="1"/>
      </xdr:nvSpPr>
      <xdr:spPr>
        <a:xfrm>
          <a:off x="8267700" y="3419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429" name="TextBox 1428">
          <a:extLst>
            <a:ext uri="{FF2B5EF4-FFF2-40B4-BE49-F238E27FC236}">
              <a16:creationId xmlns:a16="http://schemas.microsoft.com/office/drawing/2014/main" id="{00000000-0008-0000-0000-000007000000}"/>
            </a:ext>
          </a:extLst>
        </xdr:cNvPr>
        <xdr:cNvSpPr txBox="1"/>
      </xdr:nvSpPr>
      <xdr:spPr>
        <a:xfrm>
          <a:off x="8267700" y="3419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430" name="TextBox 1429">
          <a:extLst>
            <a:ext uri="{FF2B5EF4-FFF2-40B4-BE49-F238E27FC236}">
              <a16:creationId xmlns:a16="http://schemas.microsoft.com/office/drawing/2014/main" id="{00000000-0008-0000-0000-000007000000}"/>
            </a:ext>
          </a:extLst>
        </xdr:cNvPr>
        <xdr:cNvSpPr txBox="1"/>
      </xdr:nvSpPr>
      <xdr:spPr>
        <a:xfrm>
          <a:off x="8267700" y="3419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431" name="TextBox 1430">
          <a:extLst>
            <a:ext uri="{FF2B5EF4-FFF2-40B4-BE49-F238E27FC236}">
              <a16:creationId xmlns:a16="http://schemas.microsoft.com/office/drawing/2014/main" id="{00000000-0008-0000-0000-000007000000}"/>
            </a:ext>
          </a:extLst>
        </xdr:cNvPr>
        <xdr:cNvSpPr txBox="1"/>
      </xdr:nvSpPr>
      <xdr:spPr>
        <a:xfrm>
          <a:off x="8267700" y="3419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432" name="TextBox 1431">
          <a:extLst>
            <a:ext uri="{FF2B5EF4-FFF2-40B4-BE49-F238E27FC236}">
              <a16:creationId xmlns:a16="http://schemas.microsoft.com/office/drawing/2014/main" id="{00000000-0008-0000-0000-000007000000}"/>
            </a:ext>
          </a:extLst>
        </xdr:cNvPr>
        <xdr:cNvSpPr txBox="1"/>
      </xdr:nvSpPr>
      <xdr:spPr>
        <a:xfrm>
          <a:off x="8267700" y="3419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433" name="TextBox 1432">
          <a:extLst>
            <a:ext uri="{FF2B5EF4-FFF2-40B4-BE49-F238E27FC236}">
              <a16:creationId xmlns:a16="http://schemas.microsoft.com/office/drawing/2014/main" id="{00000000-0008-0000-0000-000007000000}"/>
            </a:ext>
          </a:extLst>
        </xdr:cNvPr>
        <xdr:cNvSpPr txBox="1"/>
      </xdr:nvSpPr>
      <xdr:spPr>
        <a:xfrm>
          <a:off x="8267700" y="3419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434" name="TextBox 1433">
          <a:extLst>
            <a:ext uri="{FF2B5EF4-FFF2-40B4-BE49-F238E27FC236}">
              <a16:creationId xmlns:a16="http://schemas.microsoft.com/office/drawing/2014/main" id="{00000000-0008-0000-0000-000007000000}"/>
            </a:ext>
          </a:extLst>
        </xdr:cNvPr>
        <xdr:cNvSpPr txBox="1"/>
      </xdr:nvSpPr>
      <xdr:spPr>
        <a:xfrm>
          <a:off x="8267700" y="3419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435" name="TextBox 1434">
          <a:extLst>
            <a:ext uri="{FF2B5EF4-FFF2-40B4-BE49-F238E27FC236}">
              <a16:creationId xmlns:a16="http://schemas.microsoft.com/office/drawing/2014/main" id="{00000000-0008-0000-0000-000007000000}"/>
            </a:ext>
          </a:extLst>
        </xdr:cNvPr>
        <xdr:cNvSpPr txBox="1"/>
      </xdr:nvSpPr>
      <xdr:spPr>
        <a:xfrm>
          <a:off x="8267700" y="3419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436" name="TextBox 1435">
          <a:extLst>
            <a:ext uri="{FF2B5EF4-FFF2-40B4-BE49-F238E27FC236}">
              <a16:creationId xmlns:a16="http://schemas.microsoft.com/office/drawing/2014/main" id="{00000000-0008-0000-0000-000007000000}"/>
            </a:ext>
          </a:extLst>
        </xdr:cNvPr>
        <xdr:cNvSpPr txBox="1"/>
      </xdr:nvSpPr>
      <xdr:spPr>
        <a:xfrm>
          <a:off x="8267700" y="3419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437" name="TextBox 1436">
          <a:extLst>
            <a:ext uri="{FF2B5EF4-FFF2-40B4-BE49-F238E27FC236}">
              <a16:creationId xmlns:a16="http://schemas.microsoft.com/office/drawing/2014/main" id="{00000000-0008-0000-0000-000007000000}"/>
            </a:ext>
          </a:extLst>
        </xdr:cNvPr>
        <xdr:cNvSpPr txBox="1"/>
      </xdr:nvSpPr>
      <xdr:spPr>
        <a:xfrm>
          <a:off x="11201400" y="3419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438" name="TextBox 1437">
          <a:extLst>
            <a:ext uri="{FF2B5EF4-FFF2-40B4-BE49-F238E27FC236}">
              <a16:creationId xmlns:a16="http://schemas.microsoft.com/office/drawing/2014/main" id="{00000000-0008-0000-0000-000007000000}"/>
            </a:ext>
          </a:extLst>
        </xdr:cNvPr>
        <xdr:cNvSpPr txBox="1"/>
      </xdr:nvSpPr>
      <xdr:spPr>
        <a:xfrm>
          <a:off x="11201400" y="3419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439" name="TextBox 1438">
          <a:extLst>
            <a:ext uri="{FF2B5EF4-FFF2-40B4-BE49-F238E27FC236}">
              <a16:creationId xmlns:a16="http://schemas.microsoft.com/office/drawing/2014/main" id="{00000000-0008-0000-0000-000007000000}"/>
            </a:ext>
          </a:extLst>
        </xdr:cNvPr>
        <xdr:cNvSpPr txBox="1"/>
      </xdr:nvSpPr>
      <xdr:spPr>
        <a:xfrm>
          <a:off x="11201400" y="3419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440" name="TextBox 1439">
          <a:extLst>
            <a:ext uri="{FF2B5EF4-FFF2-40B4-BE49-F238E27FC236}">
              <a16:creationId xmlns:a16="http://schemas.microsoft.com/office/drawing/2014/main" id="{00000000-0008-0000-0000-000007000000}"/>
            </a:ext>
          </a:extLst>
        </xdr:cNvPr>
        <xdr:cNvSpPr txBox="1"/>
      </xdr:nvSpPr>
      <xdr:spPr>
        <a:xfrm>
          <a:off x="11201400" y="3419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441" name="TextBox 1440">
          <a:extLst>
            <a:ext uri="{FF2B5EF4-FFF2-40B4-BE49-F238E27FC236}">
              <a16:creationId xmlns:a16="http://schemas.microsoft.com/office/drawing/2014/main" id="{00000000-0008-0000-0000-000007000000}"/>
            </a:ext>
          </a:extLst>
        </xdr:cNvPr>
        <xdr:cNvSpPr txBox="1"/>
      </xdr:nvSpPr>
      <xdr:spPr>
        <a:xfrm>
          <a:off x="11201400" y="3419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442" name="TextBox 1441">
          <a:extLst>
            <a:ext uri="{FF2B5EF4-FFF2-40B4-BE49-F238E27FC236}">
              <a16:creationId xmlns:a16="http://schemas.microsoft.com/office/drawing/2014/main" id="{00000000-0008-0000-0000-000007000000}"/>
            </a:ext>
          </a:extLst>
        </xdr:cNvPr>
        <xdr:cNvSpPr txBox="1"/>
      </xdr:nvSpPr>
      <xdr:spPr>
        <a:xfrm>
          <a:off x="11201400" y="3419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443" name="TextBox 1442">
          <a:extLst>
            <a:ext uri="{FF2B5EF4-FFF2-40B4-BE49-F238E27FC236}">
              <a16:creationId xmlns:a16="http://schemas.microsoft.com/office/drawing/2014/main" id="{00000000-0008-0000-0000-000007000000}"/>
            </a:ext>
          </a:extLst>
        </xdr:cNvPr>
        <xdr:cNvSpPr txBox="1"/>
      </xdr:nvSpPr>
      <xdr:spPr>
        <a:xfrm>
          <a:off x="11201400" y="3419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444" name="TextBox 1443">
          <a:extLst>
            <a:ext uri="{FF2B5EF4-FFF2-40B4-BE49-F238E27FC236}">
              <a16:creationId xmlns:a16="http://schemas.microsoft.com/office/drawing/2014/main" id="{00000000-0008-0000-0000-000007000000}"/>
            </a:ext>
          </a:extLst>
        </xdr:cNvPr>
        <xdr:cNvSpPr txBox="1"/>
      </xdr:nvSpPr>
      <xdr:spPr>
        <a:xfrm>
          <a:off x="11201400" y="3419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1445" name="TextBox 1444">
          <a:extLst>
            <a:ext uri="{FF2B5EF4-FFF2-40B4-BE49-F238E27FC236}">
              <a16:creationId xmlns:a16="http://schemas.microsoft.com/office/drawing/2014/main" id="{00000000-0008-0000-0000-000007000000}"/>
            </a:ext>
          </a:extLst>
        </xdr:cNvPr>
        <xdr:cNvSpPr txBox="1"/>
      </xdr:nvSpPr>
      <xdr:spPr>
        <a:xfrm>
          <a:off x="8267700" y="3399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1446" name="TextBox 1445">
          <a:extLst>
            <a:ext uri="{FF2B5EF4-FFF2-40B4-BE49-F238E27FC236}">
              <a16:creationId xmlns:a16="http://schemas.microsoft.com/office/drawing/2014/main" id="{00000000-0008-0000-0000-000007000000}"/>
            </a:ext>
          </a:extLst>
        </xdr:cNvPr>
        <xdr:cNvSpPr txBox="1"/>
      </xdr:nvSpPr>
      <xdr:spPr>
        <a:xfrm>
          <a:off x="8267700" y="3399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84</xdr:row>
      <xdr:rowOff>0</xdr:rowOff>
    </xdr:from>
    <xdr:ext cx="65" cy="172227"/>
    <xdr:sp macro="" textlink="">
      <xdr:nvSpPr>
        <xdr:cNvPr id="1451" name="TextBox 1450">
          <a:extLst>
            <a:ext uri="{FF2B5EF4-FFF2-40B4-BE49-F238E27FC236}">
              <a16:creationId xmlns:a16="http://schemas.microsoft.com/office/drawing/2014/main" id="{00000000-0008-0000-0000-000007000000}"/>
            </a:ext>
          </a:extLst>
        </xdr:cNvPr>
        <xdr:cNvSpPr txBox="1"/>
      </xdr:nvSpPr>
      <xdr:spPr>
        <a:xfrm>
          <a:off x="826770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84</xdr:row>
      <xdr:rowOff>0</xdr:rowOff>
    </xdr:from>
    <xdr:ext cx="65" cy="172227"/>
    <xdr:sp macro="" textlink="">
      <xdr:nvSpPr>
        <xdr:cNvPr id="1455" name="TextBox 1454">
          <a:extLst>
            <a:ext uri="{FF2B5EF4-FFF2-40B4-BE49-F238E27FC236}">
              <a16:creationId xmlns:a16="http://schemas.microsoft.com/office/drawing/2014/main" id="{00000000-0008-0000-0000-000007000000}"/>
            </a:ext>
          </a:extLst>
        </xdr:cNvPr>
        <xdr:cNvSpPr txBox="1"/>
      </xdr:nvSpPr>
      <xdr:spPr>
        <a:xfrm>
          <a:off x="826770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1456" name="TextBox 1455">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1457" name="TextBox 1456">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458" name="TextBox 1457">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459" name="TextBox 1458">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1460" name="TextBox 1459">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1461" name="TextBox 1460">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88</xdr:row>
      <xdr:rowOff>0</xdr:rowOff>
    </xdr:from>
    <xdr:ext cx="65" cy="172227"/>
    <xdr:sp macro="" textlink="">
      <xdr:nvSpPr>
        <xdr:cNvPr id="1462" name="TextBox 1461">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88</xdr:row>
      <xdr:rowOff>0</xdr:rowOff>
    </xdr:from>
    <xdr:ext cx="65" cy="172227"/>
    <xdr:sp macro="" textlink="">
      <xdr:nvSpPr>
        <xdr:cNvPr id="1463" name="TextBox 1462">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89</xdr:row>
      <xdr:rowOff>0</xdr:rowOff>
    </xdr:from>
    <xdr:ext cx="65" cy="172227"/>
    <xdr:sp macro="" textlink="">
      <xdr:nvSpPr>
        <xdr:cNvPr id="1464" name="TextBox 1463">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89</xdr:row>
      <xdr:rowOff>0</xdr:rowOff>
    </xdr:from>
    <xdr:ext cx="65" cy="172227"/>
    <xdr:sp macro="" textlink="">
      <xdr:nvSpPr>
        <xdr:cNvPr id="1465" name="TextBox 1464">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90</xdr:row>
      <xdr:rowOff>0</xdr:rowOff>
    </xdr:from>
    <xdr:ext cx="65" cy="172227"/>
    <xdr:sp macro="" textlink="">
      <xdr:nvSpPr>
        <xdr:cNvPr id="1466" name="TextBox 1465">
          <a:extLst>
            <a:ext uri="{FF2B5EF4-FFF2-40B4-BE49-F238E27FC236}">
              <a16:creationId xmlns:a16="http://schemas.microsoft.com/office/drawing/2014/main" id="{00000000-0008-0000-0000-000007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90</xdr:row>
      <xdr:rowOff>0</xdr:rowOff>
    </xdr:from>
    <xdr:ext cx="65" cy="172227"/>
    <xdr:sp macro="" textlink="">
      <xdr:nvSpPr>
        <xdr:cNvPr id="1467" name="TextBox 1466">
          <a:extLst>
            <a:ext uri="{FF2B5EF4-FFF2-40B4-BE49-F238E27FC236}">
              <a16:creationId xmlns:a16="http://schemas.microsoft.com/office/drawing/2014/main" id="{00000000-0008-0000-0000-000007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91</xdr:row>
      <xdr:rowOff>0</xdr:rowOff>
    </xdr:from>
    <xdr:ext cx="65" cy="172227"/>
    <xdr:sp macro="" textlink="">
      <xdr:nvSpPr>
        <xdr:cNvPr id="1468" name="TextBox 1467">
          <a:extLst>
            <a:ext uri="{FF2B5EF4-FFF2-40B4-BE49-F238E27FC236}">
              <a16:creationId xmlns:a16="http://schemas.microsoft.com/office/drawing/2014/main" id="{00000000-0008-0000-0000-000007000000}"/>
            </a:ext>
          </a:extLst>
        </xdr:cNvPr>
        <xdr:cNvSpPr txBox="1"/>
      </xdr:nvSpPr>
      <xdr:spPr>
        <a:xfrm>
          <a:off x="8267700" y="34846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91</xdr:row>
      <xdr:rowOff>0</xdr:rowOff>
    </xdr:from>
    <xdr:ext cx="65" cy="172227"/>
    <xdr:sp macro="" textlink="">
      <xdr:nvSpPr>
        <xdr:cNvPr id="1469" name="TextBox 1468">
          <a:extLst>
            <a:ext uri="{FF2B5EF4-FFF2-40B4-BE49-F238E27FC236}">
              <a16:creationId xmlns:a16="http://schemas.microsoft.com/office/drawing/2014/main" id="{00000000-0008-0000-0000-000007000000}"/>
            </a:ext>
          </a:extLst>
        </xdr:cNvPr>
        <xdr:cNvSpPr txBox="1"/>
      </xdr:nvSpPr>
      <xdr:spPr>
        <a:xfrm>
          <a:off x="8267700" y="34846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92</xdr:row>
      <xdr:rowOff>0</xdr:rowOff>
    </xdr:from>
    <xdr:ext cx="65" cy="172227"/>
    <xdr:sp macro="" textlink="">
      <xdr:nvSpPr>
        <xdr:cNvPr id="1470" name="TextBox 1469">
          <a:extLst>
            <a:ext uri="{FF2B5EF4-FFF2-40B4-BE49-F238E27FC236}">
              <a16:creationId xmlns:a16="http://schemas.microsoft.com/office/drawing/2014/main" id="{00000000-0008-0000-0000-000007000000}"/>
            </a:ext>
          </a:extLst>
        </xdr:cNvPr>
        <xdr:cNvSpPr txBox="1"/>
      </xdr:nvSpPr>
      <xdr:spPr>
        <a:xfrm>
          <a:off x="8267700" y="35029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92</xdr:row>
      <xdr:rowOff>0</xdr:rowOff>
    </xdr:from>
    <xdr:ext cx="65" cy="172227"/>
    <xdr:sp macro="" textlink="">
      <xdr:nvSpPr>
        <xdr:cNvPr id="1471" name="TextBox 1470">
          <a:extLst>
            <a:ext uri="{FF2B5EF4-FFF2-40B4-BE49-F238E27FC236}">
              <a16:creationId xmlns:a16="http://schemas.microsoft.com/office/drawing/2014/main" id="{00000000-0008-0000-0000-000007000000}"/>
            </a:ext>
          </a:extLst>
        </xdr:cNvPr>
        <xdr:cNvSpPr txBox="1"/>
      </xdr:nvSpPr>
      <xdr:spPr>
        <a:xfrm>
          <a:off x="8267700" y="35029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93</xdr:row>
      <xdr:rowOff>0</xdr:rowOff>
    </xdr:from>
    <xdr:ext cx="65" cy="172227"/>
    <xdr:sp macro="" textlink="">
      <xdr:nvSpPr>
        <xdr:cNvPr id="1472" name="TextBox 1471">
          <a:extLst>
            <a:ext uri="{FF2B5EF4-FFF2-40B4-BE49-F238E27FC236}">
              <a16:creationId xmlns:a16="http://schemas.microsoft.com/office/drawing/2014/main" id="{00000000-0008-0000-0000-000007000000}"/>
            </a:ext>
          </a:extLst>
        </xdr:cNvPr>
        <xdr:cNvSpPr txBox="1"/>
      </xdr:nvSpPr>
      <xdr:spPr>
        <a:xfrm>
          <a:off x="8267700" y="35212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93</xdr:row>
      <xdr:rowOff>0</xdr:rowOff>
    </xdr:from>
    <xdr:ext cx="65" cy="172227"/>
    <xdr:sp macro="" textlink="">
      <xdr:nvSpPr>
        <xdr:cNvPr id="1473" name="TextBox 1472">
          <a:extLst>
            <a:ext uri="{FF2B5EF4-FFF2-40B4-BE49-F238E27FC236}">
              <a16:creationId xmlns:a16="http://schemas.microsoft.com/office/drawing/2014/main" id="{00000000-0008-0000-0000-000007000000}"/>
            </a:ext>
          </a:extLst>
        </xdr:cNvPr>
        <xdr:cNvSpPr txBox="1"/>
      </xdr:nvSpPr>
      <xdr:spPr>
        <a:xfrm>
          <a:off x="8267700" y="35212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99</xdr:row>
      <xdr:rowOff>0</xdr:rowOff>
    </xdr:from>
    <xdr:ext cx="65" cy="172227"/>
    <xdr:sp macro="" textlink="">
      <xdr:nvSpPr>
        <xdr:cNvPr id="1474" name="TextBox 1473">
          <a:extLst>
            <a:ext uri="{FF2B5EF4-FFF2-40B4-BE49-F238E27FC236}">
              <a16:creationId xmlns:a16="http://schemas.microsoft.com/office/drawing/2014/main" id="{00000000-0008-0000-0000-000007000000}"/>
            </a:ext>
          </a:extLst>
        </xdr:cNvPr>
        <xdr:cNvSpPr txBox="1"/>
      </xdr:nvSpPr>
      <xdr:spPr>
        <a:xfrm>
          <a:off x="8267700" y="36309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99</xdr:row>
      <xdr:rowOff>0</xdr:rowOff>
    </xdr:from>
    <xdr:ext cx="65" cy="172227"/>
    <xdr:sp macro="" textlink="">
      <xdr:nvSpPr>
        <xdr:cNvPr id="1475" name="TextBox 1474">
          <a:extLst>
            <a:ext uri="{FF2B5EF4-FFF2-40B4-BE49-F238E27FC236}">
              <a16:creationId xmlns:a16="http://schemas.microsoft.com/office/drawing/2014/main" id="{00000000-0008-0000-0000-000007000000}"/>
            </a:ext>
          </a:extLst>
        </xdr:cNvPr>
        <xdr:cNvSpPr txBox="1"/>
      </xdr:nvSpPr>
      <xdr:spPr>
        <a:xfrm>
          <a:off x="8267700" y="36309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100</xdr:row>
      <xdr:rowOff>0</xdr:rowOff>
    </xdr:from>
    <xdr:ext cx="65" cy="172227"/>
    <xdr:sp macro="" textlink="">
      <xdr:nvSpPr>
        <xdr:cNvPr id="1476" name="TextBox 1475">
          <a:extLst>
            <a:ext uri="{FF2B5EF4-FFF2-40B4-BE49-F238E27FC236}">
              <a16:creationId xmlns:a16="http://schemas.microsoft.com/office/drawing/2014/main" id="{00000000-0008-0000-0000-000007000000}"/>
            </a:ext>
          </a:extLst>
        </xdr:cNvPr>
        <xdr:cNvSpPr txBox="1"/>
      </xdr:nvSpPr>
      <xdr:spPr>
        <a:xfrm>
          <a:off x="8267700" y="36492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100</xdr:row>
      <xdr:rowOff>0</xdr:rowOff>
    </xdr:from>
    <xdr:ext cx="65" cy="172227"/>
    <xdr:sp macro="" textlink="">
      <xdr:nvSpPr>
        <xdr:cNvPr id="1477" name="TextBox 1476">
          <a:extLst>
            <a:ext uri="{FF2B5EF4-FFF2-40B4-BE49-F238E27FC236}">
              <a16:creationId xmlns:a16="http://schemas.microsoft.com/office/drawing/2014/main" id="{00000000-0008-0000-0000-000007000000}"/>
            </a:ext>
          </a:extLst>
        </xdr:cNvPr>
        <xdr:cNvSpPr txBox="1"/>
      </xdr:nvSpPr>
      <xdr:spPr>
        <a:xfrm>
          <a:off x="8267700" y="36492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101</xdr:row>
      <xdr:rowOff>0</xdr:rowOff>
    </xdr:from>
    <xdr:ext cx="65" cy="172227"/>
    <xdr:sp macro="" textlink="">
      <xdr:nvSpPr>
        <xdr:cNvPr id="1478" name="TextBox 1477">
          <a:extLst>
            <a:ext uri="{FF2B5EF4-FFF2-40B4-BE49-F238E27FC236}">
              <a16:creationId xmlns:a16="http://schemas.microsoft.com/office/drawing/2014/main" id="{00000000-0008-0000-0000-000007000000}"/>
            </a:ext>
          </a:extLst>
        </xdr:cNvPr>
        <xdr:cNvSpPr txBox="1"/>
      </xdr:nvSpPr>
      <xdr:spPr>
        <a:xfrm>
          <a:off x="8267700" y="36675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101</xdr:row>
      <xdr:rowOff>0</xdr:rowOff>
    </xdr:from>
    <xdr:ext cx="65" cy="172227"/>
    <xdr:sp macro="" textlink="">
      <xdr:nvSpPr>
        <xdr:cNvPr id="1479" name="TextBox 1478">
          <a:extLst>
            <a:ext uri="{FF2B5EF4-FFF2-40B4-BE49-F238E27FC236}">
              <a16:creationId xmlns:a16="http://schemas.microsoft.com/office/drawing/2014/main" id="{00000000-0008-0000-0000-000007000000}"/>
            </a:ext>
          </a:extLst>
        </xdr:cNvPr>
        <xdr:cNvSpPr txBox="1"/>
      </xdr:nvSpPr>
      <xdr:spPr>
        <a:xfrm>
          <a:off x="8267700" y="36675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102</xdr:row>
      <xdr:rowOff>0</xdr:rowOff>
    </xdr:from>
    <xdr:ext cx="65" cy="172227"/>
    <xdr:sp macro="" textlink="">
      <xdr:nvSpPr>
        <xdr:cNvPr id="1480" name="TextBox 1479">
          <a:extLst>
            <a:ext uri="{FF2B5EF4-FFF2-40B4-BE49-F238E27FC236}">
              <a16:creationId xmlns:a16="http://schemas.microsoft.com/office/drawing/2014/main" id="{00000000-0008-0000-0000-000007000000}"/>
            </a:ext>
          </a:extLst>
        </xdr:cNvPr>
        <xdr:cNvSpPr txBox="1"/>
      </xdr:nvSpPr>
      <xdr:spPr>
        <a:xfrm>
          <a:off x="8267700" y="36857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102</xdr:row>
      <xdr:rowOff>0</xdr:rowOff>
    </xdr:from>
    <xdr:ext cx="65" cy="172227"/>
    <xdr:sp macro="" textlink="">
      <xdr:nvSpPr>
        <xdr:cNvPr id="1481" name="TextBox 1480">
          <a:extLst>
            <a:ext uri="{FF2B5EF4-FFF2-40B4-BE49-F238E27FC236}">
              <a16:creationId xmlns:a16="http://schemas.microsoft.com/office/drawing/2014/main" id="{00000000-0008-0000-0000-000007000000}"/>
            </a:ext>
          </a:extLst>
        </xdr:cNvPr>
        <xdr:cNvSpPr txBox="1"/>
      </xdr:nvSpPr>
      <xdr:spPr>
        <a:xfrm>
          <a:off x="8267700" y="36857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103</xdr:row>
      <xdr:rowOff>0</xdr:rowOff>
    </xdr:from>
    <xdr:ext cx="65" cy="172227"/>
    <xdr:sp macro="" textlink="">
      <xdr:nvSpPr>
        <xdr:cNvPr id="1482" name="TextBox 1481">
          <a:extLst>
            <a:ext uri="{FF2B5EF4-FFF2-40B4-BE49-F238E27FC236}">
              <a16:creationId xmlns:a16="http://schemas.microsoft.com/office/drawing/2014/main" id="{00000000-0008-0000-0000-000007000000}"/>
            </a:ext>
          </a:extLst>
        </xdr:cNvPr>
        <xdr:cNvSpPr txBox="1"/>
      </xdr:nvSpPr>
      <xdr:spPr>
        <a:xfrm>
          <a:off x="8267700" y="37040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103</xdr:row>
      <xdr:rowOff>0</xdr:rowOff>
    </xdr:from>
    <xdr:ext cx="65" cy="172227"/>
    <xdr:sp macro="" textlink="">
      <xdr:nvSpPr>
        <xdr:cNvPr id="1483" name="TextBox 1482">
          <a:extLst>
            <a:ext uri="{FF2B5EF4-FFF2-40B4-BE49-F238E27FC236}">
              <a16:creationId xmlns:a16="http://schemas.microsoft.com/office/drawing/2014/main" id="{00000000-0008-0000-0000-000007000000}"/>
            </a:ext>
          </a:extLst>
        </xdr:cNvPr>
        <xdr:cNvSpPr txBox="1"/>
      </xdr:nvSpPr>
      <xdr:spPr>
        <a:xfrm>
          <a:off x="8267700" y="37040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109</xdr:row>
      <xdr:rowOff>0</xdr:rowOff>
    </xdr:from>
    <xdr:ext cx="65" cy="172227"/>
    <xdr:sp macro="" textlink="">
      <xdr:nvSpPr>
        <xdr:cNvPr id="1484" name="TextBox 1483">
          <a:extLst>
            <a:ext uri="{FF2B5EF4-FFF2-40B4-BE49-F238E27FC236}">
              <a16:creationId xmlns:a16="http://schemas.microsoft.com/office/drawing/2014/main" id="{00000000-0008-0000-0000-000007000000}"/>
            </a:ext>
          </a:extLst>
        </xdr:cNvPr>
        <xdr:cNvSpPr txBox="1"/>
      </xdr:nvSpPr>
      <xdr:spPr>
        <a:xfrm>
          <a:off x="8267700" y="38138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109</xdr:row>
      <xdr:rowOff>0</xdr:rowOff>
    </xdr:from>
    <xdr:ext cx="65" cy="172227"/>
    <xdr:sp macro="" textlink="">
      <xdr:nvSpPr>
        <xdr:cNvPr id="1485" name="TextBox 1484">
          <a:extLst>
            <a:ext uri="{FF2B5EF4-FFF2-40B4-BE49-F238E27FC236}">
              <a16:creationId xmlns:a16="http://schemas.microsoft.com/office/drawing/2014/main" id="{00000000-0008-0000-0000-000007000000}"/>
            </a:ext>
          </a:extLst>
        </xdr:cNvPr>
        <xdr:cNvSpPr txBox="1"/>
      </xdr:nvSpPr>
      <xdr:spPr>
        <a:xfrm>
          <a:off x="8267700" y="38138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110</xdr:row>
      <xdr:rowOff>0</xdr:rowOff>
    </xdr:from>
    <xdr:ext cx="65" cy="172227"/>
    <xdr:sp macro="" textlink="">
      <xdr:nvSpPr>
        <xdr:cNvPr id="1486" name="TextBox 1485">
          <a:extLst>
            <a:ext uri="{FF2B5EF4-FFF2-40B4-BE49-F238E27FC236}">
              <a16:creationId xmlns:a16="http://schemas.microsoft.com/office/drawing/2014/main" id="{00000000-0008-0000-0000-000007000000}"/>
            </a:ext>
          </a:extLst>
        </xdr:cNvPr>
        <xdr:cNvSpPr txBox="1"/>
      </xdr:nvSpPr>
      <xdr:spPr>
        <a:xfrm>
          <a:off x="8267700" y="38320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110</xdr:row>
      <xdr:rowOff>0</xdr:rowOff>
    </xdr:from>
    <xdr:ext cx="65" cy="172227"/>
    <xdr:sp macro="" textlink="">
      <xdr:nvSpPr>
        <xdr:cNvPr id="1487" name="TextBox 1486">
          <a:extLst>
            <a:ext uri="{FF2B5EF4-FFF2-40B4-BE49-F238E27FC236}">
              <a16:creationId xmlns:a16="http://schemas.microsoft.com/office/drawing/2014/main" id="{00000000-0008-0000-0000-000007000000}"/>
            </a:ext>
          </a:extLst>
        </xdr:cNvPr>
        <xdr:cNvSpPr txBox="1"/>
      </xdr:nvSpPr>
      <xdr:spPr>
        <a:xfrm>
          <a:off x="8267700" y="38320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111</xdr:row>
      <xdr:rowOff>0</xdr:rowOff>
    </xdr:from>
    <xdr:ext cx="65" cy="172227"/>
    <xdr:sp macro="" textlink="">
      <xdr:nvSpPr>
        <xdr:cNvPr id="1488" name="TextBox 1487">
          <a:extLst>
            <a:ext uri="{FF2B5EF4-FFF2-40B4-BE49-F238E27FC236}">
              <a16:creationId xmlns:a16="http://schemas.microsoft.com/office/drawing/2014/main" id="{00000000-0008-0000-0000-000007000000}"/>
            </a:ext>
          </a:extLst>
        </xdr:cNvPr>
        <xdr:cNvSpPr txBox="1"/>
      </xdr:nvSpPr>
      <xdr:spPr>
        <a:xfrm>
          <a:off x="8267700" y="38503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111</xdr:row>
      <xdr:rowOff>0</xdr:rowOff>
    </xdr:from>
    <xdr:ext cx="65" cy="172227"/>
    <xdr:sp macro="" textlink="">
      <xdr:nvSpPr>
        <xdr:cNvPr id="1489" name="TextBox 1488">
          <a:extLst>
            <a:ext uri="{FF2B5EF4-FFF2-40B4-BE49-F238E27FC236}">
              <a16:creationId xmlns:a16="http://schemas.microsoft.com/office/drawing/2014/main" id="{00000000-0008-0000-0000-000007000000}"/>
            </a:ext>
          </a:extLst>
        </xdr:cNvPr>
        <xdr:cNvSpPr txBox="1"/>
      </xdr:nvSpPr>
      <xdr:spPr>
        <a:xfrm>
          <a:off x="8267700" y="38503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112</xdr:row>
      <xdr:rowOff>0</xdr:rowOff>
    </xdr:from>
    <xdr:ext cx="65" cy="172227"/>
    <xdr:sp macro="" textlink="">
      <xdr:nvSpPr>
        <xdr:cNvPr id="1490" name="TextBox 1489">
          <a:extLst>
            <a:ext uri="{FF2B5EF4-FFF2-40B4-BE49-F238E27FC236}">
              <a16:creationId xmlns:a16="http://schemas.microsoft.com/office/drawing/2014/main" id="{00000000-0008-0000-0000-000007000000}"/>
            </a:ext>
          </a:extLst>
        </xdr:cNvPr>
        <xdr:cNvSpPr txBox="1"/>
      </xdr:nvSpPr>
      <xdr:spPr>
        <a:xfrm>
          <a:off x="8267700" y="38686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112</xdr:row>
      <xdr:rowOff>0</xdr:rowOff>
    </xdr:from>
    <xdr:ext cx="65" cy="172227"/>
    <xdr:sp macro="" textlink="">
      <xdr:nvSpPr>
        <xdr:cNvPr id="1491" name="TextBox 1490">
          <a:extLst>
            <a:ext uri="{FF2B5EF4-FFF2-40B4-BE49-F238E27FC236}">
              <a16:creationId xmlns:a16="http://schemas.microsoft.com/office/drawing/2014/main" id="{00000000-0008-0000-0000-000007000000}"/>
            </a:ext>
          </a:extLst>
        </xdr:cNvPr>
        <xdr:cNvSpPr txBox="1"/>
      </xdr:nvSpPr>
      <xdr:spPr>
        <a:xfrm>
          <a:off x="8267700" y="38686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113</xdr:row>
      <xdr:rowOff>0</xdr:rowOff>
    </xdr:from>
    <xdr:ext cx="65" cy="172227"/>
    <xdr:sp macro="" textlink="">
      <xdr:nvSpPr>
        <xdr:cNvPr id="1492" name="TextBox 1491">
          <a:extLst>
            <a:ext uri="{FF2B5EF4-FFF2-40B4-BE49-F238E27FC236}">
              <a16:creationId xmlns:a16="http://schemas.microsoft.com/office/drawing/2014/main" id="{00000000-0008-0000-0000-000007000000}"/>
            </a:ext>
          </a:extLst>
        </xdr:cNvPr>
        <xdr:cNvSpPr txBox="1"/>
      </xdr:nvSpPr>
      <xdr:spPr>
        <a:xfrm>
          <a:off x="8267700" y="3886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113</xdr:row>
      <xdr:rowOff>0</xdr:rowOff>
    </xdr:from>
    <xdr:ext cx="65" cy="172227"/>
    <xdr:sp macro="" textlink="">
      <xdr:nvSpPr>
        <xdr:cNvPr id="1493" name="TextBox 1492">
          <a:extLst>
            <a:ext uri="{FF2B5EF4-FFF2-40B4-BE49-F238E27FC236}">
              <a16:creationId xmlns:a16="http://schemas.microsoft.com/office/drawing/2014/main" id="{00000000-0008-0000-0000-000007000000}"/>
            </a:ext>
          </a:extLst>
        </xdr:cNvPr>
        <xdr:cNvSpPr txBox="1"/>
      </xdr:nvSpPr>
      <xdr:spPr>
        <a:xfrm>
          <a:off x="8267700" y="3886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119</xdr:row>
      <xdr:rowOff>0</xdr:rowOff>
    </xdr:from>
    <xdr:ext cx="65" cy="172227"/>
    <xdr:sp macro="" textlink="">
      <xdr:nvSpPr>
        <xdr:cNvPr id="1494" name="TextBox 1493">
          <a:extLst>
            <a:ext uri="{FF2B5EF4-FFF2-40B4-BE49-F238E27FC236}">
              <a16:creationId xmlns:a16="http://schemas.microsoft.com/office/drawing/2014/main" id="{00000000-0008-0000-0000-000007000000}"/>
            </a:ext>
          </a:extLst>
        </xdr:cNvPr>
        <xdr:cNvSpPr txBox="1"/>
      </xdr:nvSpPr>
      <xdr:spPr>
        <a:xfrm>
          <a:off x="8267700" y="39966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119</xdr:row>
      <xdr:rowOff>0</xdr:rowOff>
    </xdr:from>
    <xdr:ext cx="65" cy="172227"/>
    <xdr:sp macro="" textlink="">
      <xdr:nvSpPr>
        <xdr:cNvPr id="1495" name="TextBox 1494">
          <a:extLst>
            <a:ext uri="{FF2B5EF4-FFF2-40B4-BE49-F238E27FC236}">
              <a16:creationId xmlns:a16="http://schemas.microsoft.com/office/drawing/2014/main" id="{00000000-0008-0000-0000-000007000000}"/>
            </a:ext>
          </a:extLst>
        </xdr:cNvPr>
        <xdr:cNvSpPr txBox="1"/>
      </xdr:nvSpPr>
      <xdr:spPr>
        <a:xfrm>
          <a:off x="8267700" y="39966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120</xdr:row>
      <xdr:rowOff>0</xdr:rowOff>
    </xdr:from>
    <xdr:ext cx="65" cy="172227"/>
    <xdr:sp macro="" textlink="">
      <xdr:nvSpPr>
        <xdr:cNvPr id="1496" name="TextBox 1495">
          <a:extLst>
            <a:ext uri="{FF2B5EF4-FFF2-40B4-BE49-F238E27FC236}">
              <a16:creationId xmlns:a16="http://schemas.microsoft.com/office/drawing/2014/main" id="{00000000-0008-0000-0000-000007000000}"/>
            </a:ext>
          </a:extLst>
        </xdr:cNvPr>
        <xdr:cNvSpPr txBox="1"/>
      </xdr:nvSpPr>
      <xdr:spPr>
        <a:xfrm>
          <a:off x="8267700" y="40149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120</xdr:row>
      <xdr:rowOff>0</xdr:rowOff>
    </xdr:from>
    <xdr:ext cx="65" cy="172227"/>
    <xdr:sp macro="" textlink="">
      <xdr:nvSpPr>
        <xdr:cNvPr id="1497" name="TextBox 1496">
          <a:extLst>
            <a:ext uri="{FF2B5EF4-FFF2-40B4-BE49-F238E27FC236}">
              <a16:creationId xmlns:a16="http://schemas.microsoft.com/office/drawing/2014/main" id="{00000000-0008-0000-0000-000007000000}"/>
            </a:ext>
          </a:extLst>
        </xdr:cNvPr>
        <xdr:cNvSpPr txBox="1"/>
      </xdr:nvSpPr>
      <xdr:spPr>
        <a:xfrm>
          <a:off x="8267700" y="40149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121</xdr:row>
      <xdr:rowOff>0</xdr:rowOff>
    </xdr:from>
    <xdr:ext cx="65" cy="172227"/>
    <xdr:sp macro="" textlink="">
      <xdr:nvSpPr>
        <xdr:cNvPr id="1498" name="TextBox 1497">
          <a:extLst>
            <a:ext uri="{FF2B5EF4-FFF2-40B4-BE49-F238E27FC236}">
              <a16:creationId xmlns:a16="http://schemas.microsoft.com/office/drawing/2014/main" id="{00000000-0008-0000-0000-000007000000}"/>
            </a:ext>
          </a:extLst>
        </xdr:cNvPr>
        <xdr:cNvSpPr txBox="1"/>
      </xdr:nvSpPr>
      <xdr:spPr>
        <a:xfrm>
          <a:off x="8267700" y="40332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121</xdr:row>
      <xdr:rowOff>0</xdr:rowOff>
    </xdr:from>
    <xdr:ext cx="65" cy="172227"/>
    <xdr:sp macro="" textlink="">
      <xdr:nvSpPr>
        <xdr:cNvPr id="1499" name="TextBox 1498">
          <a:extLst>
            <a:ext uri="{FF2B5EF4-FFF2-40B4-BE49-F238E27FC236}">
              <a16:creationId xmlns:a16="http://schemas.microsoft.com/office/drawing/2014/main" id="{00000000-0008-0000-0000-000007000000}"/>
            </a:ext>
          </a:extLst>
        </xdr:cNvPr>
        <xdr:cNvSpPr txBox="1"/>
      </xdr:nvSpPr>
      <xdr:spPr>
        <a:xfrm>
          <a:off x="8267700" y="40332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122</xdr:row>
      <xdr:rowOff>0</xdr:rowOff>
    </xdr:from>
    <xdr:ext cx="65" cy="172227"/>
    <xdr:sp macro="" textlink="">
      <xdr:nvSpPr>
        <xdr:cNvPr id="1500" name="TextBox 1499">
          <a:extLst>
            <a:ext uri="{FF2B5EF4-FFF2-40B4-BE49-F238E27FC236}">
              <a16:creationId xmlns:a16="http://schemas.microsoft.com/office/drawing/2014/main" id="{00000000-0008-0000-0000-000007000000}"/>
            </a:ext>
          </a:extLst>
        </xdr:cNvPr>
        <xdr:cNvSpPr txBox="1"/>
      </xdr:nvSpPr>
      <xdr:spPr>
        <a:xfrm>
          <a:off x="8267700" y="40515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122</xdr:row>
      <xdr:rowOff>0</xdr:rowOff>
    </xdr:from>
    <xdr:ext cx="65" cy="172227"/>
    <xdr:sp macro="" textlink="">
      <xdr:nvSpPr>
        <xdr:cNvPr id="1501" name="TextBox 1500">
          <a:extLst>
            <a:ext uri="{FF2B5EF4-FFF2-40B4-BE49-F238E27FC236}">
              <a16:creationId xmlns:a16="http://schemas.microsoft.com/office/drawing/2014/main" id="{00000000-0008-0000-0000-000007000000}"/>
            </a:ext>
          </a:extLst>
        </xdr:cNvPr>
        <xdr:cNvSpPr txBox="1"/>
      </xdr:nvSpPr>
      <xdr:spPr>
        <a:xfrm>
          <a:off x="8267700" y="40515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123</xdr:row>
      <xdr:rowOff>0</xdr:rowOff>
    </xdr:from>
    <xdr:ext cx="65" cy="172227"/>
    <xdr:sp macro="" textlink="">
      <xdr:nvSpPr>
        <xdr:cNvPr id="1502" name="TextBox 1501">
          <a:extLst>
            <a:ext uri="{FF2B5EF4-FFF2-40B4-BE49-F238E27FC236}">
              <a16:creationId xmlns:a16="http://schemas.microsoft.com/office/drawing/2014/main" id="{00000000-0008-0000-0000-000007000000}"/>
            </a:ext>
          </a:extLst>
        </xdr:cNvPr>
        <xdr:cNvSpPr txBox="1"/>
      </xdr:nvSpPr>
      <xdr:spPr>
        <a:xfrm>
          <a:off x="8267700" y="40698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123</xdr:row>
      <xdr:rowOff>0</xdr:rowOff>
    </xdr:from>
    <xdr:ext cx="65" cy="172227"/>
    <xdr:sp macro="" textlink="">
      <xdr:nvSpPr>
        <xdr:cNvPr id="1503" name="TextBox 1502">
          <a:extLst>
            <a:ext uri="{FF2B5EF4-FFF2-40B4-BE49-F238E27FC236}">
              <a16:creationId xmlns:a16="http://schemas.microsoft.com/office/drawing/2014/main" id="{00000000-0008-0000-0000-000007000000}"/>
            </a:ext>
          </a:extLst>
        </xdr:cNvPr>
        <xdr:cNvSpPr txBox="1"/>
      </xdr:nvSpPr>
      <xdr:spPr>
        <a:xfrm>
          <a:off x="8267700" y="40698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129</xdr:row>
      <xdr:rowOff>0</xdr:rowOff>
    </xdr:from>
    <xdr:ext cx="65" cy="172227"/>
    <xdr:sp macro="" textlink="">
      <xdr:nvSpPr>
        <xdr:cNvPr id="1504" name="TextBox 1503">
          <a:extLst>
            <a:ext uri="{FF2B5EF4-FFF2-40B4-BE49-F238E27FC236}">
              <a16:creationId xmlns:a16="http://schemas.microsoft.com/office/drawing/2014/main" id="{00000000-0008-0000-0000-000007000000}"/>
            </a:ext>
          </a:extLst>
        </xdr:cNvPr>
        <xdr:cNvSpPr txBox="1"/>
      </xdr:nvSpPr>
      <xdr:spPr>
        <a:xfrm>
          <a:off x="8267700" y="41795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129</xdr:row>
      <xdr:rowOff>0</xdr:rowOff>
    </xdr:from>
    <xdr:ext cx="65" cy="172227"/>
    <xdr:sp macro="" textlink="">
      <xdr:nvSpPr>
        <xdr:cNvPr id="1505" name="TextBox 1504">
          <a:extLst>
            <a:ext uri="{FF2B5EF4-FFF2-40B4-BE49-F238E27FC236}">
              <a16:creationId xmlns:a16="http://schemas.microsoft.com/office/drawing/2014/main" id="{00000000-0008-0000-0000-000007000000}"/>
            </a:ext>
          </a:extLst>
        </xdr:cNvPr>
        <xdr:cNvSpPr txBox="1"/>
      </xdr:nvSpPr>
      <xdr:spPr>
        <a:xfrm>
          <a:off x="8267700" y="41795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130</xdr:row>
      <xdr:rowOff>0</xdr:rowOff>
    </xdr:from>
    <xdr:ext cx="65" cy="172227"/>
    <xdr:sp macro="" textlink="">
      <xdr:nvSpPr>
        <xdr:cNvPr id="1506" name="TextBox 1505">
          <a:extLst>
            <a:ext uri="{FF2B5EF4-FFF2-40B4-BE49-F238E27FC236}">
              <a16:creationId xmlns:a16="http://schemas.microsoft.com/office/drawing/2014/main" id="{00000000-0008-0000-0000-000007000000}"/>
            </a:ext>
          </a:extLst>
        </xdr:cNvPr>
        <xdr:cNvSpPr txBox="1"/>
      </xdr:nvSpPr>
      <xdr:spPr>
        <a:xfrm>
          <a:off x="8267700" y="41978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130</xdr:row>
      <xdr:rowOff>0</xdr:rowOff>
    </xdr:from>
    <xdr:ext cx="65" cy="172227"/>
    <xdr:sp macro="" textlink="">
      <xdr:nvSpPr>
        <xdr:cNvPr id="1507" name="TextBox 1506">
          <a:extLst>
            <a:ext uri="{FF2B5EF4-FFF2-40B4-BE49-F238E27FC236}">
              <a16:creationId xmlns:a16="http://schemas.microsoft.com/office/drawing/2014/main" id="{00000000-0008-0000-0000-000007000000}"/>
            </a:ext>
          </a:extLst>
        </xdr:cNvPr>
        <xdr:cNvSpPr txBox="1"/>
      </xdr:nvSpPr>
      <xdr:spPr>
        <a:xfrm>
          <a:off x="8267700" y="41978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131</xdr:row>
      <xdr:rowOff>0</xdr:rowOff>
    </xdr:from>
    <xdr:ext cx="65" cy="172227"/>
    <xdr:sp macro="" textlink="">
      <xdr:nvSpPr>
        <xdr:cNvPr id="1508" name="TextBox 1507">
          <a:extLst>
            <a:ext uri="{FF2B5EF4-FFF2-40B4-BE49-F238E27FC236}">
              <a16:creationId xmlns:a16="http://schemas.microsoft.com/office/drawing/2014/main" id="{00000000-0008-0000-0000-000007000000}"/>
            </a:ext>
          </a:extLst>
        </xdr:cNvPr>
        <xdr:cNvSpPr txBox="1"/>
      </xdr:nvSpPr>
      <xdr:spPr>
        <a:xfrm>
          <a:off x="8267700" y="4216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131</xdr:row>
      <xdr:rowOff>0</xdr:rowOff>
    </xdr:from>
    <xdr:ext cx="65" cy="172227"/>
    <xdr:sp macro="" textlink="">
      <xdr:nvSpPr>
        <xdr:cNvPr id="1509" name="TextBox 1508">
          <a:extLst>
            <a:ext uri="{FF2B5EF4-FFF2-40B4-BE49-F238E27FC236}">
              <a16:creationId xmlns:a16="http://schemas.microsoft.com/office/drawing/2014/main" id="{00000000-0008-0000-0000-000007000000}"/>
            </a:ext>
          </a:extLst>
        </xdr:cNvPr>
        <xdr:cNvSpPr txBox="1"/>
      </xdr:nvSpPr>
      <xdr:spPr>
        <a:xfrm>
          <a:off x="8267700" y="4216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132</xdr:row>
      <xdr:rowOff>0</xdr:rowOff>
    </xdr:from>
    <xdr:ext cx="65" cy="172227"/>
    <xdr:sp macro="" textlink="">
      <xdr:nvSpPr>
        <xdr:cNvPr id="1510" name="TextBox 1509">
          <a:extLst>
            <a:ext uri="{FF2B5EF4-FFF2-40B4-BE49-F238E27FC236}">
              <a16:creationId xmlns:a16="http://schemas.microsoft.com/office/drawing/2014/main" id="{00000000-0008-0000-0000-000007000000}"/>
            </a:ext>
          </a:extLst>
        </xdr:cNvPr>
        <xdr:cNvSpPr txBox="1"/>
      </xdr:nvSpPr>
      <xdr:spPr>
        <a:xfrm>
          <a:off x="8267700" y="42344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132</xdr:row>
      <xdr:rowOff>0</xdr:rowOff>
    </xdr:from>
    <xdr:ext cx="65" cy="172227"/>
    <xdr:sp macro="" textlink="">
      <xdr:nvSpPr>
        <xdr:cNvPr id="1511" name="TextBox 1510">
          <a:extLst>
            <a:ext uri="{FF2B5EF4-FFF2-40B4-BE49-F238E27FC236}">
              <a16:creationId xmlns:a16="http://schemas.microsoft.com/office/drawing/2014/main" id="{00000000-0008-0000-0000-000007000000}"/>
            </a:ext>
          </a:extLst>
        </xdr:cNvPr>
        <xdr:cNvSpPr txBox="1"/>
      </xdr:nvSpPr>
      <xdr:spPr>
        <a:xfrm>
          <a:off x="8267700" y="42344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133</xdr:row>
      <xdr:rowOff>0</xdr:rowOff>
    </xdr:from>
    <xdr:ext cx="65" cy="172227"/>
    <xdr:sp macro="" textlink="">
      <xdr:nvSpPr>
        <xdr:cNvPr id="1512" name="TextBox 1511">
          <a:extLst>
            <a:ext uri="{FF2B5EF4-FFF2-40B4-BE49-F238E27FC236}">
              <a16:creationId xmlns:a16="http://schemas.microsoft.com/office/drawing/2014/main" id="{00000000-0008-0000-0000-000007000000}"/>
            </a:ext>
          </a:extLst>
        </xdr:cNvPr>
        <xdr:cNvSpPr txBox="1"/>
      </xdr:nvSpPr>
      <xdr:spPr>
        <a:xfrm>
          <a:off x="8267700" y="42527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133</xdr:row>
      <xdr:rowOff>0</xdr:rowOff>
    </xdr:from>
    <xdr:ext cx="65" cy="172227"/>
    <xdr:sp macro="" textlink="">
      <xdr:nvSpPr>
        <xdr:cNvPr id="1513" name="TextBox 1512">
          <a:extLst>
            <a:ext uri="{FF2B5EF4-FFF2-40B4-BE49-F238E27FC236}">
              <a16:creationId xmlns:a16="http://schemas.microsoft.com/office/drawing/2014/main" id="{00000000-0008-0000-0000-000007000000}"/>
            </a:ext>
          </a:extLst>
        </xdr:cNvPr>
        <xdr:cNvSpPr txBox="1"/>
      </xdr:nvSpPr>
      <xdr:spPr>
        <a:xfrm>
          <a:off x="8267700" y="42527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514" name="TextBox 1513">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515" name="TextBox 1514">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1516" name="TextBox 1515">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1517" name="TextBox 1516">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88</xdr:row>
      <xdr:rowOff>0</xdr:rowOff>
    </xdr:from>
    <xdr:ext cx="65" cy="172227"/>
    <xdr:sp macro="" textlink="">
      <xdr:nvSpPr>
        <xdr:cNvPr id="1518" name="TextBox 1517">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88</xdr:row>
      <xdr:rowOff>0</xdr:rowOff>
    </xdr:from>
    <xdr:ext cx="65" cy="172227"/>
    <xdr:sp macro="" textlink="">
      <xdr:nvSpPr>
        <xdr:cNvPr id="1519" name="TextBox 1518">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88</xdr:row>
      <xdr:rowOff>0</xdr:rowOff>
    </xdr:from>
    <xdr:ext cx="65" cy="172227"/>
    <xdr:sp macro="" textlink="">
      <xdr:nvSpPr>
        <xdr:cNvPr id="1520" name="TextBox 1519">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88</xdr:row>
      <xdr:rowOff>0</xdr:rowOff>
    </xdr:from>
    <xdr:ext cx="65" cy="172227"/>
    <xdr:sp macro="" textlink="">
      <xdr:nvSpPr>
        <xdr:cNvPr id="1521" name="TextBox 1520">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1522" name="TextBox 1521">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1523" name="TextBox 1522">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524" name="TextBox 1523">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525" name="TextBox 1524">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526" name="TextBox 1525">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527" name="TextBox 1526">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1528" name="TextBox 1527">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1529" name="TextBox 1528">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1530" name="TextBox 1529">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1531" name="TextBox 1530">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1532" name="TextBox 1531">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1533" name="TextBox 1532">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1534" name="TextBox 1533">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1535" name="TextBox 1534">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1536" name="TextBox 1535">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1537" name="TextBox 1536">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1538" name="TextBox 1537">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1539" name="TextBox 1538">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540" name="TextBox 1539">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541" name="TextBox 1540">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542" name="TextBox 1541">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543" name="TextBox 1542">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544" name="TextBox 1543">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545" name="TextBox 1544">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546" name="TextBox 1545">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547" name="TextBox 1546">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548" name="TextBox 1547">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549" name="TextBox 1548">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550" name="TextBox 1549">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551" name="TextBox 1550">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552" name="TextBox 1551">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553" name="TextBox 1552">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554" name="TextBox 1553">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555" name="TextBox 1554">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556" name="TextBox 1555">
          <a:extLst>
            <a:ext uri="{FF2B5EF4-FFF2-40B4-BE49-F238E27FC236}">
              <a16:creationId xmlns:a16="http://schemas.microsoft.com/office/drawing/2014/main" id="{00000000-0008-0000-0000-000007000000}"/>
            </a:ext>
          </a:extLst>
        </xdr:cNvPr>
        <xdr:cNvSpPr txBox="1"/>
      </xdr:nvSpPr>
      <xdr:spPr>
        <a:xfrm>
          <a:off x="112014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557" name="TextBox 1556">
          <a:extLst>
            <a:ext uri="{FF2B5EF4-FFF2-40B4-BE49-F238E27FC236}">
              <a16:creationId xmlns:a16="http://schemas.microsoft.com/office/drawing/2014/main" id="{00000000-0008-0000-0000-000007000000}"/>
            </a:ext>
          </a:extLst>
        </xdr:cNvPr>
        <xdr:cNvSpPr txBox="1"/>
      </xdr:nvSpPr>
      <xdr:spPr>
        <a:xfrm>
          <a:off x="112014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558" name="TextBox 1557">
          <a:extLst>
            <a:ext uri="{FF2B5EF4-FFF2-40B4-BE49-F238E27FC236}">
              <a16:creationId xmlns:a16="http://schemas.microsoft.com/office/drawing/2014/main" id="{00000000-0008-0000-0000-000007000000}"/>
            </a:ext>
          </a:extLst>
        </xdr:cNvPr>
        <xdr:cNvSpPr txBox="1"/>
      </xdr:nvSpPr>
      <xdr:spPr>
        <a:xfrm>
          <a:off x="112014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559" name="TextBox 1558">
          <a:extLst>
            <a:ext uri="{FF2B5EF4-FFF2-40B4-BE49-F238E27FC236}">
              <a16:creationId xmlns:a16="http://schemas.microsoft.com/office/drawing/2014/main" id="{00000000-0008-0000-0000-000007000000}"/>
            </a:ext>
          </a:extLst>
        </xdr:cNvPr>
        <xdr:cNvSpPr txBox="1"/>
      </xdr:nvSpPr>
      <xdr:spPr>
        <a:xfrm>
          <a:off x="112014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560" name="TextBox 1559">
          <a:extLst>
            <a:ext uri="{FF2B5EF4-FFF2-40B4-BE49-F238E27FC236}">
              <a16:creationId xmlns:a16="http://schemas.microsoft.com/office/drawing/2014/main" id="{00000000-0008-0000-0000-000007000000}"/>
            </a:ext>
          </a:extLst>
        </xdr:cNvPr>
        <xdr:cNvSpPr txBox="1"/>
      </xdr:nvSpPr>
      <xdr:spPr>
        <a:xfrm>
          <a:off x="112014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561" name="TextBox 1560">
          <a:extLst>
            <a:ext uri="{FF2B5EF4-FFF2-40B4-BE49-F238E27FC236}">
              <a16:creationId xmlns:a16="http://schemas.microsoft.com/office/drawing/2014/main" id="{00000000-0008-0000-0000-000007000000}"/>
            </a:ext>
          </a:extLst>
        </xdr:cNvPr>
        <xdr:cNvSpPr txBox="1"/>
      </xdr:nvSpPr>
      <xdr:spPr>
        <a:xfrm>
          <a:off x="112014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562" name="TextBox 1561">
          <a:extLst>
            <a:ext uri="{FF2B5EF4-FFF2-40B4-BE49-F238E27FC236}">
              <a16:creationId xmlns:a16="http://schemas.microsoft.com/office/drawing/2014/main" id="{00000000-0008-0000-0000-000007000000}"/>
            </a:ext>
          </a:extLst>
        </xdr:cNvPr>
        <xdr:cNvSpPr txBox="1"/>
      </xdr:nvSpPr>
      <xdr:spPr>
        <a:xfrm>
          <a:off x="112014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563" name="TextBox 1562">
          <a:extLst>
            <a:ext uri="{FF2B5EF4-FFF2-40B4-BE49-F238E27FC236}">
              <a16:creationId xmlns:a16="http://schemas.microsoft.com/office/drawing/2014/main" id="{00000000-0008-0000-0000-000007000000}"/>
            </a:ext>
          </a:extLst>
        </xdr:cNvPr>
        <xdr:cNvSpPr txBox="1"/>
      </xdr:nvSpPr>
      <xdr:spPr>
        <a:xfrm>
          <a:off x="112014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1564" name="TextBox 1563">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1565" name="TextBox 1564">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153</xdr:row>
      <xdr:rowOff>0</xdr:rowOff>
    </xdr:from>
    <xdr:ext cx="65" cy="172227"/>
    <xdr:sp macro="" textlink="">
      <xdr:nvSpPr>
        <xdr:cNvPr id="1568" name="TextBox 1567">
          <a:extLst>
            <a:ext uri="{FF2B5EF4-FFF2-40B4-BE49-F238E27FC236}">
              <a16:creationId xmlns:a16="http://schemas.microsoft.com/office/drawing/2014/main" id="{00000000-0008-0000-0000-000007000000}"/>
            </a:ext>
          </a:extLst>
        </xdr:cNvPr>
        <xdr:cNvSpPr txBox="1"/>
      </xdr:nvSpPr>
      <xdr:spPr>
        <a:xfrm>
          <a:off x="8267700" y="33459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153</xdr:row>
      <xdr:rowOff>0</xdr:rowOff>
    </xdr:from>
    <xdr:ext cx="65" cy="172227"/>
    <xdr:sp macro="" textlink="">
      <xdr:nvSpPr>
        <xdr:cNvPr id="1572" name="TextBox 1571">
          <a:extLst>
            <a:ext uri="{FF2B5EF4-FFF2-40B4-BE49-F238E27FC236}">
              <a16:creationId xmlns:a16="http://schemas.microsoft.com/office/drawing/2014/main" id="{00000000-0008-0000-0000-000007000000}"/>
            </a:ext>
          </a:extLst>
        </xdr:cNvPr>
        <xdr:cNvSpPr txBox="1"/>
      </xdr:nvSpPr>
      <xdr:spPr>
        <a:xfrm>
          <a:off x="8267700" y="33459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1573" name="TextBox 1572">
          <a:extLst>
            <a:ext uri="{FF2B5EF4-FFF2-40B4-BE49-F238E27FC236}">
              <a16:creationId xmlns:a16="http://schemas.microsoft.com/office/drawing/2014/main" id="{00000000-0008-0000-0000-000007000000}"/>
            </a:ext>
          </a:extLst>
        </xdr:cNvPr>
        <xdr:cNvSpPr txBox="1"/>
      </xdr:nvSpPr>
      <xdr:spPr>
        <a:xfrm>
          <a:off x="8267700" y="33657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1574" name="TextBox 1573">
          <a:extLst>
            <a:ext uri="{FF2B5EF4-FFF2-40B4-BE49-F238E27FC236}">
              <a16:creationId xmlns:a16="http://schemas.microsoft.com/office/drawing/2014/main" id="{00000000-0008-0000-0000-000007000000}"/>
            </a:ext>
          </a:extLst>
        </xdr:cNvPr>
        <xdr:cNvSpPr txBox="1"/>
      </xdr:nvSpPr>
      <xdr:spPr>
        <a:xfrm>
          <a:off x="8267700" y="33657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1575" name="TextBox 1574">
          <a:extLst>
            <a:ext uri="{FF2B5EF4-FFF2-40B4-BE49-F238E27FC236}">
              <a16:creationId xmlns:a16="http://schemas.microsoft.com/office/drawing/2014/main" id="{00000000-0008-0000-0000-000007000000}"/>
            </a:ext>
          </a:extLst>
        </xdr:cNvPr>
        <xdr:cNvSpPr txBox="1"/>
      </xdr:nvSpPr>
      <xdr:spPr>
        <a:xfrm>
          <a:off x="8267700" y="33855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1576" name="TextBox 1575">
          <a:extLst>
            <a:ext uri="{FF2B5EF4-FFF2-40B4-BE49-F238E27FC236}">
              <a16:creationId xmlns:a16="http://schemas.microsoft.com/office/drawing/2014/main" id="{00000000-0008-0000-0000-000007000000}"/>
            </a:ext>
          </a:extLst>
        </xdr:cNvPr>
        <xdr:cNvSpPr txBox="1"/>
      </xdr:nvSpPr>
      <xdr:spPr>
        <a:xfrm>
          <a:off x="8267700" y="33855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1577" name="TextBox 1576">
          <a:extLst>
            <a:ext uri="{FF2B5EF4-FFF2-40B4-BE49-F238E27FC236}">
              <a16:creationId xmlns:a16="http://schemas.microsoft.com/office/drawing/2014/main" id="{00000000-0008-0000-0000-000007000000}"/>
            </a:ext>
          </a:extLst>
        </xdr:cNvPr>
        <xdr:cNvSpPr txBox="1"/>
      </xdr:nvSpPr>
      <xdr:spPr>
        <a:xfrm>
          <a:off x="8267700" y="34053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1578" name="TextBox 1577">
          <a:extLst>
            <a:ext uri="{FF2B5EF4-FFF2-40B4-BE49-F238E27FC236}">
              <a16:creationId xmlns:a16="http://schemas.microsoft.com/office/drawing/2014/main" id="{00000000-0008-0000-0000-000007000000}"/>
            </a:ext>
          </a:extLst>
        </xdr:cNvPr>
        <xdr:cNvSpPr txBox="1"/>
      </xdr:nvSpPr>
      <xdr:spPr>
        <a:xfrm>
          <a:off x="8267700" y="34053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1579" name="TextBox 1578">
          <a:extLst>
            <a:ext uri="{FF2B5EF4-FFF2-40B4-BE49-F238E27FC236}">
              <a16:creationId xmlns:a16="http://schemas.microsoft.com/office/drawing/2014/main" id="{00000000-0008-0000-0000-000007000000}"/>
            </a:ext>
          </a:extLst>
        </xdr:cNvPr>
        <xdr:cNvSpPr txBox="1"/>
      </xdr:nvSpPr>
      <xdr:spPr>
        <a:xfrm>
          <a:off x="8267700" y="3425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1580" name="TextBox 1579">
          <a:extLst>
            <a:ext uri="{FF2B5EF4-FFF2-40B4-BE49-F238E27FC236}">
              <a16:creationId xmlns:a16="http://schemas.microsoft.com/office/drawing/2014/main" id="{00000000-0008-0000-0000-000007000000}"/>
            </a:ext>
          </a:extLst>
        </xdr:cNvPr>
        <xdr:cNvSpPr txBox="1"/>
      </xdr:nvSpPr>
      <xdr:spPr>
        <a:xfrm>
          <a:off x="8267700" y="3425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1581" name="TextBox 1580">
          <a:extLst>
            <a:ext uri="{FF2B5EF4-FFF2-40B4-BE49-F238E27FC236}">
              <a16:creationId xmlns:a16="http://schemas.microsoft.com/office/drawing/2014/main" id="{00000000-0008-0000-0000-000007000000}"/>
            </a:ext>
          </a:extLst>
        </xdr:cNvPr>
        <xdr:cNvSpPr txBox="1"/>
      </xdr:nvSpPr>
      <xdr:spPr>
        <a:xfrm>
          <a:off x="8267700" y="3445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1582" name="TextBox 1581">
          <a:extLst>
            <a:ext uri="{FF2B5EF4-FFF2-40B4-BE49-F238E27FC236}">
              <a16:creationId xmlns:a16="http://schemas.microsoft.com/office/drawing/2014/main" id="{00000000-0008-0000-0000-000007000000}"/>
            </a:ext>
          </a:extLst>
        </xdr:cNvPr>
        <xdr:cNvSpPr txBox="1"/>
      </xdr:nvSpPr>
      <xdr:spPr>
        <a:xfrm>
          <a:off x="8267700" y="3445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1583" name="TextBox 1582">
          <a:extLst>
            <a:ext uri="{FF2B5EF4-FFF2-40B4-BE49-F238E27FC236}">
              <a16:creationId xmlns:a16="http://schemas.microsoft.com/office/drawing/2014/main" id="{00000000-0008-0000-0000-000007000000}"/>
            </a:ext>
          </a:extLst>
        </xdr:cNvPr>
        <xdr:cNvSpPr txBox="1"/>
      </xdr:nvSpPr>
      <xdr:spPr>
        <a:xfrm>
          <a:off x="8267700" y="34632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1584" name="TextBox 1583">
          <a:extLst>
            <a:ext uri="{FF2B5EF4-FFF2-40B4-BE49-F238E27FC236}">
              <a16:creationId xmlns:a16="http://schemas.microsoft.com/office/drawing/2014/main" id="{00000000-0008-0000-0000-000007000000}"/>
            </a:ext>
          </a:extLst>
        </xdr:cNvPr>
        <xdr:cNvSpPr txBox="1"/>
      </xdr:nvSpPr>
      <xdr:spPr>
        <a:xfrm>
          <a:off x="8267700" y="34632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1585" name="TextBox 1584">
          <a:extLst>
            <a:ext uri="{FF2B5EF4-FFF2-40B4-BE49-F238E27FC236}">
              <a16:creationId xmlns:a16="http://schemas.microsoft.com/office/drawing/2014/main" id="{00000000-0008-0000-0000-000007000000}"/>
            </a:ext>
          </a:extLst>
        </xdr:cNvPr>
        <xdr:cNvSpPr txBox="1"/>
      </xdr:nvSpPr>
      <xdr:spPr>
        <a:xfrm>
          <a:off x="8267700" y="34815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1586" name="TextBox 1585">
          <a:extLst>
            <a:ext uri="{FF2B5EF4-FFF2-40B4-BE49-F238E27FC236}">
              <a16:creationId xmlns:a16="http://schemas.microsoft.com/office/drawing/2014/main" id="{00000000-0008-0000-0000-000007000000}"/>
            </a:ext>
          </a:extLst>
        </xdr:cNvPr>
        <xdr:cNvSpPr txBox="1"/>
      </xdr:nvSpPr>
      <xdr:spPr>
        <a:xfrm>
          <a:off x="8267700" y="34815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161</xdr:row>
      <xdr:rowOff>0</xdr:rowOff>
    </xdr:from>
    <xdr:ext cx="65" cy="172227"/>
    <xdr:sp macro="" textlink="">
      <xdr:nvSpPr>
        <xdr:cNvPr id="1587" name="TextBox 1586">
          <a:extLst>
            <a:ext uri="{FF2B5EF4-FFF2-40B4-BE49-F238E27FC236}">
              <a16:creationId xmlns:a16="http://schemas.microsoft.com/office/drawing/2014/main" id="{00000000-0008-0000-0000-000007000000}"/>
            </a:ext>
          </a:extLst>
        </xdr:cNvPr>
        <xdr:cNvSpPr txBox="1"/>
      </xdr:nvSpPr>
      <xdr:spPr>
        <a:xfrm>
          <a:off x="8267700" y="34998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161</xdr:row>
      <xdr:rowOff>0</xdr:rowOff>
    </xdr:from>
    <xdr:ext cx="65" cy="172227"/>
    <xdr:sp macro="" textlink="">
      <xdr:nvSpPr>
        <xdr:cNvPr id="1588" name="TextBox 1587">
          <a:extLst>
            <a:ext uri="{FF2B5EF4-FFF2-40B4-BE49-F238E27FC236}">
              <a16:creationId xmlns:a16="http://schemas.microsoft.com/office/drawing/2014/main" id="{00000000-0008-0000-0000-000007000000}"/>
            </a:ext>
          </a:extLst>
        </xdr:cNvPr>
        <xdr:cNvSpPr txBox="1"/>
      </xdr:nvSpPr>
      <xdr:spPr>
        <a:xfrm>
          <a:off x="8267700" y="34998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162</xdr:row>
      <xdr:rowOff>0</xdr:rowOff>
    </xdr:from>
    <xdr:ext cx="65" cy="172227"/>
    <xdr:sp macro="" textlink="">
      <xdr:nvSpPr>
        <xdr:cNvPr id="1589" name="TextBox 1588">
          <a:extLst>
            <a:ext uri="{FF2B5EF4-FFF2-40B4-BE49-F238E27FC236}">
              <a16:creationId xmlns:a16="http://schemas.microsoft.com/office/drawing/2014/main" id="{00000000-0008-0000-0000-000007000000}"/>
            </a:ext>
          </a:extLst>
        </xdr:cNvPr>
        <xdr:cNvSpPr txBox="1"/>
      </xdr:nvSpPr>
      <xdr:spPr>
        <a:xfrm>
          <a:off x="8267700" y="35181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162</xdr:row>
      <xdr:rowOff>0</xdr:rowOff>
    </xdr:from>
    <xdr:ext cx="65" cy="172227"/>
    <xdr:sp macro="" textlink="">
      <xdr:nvSpPr>
        <xdr:cNvPr id="1590" name="TextBox 1589">
          <a:extLst>
            <a:ext uri="{FF2B5EF4-FFF2-40B4-BE49-F238E27FC236}">
              <a16:creationId xmlns:a16="http://schemas.microsoft.com/office/drawing/2014/main" id="{00000000-0008-0000-0000-000007000000}"/>
            </a:ext>
          </a:extLst>
        </xdr:cNvPr>
        <xdr:cNvSpPr txBox="1"/>
      </xdr:nvSpPr>
      <xdr:spPr>
        <a:xfrm>
          <a:off x="8267700" y="35181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1591" name="TextBox 1590">
          <a:extLst>
            <a:ext uri="{FF2B5EF4-FFF2-40B4-BE49-F238E27FC236}">
              <a16:creationId xmlns:a16="http://schemas.microsoft.com/office/drawing/2014/main" id="{00000000-0008-0000-0000-000007000000}"/>
            </a:ext>
          </a:extLst>
        </xdr:cNvPr>
        <xdr:cNvSpPr txBox="1"/>
      </xdr:nvSpPr>
      <xdr:spPr>
        <a:xfrm>
          <a:off x="8267700" y="36278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1592" name="TextBox 1591">
          <a:extLst>
            <a:ext uri="{FF2B5EF4-FFF2-40B4-BE49-F238E27FC236}">
              <a16:creationId xmlns:a16="http://schemas.microsoft.com/office/drawing/2014/main" id="{00000000-0008-0000-0000-000007000000}"/>
            </a:ext>
          </a:extLst>
        </xdr:cNvPr>
        <xdr:cNvSpPr txBox="1"/>
      </xdr:nvSpPr>
      <xdr:spPr>
        <a:xfrm>
          <a:off x="8267700" y="36278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1593" name="TextBox 1592">
          <a:extLst>
            <a:ext uri="{FF2B5EF4-FFF2-40B4-BE49-F238E27FC236}">
              <a16:creationId xmlns:a16="http://schemas.microsoft.com/office/drawing/2014/main" id="{00000000-0008-0000-0000-000007000000}"/>
            </a:ext>
          </a:extLst>
        </xdr:cNvPr>
        <xdr:cNvSpPr txBox="1"/>
      </xdr:nvSpPr>
      <xdr:spPr>
        <a:xfrm>
          <a:off x="8267700" y="36461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1594" name="TextBox 1593">
          <a:extLst>
            <a:ext uri="{FF2B5EF4-FFF2-40B4-BE49-F238E27FC236}">
              <a16:creationId xmlns:a16="http://schemas.microsoft.com/office/drawing/2014/main" id="{00000000-0008-0000-0000-000007000000}"/>
            </a:ext>
          </a:extLst>
        </xdr:cNvPr>
        <xdr:cNvSpPr txBox="1"/>
      </xdr:nvSpPr>
      <xdr:spPr>
        <a:xfrm>
          <a:off x="8267700" y="36461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1595" name="TextBox 1594">
          <a:extLst>
            <a:ext uri="{FF2B5EF4-FFF2-40B4-BE49-F238E27FC236}">
              <a16:creationId xmlns:a16="http://schemas.microsoft.com/office/drawing/2014/main" id="{00000000-0008-0000-0000-000007000000}"/>
            </a:ext>
          </a:extLst>
        </xdr:cNvPr>
        <xdr:cNvSpPr txBox="1"/>
      </xdr:nvSpPr>
      <xdr:spPr>
        <a:xfrm>
          <a:off x="8267700" y="36644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1596" name="TextBox 1595">
          <a:extLst>
            <a:ext uri="{FF2B5EF4-FFF2-40B4-BE49-F238E27FC236}">
              <a16:creationId xmlns:a16="http://schemas.microsoft.com/office/drawing/2014/main" id="{00000000-0008-0000-0000-000007000000}"/>
            </a:ext>
          </a:extLst>
        </xdr:cNvPr>
        <xdr:cNvSpPr txBox="1"/>
      </xdr:nvSpPr>
      <xdr:spPr>
        <a:xfrm>
          <a:off x="8267700" y="36644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1597" name="TextBox 1596">
          <a:extLst>
            <a:ext uri="{FF2B5EF4-FFF2-40B4-BE49-F238E27FC236}">
              <a16:creationId xmlns:a16="http://schemas.microsoft.com/office/drawing/2014/main" id="{00000000-0008-0000-0000-000007000000}"/>
            </a:ext>
          </a:extLst>
        </xdr:cNvPr>
        <xdr:cNvSpPr txBox="1"/>
      </xdr:nvSpPr>
      <xdr:spPr>
        <a:xfrm>
          <a:off x="8267700" y="36827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1598" name="TextBox 1597">
          <a:extLst>
            <a:ext uri="{FF2B5EF4-FFF2-40B4-BE49-F238E27FC236}">
              <a16:creationId xmlns:a16="http://schemas.microsoft.com/office/drawing/2014/main" id="{00000000-0008-0000-0000-000007000000}"/>
            </a:ext>
          </a:extLst>
        </xdr:cNvPr>
        <xdr:cNvSpPr txBox="1"/>
      </xdr:nvSpPr>
      <xdr:spPr>
        <a:xfrm>
          <a:off x="8267700" y="36827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172</xdr:row>
      <xdr:rowOff>0</xdr:rowOff>
    </xdr:from>
    <xdr:ext cx="65" cy="172227"/>
    <xdr:sp macro="" textlink="">
      <xdr:nvSpPr>
        <xdr:cNvPr id="1599" name="TextBox 1598">
          <a:extLst>
            <a:ext uri="{FF2B5EF4-FFF2-40B4-BE49-F238E27FC236}">
              <a16:creationId xmlns:a16="http://schemas.microsoft.com/office/drawing/2014/main" id="{00000000-0008-0000-0000-000007000000}"/>
            </a:ext>
          </a:extLst>
        </xdr:cNvPr>
        <xdr:cNvSpPr txBox="1"/>
      </xdr:nvSpPr>
      <xdr:spPr>
        <a:xfrm>
          <a:off x="8267700" y="37010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172</xdr:row>
      <xdr:rowOff>0</xdr:rowOff>
    </xdr:from>
    <xdr:ext cx="65" cy="172227"/>
    <xdr:sp macro="" textlink="">
      <xdr:nvSpPr>
        <xdr:cNvPr id="1600" name="TextBox 1599">
          <a:extLst>
            <a:ext uri="{FF2B5EF4-FFF2-40B4-BE49-F238E27FC236}">
              <a16:creationId xmlns:a16="http://schemas.microsoft.com/office/drawing/2014/main" id="{00000000-0008-0000-0000-000007000000}"/>
            </a:ext>
          </a:extLst>
        </xdr:cNvPr>
        <xdr:cNvSpPr txBox="1"/>
      </xdr:nvSpPr>
      <xdr:spPr>
        <a:xfrm>
          <a:off x="8267700" y="37010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178</xdr:row>
      <xdr:rowOff>0</xdr:rowOff>
    </xdr:from>
    <xdr:ext cx="65" cy="172227"/>
    <xdr:sp macro="" textlink="">
      <xdr:nvSpPr>
        <xdr:cNvPr id="1601" name="TextBox 1600">
          <a:extLst>
            <a:ext uri="{FF2B5EF4-FFF2-40B4-BE49-F238E27FC236}">
              <a16:creationId xmlns:a16="http://schemas.microsoft.com/office/drawing/2014/main" id="{00000000-0008-0000-0000-000007000000}"/>
            </a:ext>
          </a:extLst>
        </xdr:cNvPr>
        <xdr:cNvSpPr txBox="1"/>
      </xdr:nvSpPr>
      <xdr:spPr>
        <a:xfrm>
          <a:off x="8267700" y="38107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178</xdr:row>
      <xdr:rowOff>0</xdr:rowOff>
    </xdr:from>
    <xdr:ext cx="65" cy="172227"/>
    <xdr:sp macro="" textlink="">
      <xdr:nvSpPr>
        <xdr:cNvPr id="1602" name="TextBox 1601">
          <a:extLst>
            <a:ext uri="{FF2B5EF4-FFF2-40B4-BE49-F238E27FC236}">
              <a16:creationId xmlns:a16="http://schemas.microsoft.com/office/drawing/2014/main" id="{00000000-0008-0000-0000-000007000000}"/>
            </a:ext>
          </a:extLst>
        </xdr:cNvPr>
        <xdr:cNvSpPr txBox="1"/>
      </xdr:nvSpPr>
      <xdr:spPr>
        <a:xfrm>
          <a:off x="8267700" y="38107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179</xdr:row>
      <xdr:rowOff>0</xdr:rowOff>
    </xdr:from>
    <xdr:ext cx="65" cy="172227"/>
    <xdr:sp macro="" textlink="">
      <xdr:nvSpPr>
        <xdr:cNvPr id="1603" name="TextBox 1602">
          <a:extLst>
            <a:ext uri="{FF2B5EF4-FFF2-40B4-BE49-F238E27FC236}">
              <a16:creationId xmlns:a16="http://schemas.microsoft.com/office/drawing/2014/main" id="{00000000-0008-0000-0000-000007000000}"/>
            </a:ext>
          </a:extLst>
        </xdr:cNvPr>
        <xdr:cNvSpPr txBox="1"/>
      </xdr:nvSpPr>
      <xdr:spPr>
        <a:xfrm>
          <a:off x="8267700" y="3829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179</xdr:row>
      <xdr:rowOff>0</xdr:rowOff>
    </xdr:from>
    <xdr:ext cx="65" cy="172227"/>
    <xdr:sp macro="" textlink="">
      <xdr:nvSpPr>
        <xdr:cNvPr id="1604" name="TextBox 1603">
          <a:extLst>
            <a:ext uri="{FF2B5EF4-FFF2-40B4-BE49-F238E27FC236}">
              <a16:creationId xmlns:a16="http://schemas.microsoft.com/office/drawing/2014/main" id="{00000000-0008-0000-0000-000007000000}"/>
            </a:ext>
          </a:extLst>
        </xdr:cNvPr>
        <xdr:cNvSpPr txBox="1"/>
      </xdr:nvSpPr>
      <xdr:spPr>
        <a:xfrm>
          <a:off x="8267700" y="3829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180</xdr:row>
      <xdr:rowOff>0</xdr:rowOff>
    </xdr:from>
    <xdr:ext cx="65" cy="172227"/>
    <xdr:sp macro="" textlink="">
      <xdr:nvSpPr>
        <xdr:cNvPr id="1605" name="TextBox 1604">
          <a:extLst>
            <a:ext uri="{FF2B5EF4-FFF2-40B4-BE49-F238E27FC236}">
              <a16:creationId xmlns:a16="http://schemas.microsoft.com/office/drawing/2014/main" id="{00000000-0008-0000-0000-000007000000}"/>
            </a:ext>
          </a:extLst>
        </xdr:cNvPr>
        <xdr:cNvSpPr txBox="1"/>
      </xdr:nvSpPr>
      <xdr:spPr>
        <a:xfrm>
          <a:off x="8267700" y="3847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180</xdr:row>
      <xdr:rowOff>0</xdr:rowOff>
    </xdr:from>
    <xdr:ext cx="65" cy="172227"/>
    <xdr:sp macro="" textlink="">
      <xdr:nvSpPr>
        <xdr:cNvPr id="1606" name="TextBox 1605">
          <a:extLst>
            <a:ext uri="{FF2B5EF4-FFF2-40B4-BE49-F238E27FC236}">
              <a16:creationId xmlns:a16="http://schemas.microsoft.com/office/drawing/2014/main" id="{00000000-0008-0000-0000-000007000000}"/>
            </a:ext>
          </a:extLst>
        </xdr:cNvPr>
        <xdr:cNvSpPr txBox="1"/>
      </xdr:nvSpPr>
      <xdr:spPr>
        <a:xfrm>
          <a:off x="8267700" y="3847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181</xdr:row>
      <xdr:rowOff>0</xdr:rowOff>
    </xdr:from>
    <xdr:ext cx="65" cy="172227"/>
    <xdr:sp macro="" textlink="">
      <xdr:nvSpPr>
        <xdr:cNvPr id="1607" name="TextBox 1606">
          <a:extLst>
            <a:ext uri="{FF2B5EF4-FFF2-40B4-BE49-F238E27FC236}">
              <a16:creationId xmlns:a16="http://schemas.microsoft.com/office/drawing/2014/main" id="{00000000-0008-0000-0000-000007000000}"/>
            </a:ext>
          </a:extLst>
        </xdr:cNvPr>
        <xdr:cNvSpPr txBox="1"/>
      </xdr:nvSpPr>
      <xdr:spPr>
        <a:xfrm>
          <a:off x="8267700" y="38656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181</xdr:row>
      <xdr:rowOff>0</xdr:rowOff>
    </xdr:from>
    <xdr:ext cx="65" cy="172227"/>
    <xdr:sp macro="" textlink="">
      <xdr:nvSpPr>
        <xdr:cNvPr id="1608" name="TextBox 1607">
          <a:extLst>
            <a:ext uri="{FF2B5EF4-FFF2-40B4-BE49-F238E27FC236}">
              <a16:creationId xmlns:a16="http://schemas.microsoft.com/office/drawing/2014/main" id="{00000000-0008-0000-0000-000007000000}"/>
            </a:ext>
          </a:extLst>
        </xdr:cNvPr>
        <xdr:cNvSpPr txBox="1"/>
      </xdr:nvSpPr>
      <xdr:spPr>
        <a:xfrm>
          <a:off x="8267700" y="38656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182</xdr:row>
      <xdr:rowOff>0</xdr:rowOff>
    </xdr:from>
    <xdr:ext cx="65" cy="172227"/>
    <xdr:sp macro="" textlink="">
      <xdr:nvSpPr>
        <xdr:cNvPr id="1609" name="TextBox 1608">
          <a:extLst>
            <a:ext uri="{FF2B5EF4-FFF2-40B4-BE49-F238E27FC236}">
              <a16:creationId xmlns:a16="http://schemas.microsoft.com/office/drawing/2014/main" id="{00000000-0008-0000-0000-000007000000}"/>
            </a:ext>
          </a:extLst>
        </xdr:cNvPr>
        <xdr:cNvSpPr txBox="1"/>
      </xdr:nvSpPr>
      <xdr:spPr>
        <a:xfrm>
          <a:off x="8267700" y="38839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182</xdr:row>
      <xdr:rowOff>0</xdr:rowOff>
    </xdr:from>
    <xdr:ext cx="65" cy="172227"/>
    <xdr:sp macro="" textlink="">
      <xdr:nvSpPr>
        <xdr:cNvPr id="1610" name="TextBox 1609">
          <a:extLst>
            <a:ext uri="{FF2B5EF4-FFF2-40B4-BE49-F238E27FC236}">
              <a16:creationId xmlns:a16="http://schemas.microsoft.com/office/drawing/2014/main" id="{00000000-0008-0000-0000-000007000000}"/>
            </a:ext>
          </a:extLst>
        </xdr:cNvPr>
        <xdr:cNvSpPr txBox="1"/>
      </xdr:nvSpPr>
      <xdr:spPr>
        <a:xfrm>
          <a:off x="8267700" y="38839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188</xdr:row>
      <xdr:rowOff>0</xdr:rowOff>
    </xdr:from>
    <xdr:ext cx="65" cy="172227"/>
    <xdr:sp macro="" textlink="">
      <xdr:nvSpPr>
        <xdr:cNvPr id="1611" name="TextBox 1610">
          <a:extLst>
            <a:ext uri="{FF2B5EF4-FFF2-40B4-BE49-F238E27FC236}">
              <a16:creationId xmlns:a16="http://schemas.microsoft.com/office/drawing/2014/main" id="{00000000-0008-0000-0000-000007000000}"/>
            </a:ext>
          </a:extLst>
        </xdr:cNvPr>
        <xdr:cNvSpPr txBox="1"/>
      </xdr:nvSpPr>
      <xdr:spPr>
        <a:xfrm>
          <a:off x="8267700" y="39936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188</xdr:row>
      <xdr:rowOff>0</xdr:rowOff>
    </xdr:from>
    <xdr:ext cx="65" cy="172227"/>
    <xdr:sp macro="" textlink="">
      <xdr:nvSpPr>
        <xdr:cNvPr id="1612" name="TextBox 1611">
          <a:extLst>
            <a:ext uri="{FF2B5EF4-FFF2-40B4-BE49-F238E27FC236}">
              <a16:creationId xmlns:a16="http://schemas.microsoft.com/office/drawing/2014/main" id="{00000000-0008-0000-0000-000007000000}"/>
            </a:ext>
          </a:extLst>
        </xdr:cNvPr>
        <xdr:cNvSpPr txBox="1"/>
      </xdr:nvSpPr>
      <xdr:spPr>
        <a:xfrm>
          <a:off x="8267700" y="39936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189</xdr:row>
      <xdr:rowOff>0</xdr:rowOff>
    </xdr:from>
    <xdr:ext cx="65" cy="172227"/>
    <xdr:sp macro="" textlink="">
      <xdr:nvSpPr>
        <xdr:cNvPr id="1613" name="TextBox 1612">
          <a:extLst>
            <a:ext uri="{FF2B5EF4-FFF2-40B4-BE49-F238E27FC236}">
              <a16:creationId xmlns:a16="http://schemas.microsoft.com/office/drawing/2014/main" id="{00000000-0008-0000-0000-000007000000}"/>
            </a:ext>
          </a:extLst>
        </xdr:cNvPr>
        <xdr:cNvSpPr txBox="1"/>
      </xdr:nvSpPr>
      <xdr:spPr>
        <a:xfrm>
          <a:off x="8267700" y="40119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189</xdr:row>
      <xdr:rowOff>0</xdr:rowOff>
    </xdr:from>
    <xdr:ext cx="65" cy="172227"/>
    <xdr:sp macro="" textlink="">
      <xdr:nvSpPr>
        <xdr:cNvPr id="1614" name="TextBox 1613">
          <a:extLst>
            <a:ext uri="{FF2B5EF4-FFF2-40B4-BE49-F238E27FC236}">
              <a16:creationId xmlns:a16="http://schemas.microsoft.com/office/drawing/2014/main" id="{00000000-0008-0000-0000-000007000000}"/>
            </a:ext>
          </a:extLst>
        </xdr:cNvPr>
        <xdr:cNvSpPr txBox="1"/>
      </xdr:nvSpPr>
      <xdr:spPr>
        <a:xfrm>
          <a:off x="8267700" y="40119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190</xdr:row>
      <xdr:rowOff>0</xdr:rowOff>
    </xdr:from>
    <xdr:ext cx="65" cy="172227"/>
    <xdr:sp macro="" textlink="">
      <xdr:nvSpPr>
        <xdr:cNvPr id="1615" name="TextBox 1614">
          <a:extLst>
            <a:ext uri="{FF2B5EF4-FFF2-40B4-BE49-F238E27FC236}">
              <a16:creationId xmlns:a16="http://schemas.microsoft.com/office/drawing/2014/main" id="{00000000-0008-0000-0000-000007000000}"/>
            </a:ext>
          </a:extLst>
        </xdr:cNvPr>
        <xdr:cNvSpPr txBox="1"/>
      </xdr:nvSpPr>
      <xdr:spPr>
        <a:xfrm>
          <a:off x="8267700" y="40302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190</xdr:row>
      <xdr:rowOff>0</xdr:rowOff>
    </xdr:from>
    <xdr:ext cx="65" cy="172227"/>
    <xdr:sp macro="" textlink="">
      <xdr:nvSpPr>
        <xdr:cNvPr id="1616" name="TextBox 1615">
          <a:extLst>
            <a:ext uri="{FF2B5EF4-FFF2-40B4-BE49-F238E27FC236}">
              <a16:creationId xmlns:a16="http://schemas.microsoft.com/office/drawing/2014/main" id="{00000000-0008-0000-0000-000007000000}"/>
            </a:ext>
          </a:extLst>
        </xdr:cNvPr>
        <xdr:cNvSpPr txBox="1"/>
      </xdr:nvSpPr>
      <xdr:spPr>
        <a:xfrm>
          <a:off x="8267700" y="40302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191</xdr:row>
      <xdr:rowOff>0</xdr:rowOff>
    </xdr:from>
    <xdr:ext cx="65" cy="172227"/>
    <xdr:sp macro="" textlink="">
      <xdr:nvSpPr>
        <xdr:cNvPr id="1617" name="TextBox 1616">
          <a:extLst>
            <a:ext uri="{FF2B5EF4-FFF2-40B4-BE49-F238E27FC236}">
              <a16:creationId xmlns:a16="http://schemas.microsoft.com/office/drawing/2014/main" id="{00000000-0008-0000-0000-000007000000}"/>
            </a:ext>
          </a:extLst>
        </xdr:cNvPr>
        <xdr:cNvSpPr txBox="1"/>
      </xdr:nvSpPr>
      <xdr:spPr>
        <a:xfrm>
          <a:off x="8267700" y="40485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191</xdr:row>
      <xdr:rowOff>0</xdr:rowOff>
    </xdr:from>
    <xdr:ext cx="65" cy="172227"/>
    <xdr:sp macro="" textlink="">
      <xdr:nvSpPr>
        <xdr:cNvPr id="1618" name="TextBox 1617">
          <a:extLst>
            <a:ext uri="{FF2B5EF4-FFF2-40B4-BE49-F238E27FC236}">
              <a16:creationId xmlns:a16="http://schemas.microsoft.com/office/drawing/2014/main" id="{00000000-0008-0000-0000-000007000000}"/>
            </a:ext>
          </a:extLst>
        </xdr:cNvPr>
        <xdr:cNvSpPr txBox="1"/>
      </xdr:nvSpPr>
      <xdr:spPr>
        <a:xfrm>
          <a:off x="8267700" y="40485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192</xdr:row>
      <xdr:rowOff>0</xdr:rowOff>
    </xdr:from>
    <xdr:ext cx="65" cy="172227"/>
    <xdr:sp macro="" textlink="">
      <xdr:nvSpPr>
        <xdr:cNvPr id="1619" name="TextBox 1618">
          <a:extLst>
            <a:ext uri="{FF2B5EF4-FFF2-40B4-BE49-F238E27FC236}">
              <a16:creationId xmlns:a16="http://schemas.microsoft.com/office/drawing/2014/main" id="{00000000-0008-0000-0000-000007000000}"/>
            </a:ext>
          </a:extLst>
        </xdr:cNvPr>
        <xdr:cNvSpPr txBox="1"/>
      </xdr:nvSpPr>
      <xdr:spPr>
        <a:xfrm>
          <a:off x="8267700" y="40667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192</xdr:row>
      <xdr:rowOff>0</xdr:rowOff>
    </xdr:from>
    <xdr:ext cx="65" cy="172227"/>
    <xdr:sp macro="" textlink="">
      <xdr:nvSpPr>
        <xdr:cNvPr id="1620" name="TextBox 1619">
          <a:extLst>
            <a:ext uri="{FF2B5EF4-FFF2-40B4-BE49-F238E27FC236}">
              <a16:creationId xmlns:a16="http://schemas.microsoft.com/office/drawing/2014/main" id="{00000000-0008-0000-0000-000007000000}"/>
            </a:ext>
          </a:extLst>
        </xdr:cNvPr>
        <xdr:cNvSpPr txBox="1"/>
      </xdr:nvSpPr>
      <xdr:spPr>
        <a:xfrm>
          <a:off x="8267700" y="40667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198</xdr:row>
      <xdr:rowOff>0</xdr:rowOff>
    </xdr:from>
    <xdr:ext cx="65" cy="172227"/>
    <xdr:sp macro="" textlink="">
      <xdr:nvSpPr>
        <xdr:cNvPr id="1621" name="TextBox 1620">
          <a:extLst>
            <a:ext uri="{FF2B5EF4-FFF2-40B4-BE49-F238E27FC236}">
              <a16:creationId xmlns:a16="http://schemas.microsoft.com/office/drawing/2014/main" id="{00000000-0008-0000-0000-000007000000}"/>
            </a:ext>
          </a:extLst>
        </xdr:cNvPr>
        <xdr:cNvSpPr txBox="1"/>
      </xdr:nvSpPr>
      <xdr:spPr>
        <a:xfrm>
          <a:off x="8267700" y="41765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198</xdr:row>
      <xdr:rowOff>0</xdr:rowOff>
    </xdr:from>
    <xdr:ext cx="65" cy="172227"/>
    <xdr:sp macro="" textlink="">
      <xdr:nvSpPr>
        <xdr:cNvPr id="1622" name="TextBox 1621">
          <a:extLst>
            <a:ext uri="{FF2B5EF4-FFF2-40B4-BE49-F238E27FC236}">
              <a16:creationId xmlns:a16="http://schemas.microsoft.com/office/drawing/2014/main" id="{00000000-0008-0000-0000-000007000000}"/>
            </a:ext>
          </a:extLst>
        </xdr:cNvPr>
        <xdr:cNvSpPr txBox="1"/>
      </xdr:nvSpPr>
      <xdr:spPr>
        <a:xfrm>
          <a:off x="8267700" y="41765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199</xdr:row>
      <xdr:rowOff>0</xdr:rowOff>
    </xdr:from>
    <xdr:ext cx="65" cy="172227"/>
    <xdr:sp macro="" textlink="">
      <xdr:nvSpPr>
        <xdr:cNvPr id="1623" name="TextBox 1622">
          <a:extLst>
            <a:ext uri="{FF2B5EF4-FFF2-40B4-BE49-F238E27FC236}">
              <a16:creationId xmlns:a16="http://schemas.microsoft.com/office/drawing/2014/main" id="{00000000-0008-0000-0000-000007000000}"/>
            </a:ext>
          </a:extLst>
        </xdr:cNvPr>
        <xdr:cNvSpPr txBox="1"/>
      </xdr:nvSpPr>
      <xdr:spPr>
        <a:xfrm>
          <a:off x="8267700" y="41948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199</xdr:row>
      <xdr:rowOff>0</xdr:rowOff>
    </xdr:from>
    <xdr:ext cx="65" cy="172227"/>
    <xdr:sp macro="" textlink="">
      <xdr:nvSpPr>
        <xdr:cNvPr id="1624" name="TextBox 1623">
          <a:extLst>
            <a:ext uri="{FF2B5EF4-FFF2-40B4-BE49-F238E27FC236}">
              <a16:creationId xmlns:a16="http://schemas.microsoft.com/office/drawing/2014/main" id="{00000000-0008-0000-0000-000007000000}"/>
            </a:ext>
          </a:extLst>
        </xdr:cNvPr>
        <xdr:cNvSpPr txBox="1"/>
      </xdr:nvSpPr>
      <xdr:spPr>
        <a:xfrm>
          <a:off x="8267700" y="41948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200</xdr:row>
      <xdr:rowOff>0</xdr:rowOff>
    </xdr:from>
    <xdr:ext cx="65" cy="172227"/>
    <xdr:sp macro="" textlink="">
      <xdr:nvSpPr>
        <xdr:cNvPr id="1625" name="TextBox 1624">
          <a:extLst>
            <a:ext uri="{FF2B5EF4-FFF2-40B4-BE49-F238E27FC236}">
              <a16:creationId xmlns:a16="http://schemas.microsoft.com/office/drawing/2014/main" id="{00000000-0008-0000-0000-000007000000}"/>
            </a:ext>
          </a:extLst>
        </xdr:cNvPr>
        <xdr:cNvSpPr txBox="1"/>
      </xdr:nvSpPr>
      <xdr:spPr>
        <a:xfrm>
          <a:off x="8267700" y="42130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200</xdr:row>
      <xdr:rowOff>0</xdr:rowOff>
    </xdr:from>
    <xdr:ext cx="65" cy="172227"/>
    <xdr:sp macro="" textlink="">
      <xdr:nvSpPr>
        <xdr:cNvPr id="1626" name="TextBox 1625">
          <a:extLst>
            <a:ext uri="{FF2B5EF4-FFF2-40B4-BE49-F238E27FC236}">
              <a16:creationId xmlns:a16="http://schemas.microsoft.com/office/drawing/2014/main" id="{00000000-0008-0000-0000-000007000000}"/>
            </a:ext>
          </a:extLst>
        </xdr:cNvPr>
        <xdr:cNvSpPr txBox="1"/>
      </xdr:nvSpPr>
      <xdr:spPr>
        <a:xfrm>
          <a:off x="8267700" y="42130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201</xdr:row>
      <xdr:rowOff>0</xdr:rowOff>
    </xdr:from>
    <xdr:ext cx="65" cy="172227"/>
    <xdr:sp macro="" textlink="">
      <xdr:nvSpPr>
        <xdr:cNvPr id="1627" name="TextBox 1626">
          <a:extLst>
            <a:ext uri="{FF2B5EF4-FFF2-40B4-BE49-F238E27FC236}">
              <a16:creationId xmlns:a16="http://schemas.microsoft.com/office/drawing/2014/main" id="{00000000-0008-0000-0000-000007000000}"/>
            </a:ext>
          </a:extLst>
        </xdr:cNvPr>
        <xdr:cNvSpPr txBox="1"/>
      </xdr:nvSpPr>
      <xdr:spPr>
        <a:xfrm>
          <a:off x="8267700" y="42313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201</xdr:row>
      <xdr:rowOff>0</xdr:rowOff>
    </xdr:from>
    <xdr:ext cx="65" cy="172227"/>
    <xdr:sp macro="" textlink="">
      <xdr:nvSpPr>
        <xdr:cNvPr id="1628" name="TextBox 1627">
          <a:extLst>
            <a:ext uri="{FF2B5EF4-FFF2-40B4-BE49-F238E27FC236}">
              <a16:creationId xmlns:a16="http://schemas.microsoft.com/office/drawing/2014/main" id="{00000000-0008-0000-0000-000007000000}"/>
            </a:ext>
          </a:extLst>
        </xdr:cNvPr>
        <xdr:cNvSpPr txBox="1"/>
      </xdr:nvSpPr>
      <xdr:spPr>
        <a:xfrm>
          <a:off x="8267700" y="42313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202</xdr:row>
      <xdr:rowOff>0</xdr:rowOff>
    </xdr:from>
    <xdr:ext cx="65" cy="172227"/>
    <xdr:sp macro="" textlink="">
      <xdr:nvSpPr>
        <xdr:cNvPr id="1629" name="TextBox 1628">
          <a:extLst>
            <a:ext uri="{FF2B5EF4-FFF2-40B4-BE49-F238E27FC236}">
              <a16:creationId xmlns:a16="http://schemas.microsoft.com/office/drawing/2014/main" id="{00000000-0008-0000-0000-000007000000}"/>
            </a:ext>
          </a:extLst>
        </xdr:cNvPr>
        <xdr:cNvSpPr txBox="1"/>
      </xdr:nvSpPr>
      <xdr:spPr>
        <a:xfrm>
          <a:off x="8267700" y="42496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202</xdr:row>
      <xdr:rowOff>0</xdr:rowOff>
    </xdr:from>
    <xdr:ext cx="65" cy="172227"/>
    <xdr:sp macro="" textlink="">
      <xdr:nvSpPr>
        <xdr:cNvPr id="1630" name="TextBox 1629">
          <a:extLst>
            <a:ext uri="{FF2B5EF4-FFF2-40B4-BE49-F238E27FC236}">
              <a16:creationId xmlns:a16="http://schemas.microsoft.com/office/drawing/2014/main" id="{00000000-0008-0000-0000-000007000000}"/>
            </a:ext>
          </a:extLst>
        </xdr:cNvPr>
        <xdr:cNvSpPr txBox="1"/>
      </xdr:nvSpPr>
      <xdr:spPr>
        <a:xfrm>
          <a:off x="8267700" y="42496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1631" name="TextBox 1630">
          <a:extLst>
            <a:ext uri="{FF2B5EF4-FFF2-40B4-BE49-F238E27FC236}">
              <a16:creationId xmlns:a16="http://schemas.microsoft.com/office/drawing/2014/main" id="{00000000-0008-0000-0000-000007000000}"/>
            </a:ext>
          </a:extLst>
        </xdr:cNvPr>
        <xdr:cNvSpPr txBox="1"/>
      </xdr:nvSpPr>
      <xdr:spPr>
        <a:xfrm>
          <a:off x="8267700" y="33855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1632" name="TextBox 1631">
          <a:extLst>
            <a:ext uri="{FF2B5EF4-FFF2-40B4-BE49-F238E27FC236}">
              <a16:creationId xmlns:a16="http://schemas.microsoft.com/office/drawing/2014/main" id="{00000000-0008-0000-0000-000007000000}"/>
            </a:ext>
          </a:extLst>
        </xdr:cNvPr>
        <xdr:cNvSpPr txBox="1"/>
      </xdr:nvSpPr>
      <xdr:spPr>
        <a:xfrm>
          <a:off x="8267700" y="33855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1633" name="TextBox 1632">
          <a:extLst>
            <a:ext uri="{FF2B5EF4-FFF2-40B4-BE49-F238E27FC236}">
              <a16:creationId xmlns:a16="http://schemas.microsoft.com/office/drawing/2014/main" id="{00000000-0008-0000-0000-000007000000}"/>
            </a:ext>
          </a:extLst>
        </xdr:cNvPr>
        <xdr:cNvSpPr txBox="1"/>
      </xdr:nvSpPr>
      <xdr:spPr>
        <a:xfrm>
          <a:off x="8267700" y="34053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1634" name="TextBox 1633">
          <a:extLst>
            <a:ext uri="{FF2B5EF4-FFF2-40B4-BE49-F238E27FC236}">
              <a16:creationId xmlns:a16="http://schemas.microsoft.com/office/drawing/2014/main" id="{00000000-0008-0000-0000-000007000000}"/>
            </a:ext>
          </a:extLst>
        </xdr:cNvPr>
        <xdr:cNvSpPr txBox="1"/>
      </xdr:nvSpPr>
      <xdr:spPr>
        <a:xfrm>
          <a:off x="8267700" y="34053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1635" name="TextBox 1634">
          <a:extLst>
            <a:ext uri="{FF2B5EF4-FFF2-40B4-BE49-F238E27FC236}">
              <a16:creationId xmlns:a16="http://schemas.microsoft.com/office/drawing/2014/main" id="{00000000-0008-0000-0000-000007000000}"/>
            </a:ext>
          </a:extLst>
        </xdr:cNvPr>
        <xdr:cNvSpPr txBox="1"/>
      </xdr:nvSpPr>
      <xdr:spPr>
        <a:xfrm>
          <a:off x="8267700" y="3425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1636" name="TextBox 1635">
          <a:extLst>
            <a:ext uri="{FF2B5EF4-FFF2-40B4-BE49-F238E27FC236}">
              <a16:creationId xmlns:a16="http://schemas.microsoft.com/office/drawing/2014/main" id="{00000000-0008-0000-0000-000007000000}"/>
            </a:ext>
          </a:extLst>
        </xdr:cNvPr>
        <xdr:cNvSpPr txBox="1"/>
      </xdr:nvSpPr>
      <xdr:spPr>
        <a:xfrm>
          <a:off x="8267700" y="3425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1637" name="TextBox 1636">
          <a:extLst>
            <a:ext uri="{FF2B5EF4-FFF2-40B4-BE49-F238E27FC236}">
              <a16:creationId xmlns:a16="http://schemas.microsoft.com/office/drawing/2014/main" id="{00000000-0008-0000-0000-000007000000}"/>
            </a:ext>
          </a:extLst>
        </xdr:cNvPr>
        <xdr:cNvSpPr txBox="1"/>
      </xdr:nvSpPr>
      <xdr:spPr>
        <a:xfrm>
          <a:off x="8267700" y="3425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1638" name="TextBox 1637">
          <a:extLst>
            <a:ext uri="{FF2B5EF4-FFF2-40B4-BE49-F238E27FC236}">
              <a16:creationId xmlns:a16="http://schemas.microsoft.com/office/drawing/2014/main" id="{00000000-0008-0000-0000-000007000000}"/>
            </a:ext>
          </a:extLst>
        </xdr:cNvPr>
        <xdr:cNvSpPr txBox="1"/>
      </xdr:nvSpPr>
      <xdr:spPr>
        <a:xfrm>
          <a:off x="8267700" y="3425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1639" name="TextBox 1638">
          <a:extLst>
            <a:ext uri="{FF2B5EF4-FFF2-40B4-BE49-F238E27FC236}">
              <a16:creationId xmlns:a16="http://schemas.microsoft.com/office/drawing/2014/main" id="{00000000-0008-0000-0000-000007000000}"/>
            </a:ext>
          </a:extLst>
        </xdr:cNvPr>
        <xdr:cNvSpPr txBox="1"/>
      </xdr:nvSpPr>
      <xdr:spPr>
        <a:xfrm>
          <a:off x="8267700" y="33657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1640" name="TextBox 1639">
          <a:extLst>
            <a:ext uri="{FF2B5EF4-FFF2-40B4-BE49-F238E27FC236}">
              <a16:creationId xmlns:a16="http://schemas.microsoft.com/office/drawing/2014/main" id="{00000000-0008-0000-0000-000007000000}"/>
            </a:ext>
          </a:extLst>
        </xdr:cNvPr>
        <xdr:cNvSpPr txBox="1"/>
      </xdr:nvSpPr>
      <xdr:spPr>
        <a:xfrm>
          <a:off x="8267700" y="33657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1641" name="TextBox 1640">
          <a:extLst>
            <a:ext uri="{FF2B5EF4-FFF2-40B4-BE49-F238E27FC236}">
              <a16:creationId xmlns:a16="http://schemas.microsoft.com/office/drawing/2014/main" id="{00000000-0008-0000-0000-000007000000}"/>
            </a:ext>
          </a:extLst>
        </xdr:cNvPr>
        <xdr:cNvSpPr txBox="1"/>
      </xdr:nvSpPr>
      <xdr:spPr>
        <a:xfrm>
          <a:off x="8267700" y="33855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1642" name="TextBox 1641">
          <a:extLst>
            <a:ext uri="{FF2B5EF4-FFF2-40B4-BE49-F238E27FC236}">
              <a16:creationId xmlns:a16="http://schemas.microsoft.com/office/drawing/2014/main" id="{00000000-0008-0000-0000-000007000000}"/>
            </a:ext>
          </a:extLst>
        </xdr:cNvPr>
        <xdr:cNvSpPr txBox="1"/>
      </xdr:nvSpPr>
      <xdr:spPr>
        <a:xfrm>
          <a:off x="8267700" y="33855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1643" name="TextBox 1642">
          <a:extLst>
            <a:ext uri="{FF2B5EF4-FFF2-40B4-BE49-F238E27FC236}">
              <a16:creationId xmlns:a16="http://schemas.microsoft.com/office/drawing/2014/main" id="{00000000-0008-0000-0000-000007000000}"/>
            </a:ext>
          </a:extLst>
        </xdr:cNvPr>
        <xdr:cNvSpPr txBox="1"/>
      </xdr:nvSpPr>
      <xdr:spPr>
        <a:xfrm>
          <a:off x="8267700" y="33855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1644" name="TextBox 1643">
          <a:extLst>
            <a:ext uri="{FF2B5EF4-FFF2-40B4-BE49-F238E27FC236}">
              <a16:creationId xmlns:a16="http://schemas.microsoft.com/office/drawing/2014/main" id="{00000000-0008-0000-0000-000007000000}"/>
            </a:ext>
          </a:extLst>
        </xdr:cNvPr>
        <xdr:cNvSpPr txBox="1"/>
      </xdr:nvSpPr>
      <xdr:spPr>
        <a:xfrm>
          <a:off x="8267700" y="33855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1645" name="TextBox 1644">
          <a:extLst>
            <a:ext uri="{FF2B5EF4-FFF2-40B4-BE49-F238E27FC236}">
              <a16:creationId xmlns:a16="http://schemas.microsoft.com/office/drawing/2014/main" id="{00000000-0008-0000-0000-000007000000}"/>
            </a:ext>
          </a:extLst>
        </xdr:cNvPr>
        <xdr:cNvSpPr txBox="1"/>
      </xdr:nvSpPr>
      <xdr:spPr>
        <a:xfrm>
          <a:off x="8267700" y="34053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1646" name="TextBox 1645">
          <a:extLst>
            <a:ext uri="{FF2B5EF4-FFF2-40B4-BE49-F238E27FC236}">
              <a16:creationId xmlns:a16="http://schemas.microsoft.com/office/drawing/2014/main" id="{00000000-0008-0000-0000-000007000000}"/>
            </a:ext>
          </a:extLst>
        </xdr:cNvPr>
        <xdr:cNvSpPr txBox="1"/>
      </xdr:nvSpPr>
      <xdr:spPr>
        <a:xfrm>
          <a:off x="8267700" y="34053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1647" name="TextBox 1646">
          <a:extLst>
            <a:ext uri="{FF2B5EF4-FFF2-40B4-BE49-F238E27FC236}">
              <a16:creationId xmlns:a16="http://schemas.microsoft.com/office/drawing/2014/main" id="{00000000-0008-0000-0000-000007000000}"/>
            </a:ext>
          </a:extLst>
        </xdr:cNvPr>
        <xdr:cNvSpPr txBox="1"/>
      </xdr:nvSpPr>
      <xdr:spPr>
        <a:xfrm>
          <a:off x="8267700" y="34053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1648" name="TextBox 1647">
          <a:extLst>
            <a:ext uri="{FF2B5EF4-FFF2-40B4-BE49-F238E27FC236}">
              <a16:creationId xmlns:a16="http://schemas.microsoft.com/office/drawing/2014/main" id="{00000000-0008-0000-0000-000007000000}"/>
            </a:ext>
          </a:extLst>
        </xdr:cNvPr>
        <xdr:cNvSpPr txBox="1"/>
      </xdr:nvSpPr>
      <xdr:spPr>
        <a:xfrm>
          <a:off x="8267700" y="34053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1649" name="TextBox 1648">
          <a:extLst>
            <a:ext uri="{FF2B5EF4-FFF2-40B4-BE49-F238E27FC236}">
              <a16:creationId xmlns:a16="http://schemas.microsoft.com/office/drawing/2014/main" id="{00000000-0008-0000-0000-000007000000}"/>
            </a:ext>
          </a:extLst>
        </xdr:cNvPr>
        <xdr:cNvSpPr txBox="1"/>
      </xdr:nvSpPr>
      <xdr:spPr>
        <a:xfrm>
          <a:off x="8267700" y="34053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1650" name="TextBox 1649">
          <a:extLst>
            <a:ext uri="{FF2B5EF4-FFF2-40B4-BE49-F238E27FC236}">
              <a16:creationId xmlns:a16="http://schemas.microsoft.com/office/drawing/2014/main" id="{00000000-0008-0000-0000-000007000000}"/>
            </a:ext>
          </a:extLst>
        </xdr:cNvPr>
        <xdr:cNvSpPr txBox="1"/>
      </xdr:nvSpPr>
      <xdr:spPr>
        <a:xfrm>
          <a:off x="8267700" y="34053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1651" name="TextBox 1650">
          <a:extLst>
            <a:ext uri="{FF2B5EF4-FFF2-40B4-BE49-F238E27FC236}">
              <a16:creationId xmlns:a16="http://schemas.microsoft.com/office/drawing/2014/main" id="{00000000-0008-0000-0000-000007000000}"/>
            </a:ext>
          </a:extLst>
        </xdr:cNvPr>
        <xdr:cNvSpPr txBox="1"/>
      </xdr:nvSpPr>
      <xdr:spPr>
        <a:xfrm>
          <a:off x="8267700" y="34053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1652" name="TextBox 1651">
          <a:extLst>
            <a:ext uri="{FF2B5EF4-FFF2-40B4-BE49-F238E27FC236}">
              <a16:creationId xmlns:a16="http://schemas.microsoft.com/office/drawing/2014/main" id="{00000000-0008-0000-0000-000007000000}"/>
            </a:ext>
          </a:extLst>
        </xdr:cNvPr>
        <xdr:cNvSpPr txBox="1"/>
      </xdr:nvSpPr>
      <xdr:spPr>
        <a:xfrm>
          <a:off x="8267700" y="34053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1653" name="TextBox 1652">
          <a:extLst>
            <a:ext uri="{FF2B5EF4-FFF2-40B4-BE49-F238E27FC236}">
              <a16:creationId xmlns:a16="http://schemas.microsoft.com/office/drawing/2014/main" id="{00000000-0008-0000-0000-000007000000}"/>
            </a:ext>
          </a:extLst>
        </xdr:cNvPr>
        <xdr:cNvSpPr txBox="1"/>
      </xdr:nvSpPr>
      <xdr:spPr>
        <a:xfrm>
          <a:off x="8267700" y="33657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1654" name="TextBox 1653">
          <a:extLst>
            <a:ext uri="{FF2B5EF4-FFF2-40B4-BE49-F238E27FC236}">
              <a16:creationId xmlns:a16="http://schemas.microsoft.com/office/drawing/2014/main" id="{00000000-0008-0000-0000-000007000000}"/>
            </a:ext>
          </a:extLst>
        </xdr:cNvPr>
        <xdr:cNvSpPr txBox="1"/>
      </xdr:nvSpPr>
      <xdr:spPr>
        <a:xfrm>
          <a:off x="8267700" y="33657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1655" name="TextBox 1654">
          <a:extLst>
            <a:ext uri="{FF2B5EF4-FFF2-40B4-BE49-F238E27FC236}">
              <a16:creationId xmlns:a16="http://schemas.microsoft.com/office/drawing/2014/main" id="{00000000-0008-0000-0000-000007000000}"/>
            </a:ext>
          </a:extLst>
        </xdr:cNvPr>
        <xdr:cNvSpPr txBox="1"/>
      </xdr:nvSpPr>
      <xdr:spPr>
        <a:xfrm>
          <a:off x="8267700" y="33657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1656" name="TextBox 1655">
          <a:extLst>
            <a:ext uri="{FF2B5EF4-FFF2-40B4-BE49-F238E27FC236}">
              <a16:creationId xmlns:a16="http://schemas.microsoft.com/office/drawing/2014/main" id="{00000000-0008-0000-0000-000007000000}"/>
            </a:ext>
          </a:extLst>
        </xdr:cNvPr>
        <xdr:cNvSpPr txBox="1"/>
      </xdr:nvSpPr>
      <xdr:spPr>
        <a:xfrm>
          <a:off x="8267700" y="33657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1657" name="TextBox 1656">
          <a:extLst>
            <a:ext uri="{FF2B5EF4-FFF2-40B4-BE49-F238E27FC236}">
              <a16:creationId xmlns:a16="http://schemas.microsoft.com/office/drawing/2014/main" id="{00000000-0008-0000-0000-000007000000}"/>
            </a:ext>
          </a:extLst>
        </xdr:cNvPr>
        <xdr:cNvSpPr txBox="1"/>
      </xdr:nvSpPr>
      <xdr:spPr>
        <a:xfrm>
          <a:off x="8267700" y="33855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1658" name="TextBox 1657">
          <a:extLst>
            <a:ext uri="{FF2B5EF4-FFF2-40B4-BE49-F238E27FC236}">
              <a16:creationId xmlns:a16="http://schemas.microsoft.com/office/drawing/2014/main" id="{00000000-0008-0000-0000-000007000000}"/>
            </a:ext>
          </a:extLst>
        </xdr:cNvPr>
        <xdr:cNvSpPr txBox="1"/>
      </xdr:nvSpPr>
      <xdr:spPr>
        <a:xfrm>
          <a:off x="8267700" y="33855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1659" name="TextBox 1658">
          <a:extLst>
            <a:ext uri="{FF2B5EF4-FFF2-40B4-BE49-F238E27FC236}">
              <a16:creationId xmlns:a16="http://schemas.microsoft.com/office/drawing/2014/main" id="{00000000-0008-0000-0000-000007000000}"/>
            </a:ext>
          </a:extLst>
        </xdr:cNvPr>
        <xdr:cNvSpPr txBox="1"/>
      </xdr:nvSpPr>
      <xdr:spPr>
        <a:xfrm>
          <a:off x="8267700" y="33855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1660" name="TextBox 1659">
          <a:extLst>
            <a:ext uri="{FF2B5EF4-FFF2-40B4-BE49-F238E27FC236}">
              <a16:creationId xmlns:a16="http://schemas.microsoft.com/office/drawing/2014/main" id="{00000000-0008-0000-0000-000007000000}"/>
            </a:ext>
          </a:extLst>
        </xdr:cNvPr>
        <xdr:cNvSpPr txBox="1"/>
      </xdr:nvSpPr>
      <xdr:spPr>
        <a:xfrm>
          <a:off x="8267700" y="33855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1661" name="TextBox 1660">
          <a:extLst>
            <a:ext uri="{FF2B5EF4-FFF2-40B4-BE49-F238E27FC236}">
              <a16:creationId xmlns:a16="http://schemas.microsoft.com/office/drawing/2014/main" id="{00000000-0008-0000-0000-000007000000}"/>
            </a:ext>
          </a:extLst>
        </xdr:cNvPr>
        <xdr:cNvSpPr txBox="1"/>
      </xdr:nvSpPr>
      <xdr:spPr>
        <a:xfrm>
          <a:off x="8267700" y="33855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1662" name="TextBox 1661">
          <a:extLst>
            <a:ext uri="{FF2B5EF4-FFF2-40B4-BE49-F238E27FC236}">
              <a16:creationId xmlns:a16="http://schemas.microsoft.com/office/drawing/2014/main" id="{00000000-0008-0000-0000-000007000000}"/>
            </a:ext>
          </a:extLst>
        </xdr:cNvPr>
        <xdr:cNvSpPr txBox="1"/>
      </xdr:nvSpPr>
      <xdr:spPr>
        <a:xfrm>
          <a:off x="8267700" y="33855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1663" name="TextBox 1662">
          <a:extLst>
            <a:ext uri="{FF2B5EF4-FFF2-40B4-BE49-F238E27FC236}">
              <a16:creationId xmlns:a16="http://schemas.microsoft.com/office/drawing/2014/main" id="{00000000-0008-0000-0000-000007000000}"/>
            </a:ext>
          </a:extLst>
        </xdr:cNvPr>
        <xdr:cNvSpPr txBox="1"/>
      </xdr:nvSpPr>
      <xdr:spPr>
        <a:xfrm>
          <a:off x="8267700" y="33855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1664" name="TextBox 1663">
          <a:extLst>
            <a:ext uri="{FF2B5EF4-FFF2-40B4-BE49-F238E27FC236}">
              <a16:creationId xmlns:a16="http://schemas.microsoft.com/office/drawing/2014/main" id="{00000000-0008-0000-0000-000007000000}"/>
            </a:ext>
          </a:extLst>
        </xdr:cNvPr>
        <xdr:cNvSpPr txBox="1"/>
      </xdr:nvSpPr>
      <xdr:spPr>
        <a:xfrm>
          <a:off x="8267700" y="33855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1665" name="TextBox 1664">
          <a:extLst>
            <a:ext uri="{FF2B5EF4-FFF2-40B4-BE49-F238E27FC236}">
              <a16:creationId xmlns:a16="http://schemas.microsoft.com/office/drawing/2014/main" id="{00000000-0008-0000-0000-000007000000}"/>
            </a:ext>
          </a:extLst>
        </xdr:cNvPr>
        <xdr:cNvSpPr txBox="1"/>
      </xdr:nvSpPr>
      <xdr:spPr>
        <a:xfrm>
          <a:off x="8267700" y="33855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1666" name="TextBox 1665">
          <a:extLst>
            <a:ext uri="{FF2B5EF4-FFF2-40B4-BE49-F238E27FC236}">
              <a16:creationId xmlns:a16="http://schemas.microsoft.com/office/drawing/2014/main" id="{00000000-0008-0000-0000-000007000000}"/>
            </a:ext>
          </a:extLst>
        </xdr:cNvPr>
        <xdr:cNvSpPr txBox="1"/>
      </xdr:nvSpPr>
      <xdr:spPr>
        <a:xfrm>
          <a:off x="8267700" y="33855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1667" name="TextBox 1666">
          <a:extLst>
            <a:ext uri="{FF2B5EF4-FFF2-40B4-BE49-F238E27FC236}">
              <a16:creationId xmlns:a16="http://schemas.microsoft.com/office/drawing/2014/main" id="{00000000-0008-0000-0000-000007000000}"/>
            </a:ext>
          </a:extLst>
        </xdr:cNvPr>
        <xdr:cNvSpPr txBox="1"/>
      </xdr:nvSpPr>
      <xdr:spPr>
        <a:xfrm>
          <a:off x="8267700" y="33855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1668" name="TextBox 1667">
          <a:extLst>
            <a:ext uri="{FF2B5EF4-FFF2-40B4-BE49-F238E27FC236}">
              <a16:creationId xmlns:a16="http://schemas.microsoft.com/office/drawing/2014/main" id="{00000000-0008-0000-0000-000007000000}"/>
            </a:ext>
          </a:extLst>
        </xdr:cNvPr>
        <xdr:cNvSpPr txBox="1"/>
      </xdr:nvSpPr>
      <xdr:spPr>
        <a:xfrm>
          <a:off x="8267700" y="33855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1669" name="TextBox 1668">
          <a:extLst>
            <a:ext uri="{FF2B5EF4-FFF2-40B4-BE49-F238E27FC236}">
              <a16:creationId xmlns:a16="http://schemas.microsoft.com/office/drawing/2014/main" id="{00000000-0008-0000-0000-000007000000}"/>
            </a:ext>
          </a:extLst>
        </xdr:cNvPr>
        <xdr:cNvSpPr txBox="1"/>
      </xdr:nvSpPr>
      <xdr:spPr>
        <a:xfrm>
          <a:off x="8267700" y="33855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1670" name="TextBox 1669">
          <a:extLst>
            <a:ext uri="{FF2B5EF4-FFF2-40B4-BE49-F238E27FC236}">
              <a16:creationId xmlns:a16="http://schemas.microsoft.com/office/drawing/2014/main" id="{00000000-0008-0000-0000-000007000000}"/>
            </a:ext>
          </a:extLst>
        </xdr:cNvPr>
        <xdr:cNvSpPr txBox="1"/>
      </xdr:nvSpPr>
      <xdr:spPr>
        <a:xfrm>
          <a:off x="8267700" y="33855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1671" name="TextBox 1670">
          <a:extLst>
            <a:ext uri="{FF2B5EF4-FFF2-40B4-BE49-F238E27FC236}">
              <a16:creationId xmlns:a16="http://schemas.microsoft.com/office/drawing/2014/main" id="{00000000-0008-0000-0000-000007000000}"/>
            </a:ext>
          </a:extLst>
        </xdr:cNvPr>
        <xdr:cNvSpPr txBox="1"/>
      </xdr:nvSpPr>
      <xdr:spPr>
        <a:xfrm>
          <a:off x="8267700" y="33855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1672" name="TextBox 1671">
          <a:extLst>
            <a:ext uri="{FF2B5EF4-FFF2-40B4-BE49-F238E27FC236}">
              <a16:creationId xmlns:a16="http://schemas.microsoft.com/office/drawing/2014/main" id="{00000000-0008-0000-0000-000007000000}"/>
            </a:ext>
          </a:extLst>
        </xdr:cNvPr>
        <xdr:cNvSpPr txBox="1"/>
      </xdr:nvSpPr>
      <xdr:spPr>
        <a:xfrm>
          <a:off x="8267700" y="33855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1673" name="TextBox 1672">
          <a:extLst>
            <a:ext uri="{FF2B5EF4-FFF2-40B4-BE49-F238E27FC236}">
              <a16:creationId xmlns:a16="http://schemas.microsoft.com/office/drawing/2014/main" id="{00000000-0008-0000-0000-000007000000}"/>
            </a:ext>
          </a:extLst>
        </xdr:cNvPr>
        <xdr:cNvSpPr txBox="1"/>
      </xdr:nvSpPr>
      <xdr:spPr>
        <a:xfrm>
          <a:off x="12138660" y="33855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1674" name="TextBox 1673">
          <a:extLst>
            <a:ext uri="{FF2B5EF4-FFF2-40B4-BE49-F238E27FC236}">
              <a16:creationId xmlns:a16="http://schemas.microsoft.com/office/drawing/2014/main" id="{00000000-0008-0000-0000-000007000000}"/>
            </a:ext>
          </a:extLst>
        </xdr:cNvPr>
        <xdr:cNvSpPr txBox="1"/>
      </xdr:nvSpPr>
      <xdr:spPr>
        <a:xfrm>
          <a:off x="12138660" y="33855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1675" name="TextBox 1674">
          <a:extLst>
            <a:ext uri="{FF2B5EF4-FFF2-40B4-BE49-F238E27FC236}">
              <a16:creationId xmlns:a16="http://schemas.microsoft.com/office/drawing/2014/main" id="{00000000-0008-0000-0000-000007000000}"/>
            </a:ext>
          </a:extLst>
        </xdr:cNvPr>
        <xdr:cNvSpPr txBox="1"/>
      </xdr:nvSpPr>
      <xdr:spPr>
        <a:xfrm>
          <a:off x="12138660" y="33855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1676" name="TextBox 1675">
          <a:extLst>
            <a:ext uri="{FF2B5EF4-FFF2-40B4-BE49-F238E27FC236}">
              <a16:creationId xmlns:a16="http://schemas.microsoft.com/office/drawing/2014/main" id="{00000000-0008-0000-0000-000007000000}"/>
            </a:ext>
          </a:extLst>
        </xdr:cNvPr>
        <xdr:cNvSpPr txBox="1"/>
      </xdr:nvSpPr>
      <xdr:spPr>
        <a:xfrm>
          <a:off x="12138660" y="33855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1677" name="TextBox 1676">
          <a:extLst>
            <a:ext uri="{FF2B5EF4-FFF2-40B4-BE49-F238E27FC236}">
              <a16:creationId xmlns:a16="http://schemas.microsoft.com/office/drawing/2014/main" id="{00000000-0008-0000-0000-000007000000}"/>
            </a:ext>
          </a:extLst>
        </xdr:cNvPr>
        <xdr:cNvSpPr txBox="1"/>
      </xdr:nvSpPr>
      <xdr:spPr>
        <a:xfrm>
          <a:off x="12138660" y="33855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1678" name="TextBox 1677">
          <a:extLst>
            <a:ext uri="{FF2B5EF4-FFF2-40B4-BE49-F238E27FC236}">
              <a16:creationId xmlns:a16="http://schemas.microsoft.com/office/drawing/2014/main" id="{00000000-0008-0000-0000-000007000000}"/>
            </a:ext>
          </a:extLst>
        </xdr:cNvPr>
        <xdr:cNvSpPr txBox="1"/>
      </xdr:nvSpPr>
      <xdr:spPr>
        <a:xfrm>
          <a:off x="12138660" y="33855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1679" name="TextBox 1678">
          <a:extLst>
            <a:ext uri="{FF2B5EF4-FFF2-40B4-BE49-F238E27FC236}">
              <a16:creationId xmlns:a16="http://schemas.microsoft.com/office/drawing/2014/main" id="{00000000-0008-0000-0000-000007000000}"/>
            </a:ext>
          </a:extLst>
        </xdr:cNvPr>
        <xdr:cNvSpPr txBox="1"/>
      </xdr:nvSpPr>
      <xdr:spPr>
        <a:xfrm>
          <a:off x="12138660" y="33855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1680" name="TextBox 1679">
          <a:extLst>
            <a:ext uri="{FF2B5EF4-FFF2-40B4-BE49-F238E27FC236}">
              <a16:creationId xmlns:a16="http://schemas.microsoft.com/office/drawing/2014/main" id="{00000000-0008-0000-0000-000007000000}"/>
            </a:ext>
          </a:extLst>
        </xdr:cNvPr>
        <xdr:cNvSpPr txBox="1"/>
      </xdr:nvSpPr>
      <xdr:spPr>
        <a:xfrm>
          <a:off x="12138660" y="33855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1681" name="TextBox 1680">
          <a:extLst>
            <a:ext uri="{FF2B5EF4-FFF2-40B4-BE49-F238E27FC236}">
              <a16:creationId xmlns:a16="http://schemas.microsoft.com/office/drawing/2014/main" id="{00000000-0008-0000-0000-000007000000}"/>
            </a:ext>
          </a:extLst>
        </xdr:cNvPr>
        <xdr:cNvSpPr txBox="1"/>
      </xdr:nvSpPr>
      <xdr:spPr>
        <a:xfrm>
          <a:off x="8267700" y="33657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1682" name="TextBox 1681">
          <a:extLst>
            <a:ext uri="{FF2B5EF4-FFF2-40B4-BE49-F238E27FC236}">
              <a16:creationId xmlns:a16="http://schemas.microsoft.com/office/drawing/2014/main" id="{00000000-0008-0000-0000-000007000000}"/>
            </a:ext>
          </a:extLst>
        </xdr:cNvPr>
        <xdr:cNvSpPr txBox="1"/>
      </xdr:nvSpPr>
      <xdr:spPr>
        <a:xfrm>
          <a:off x="8267700" y="33657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1683" name="TextBox 1682">
          <a:extLst>
            <a:ext uri="{FF2B5EF4-FFF2-40B4-BE49-F238E27FC236}">
              <a16:creationId xmlns:a16="http://schemas.microsoft.com/office/drawing/2014/main" id="{00000000-0008-0000-0000-000007000000}"/>
            </a:ext>
          </a:extLst>
        </xdr:cNvPr>
        <xdr:cNvSpPr txBox="1"/>
      </xdr:nvSpPr>
      <xdr:spPr>
        <a:xfrm>
          <a:off x="8267700" y="33657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1684" name="TextBox 1683">
          <a:extLst>
            <a:ext uri="{FF2B5EF4-FFF2-40B4-BE49-F238E27FC236}">
              <a16:creationId xmlns:a16="http://schemas.microsoft.com/office/drawing/2014/main" id="{00000000-0008-0000-0000-000007000000}"/>
            </a:ext>
          </a:extLst>
        </xdr:cNvPr>
        <xdr:cNvSpPr txBox="1"/>
      </xdr:nvSpPr>
      <xdr:spPr>
        <a:xfrm>
          <a:off x="8267700" y="33657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1685" name="TextBox 1684">
          <a:extLst>
            <a:ext uri="{FF2B5EF4-FFF2-40B4-BE49-F238E27FC236}">
              <a16:creationId xmlns:a16="http://schemas.microsoft.com/office/drawing/2014/main" id="{00000000-0008-0000-0000-000007000000}"/>
            </a:ext>
          </a:extLst>
        </xdr:cNvPr>
        <xdr:cNvSpPr txBox="1"/>
      </xdr:nvSpPr>
      <xdr:spPr>
        <a:xfrm>
          <a:off x="8267700" y="33855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1686" name="TextBox 1685">
          <a:extLst>
            <a:ext uri="{FF2B5EF4-FFF2-40B4-BE49-F238E27FC236}">
              <a16:creationId xmlns:a16="http://schemas.microsoft.com/office/drawing/2014/main" id="{00000000-0008-0000-0000-000007000000}"/>
            </a:ext>
          </a:extLst>
        </xdr:cNvPr>
        <xdr:cNvSpPr txBox="1"/>
      </xdr:nvSpPr>
      <xdr:spPr>
        <a:xfrm>
          <a:off x="8267700" y="33855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1687" name="TextBox 1686">
          <a:extLst>
            <a:ext uri="{FF2B5EF4-FFF2-40B4-BE49-F238E27FC236}">
              <a16:creationId xmlns:a16="http://schemas.microsoft.com/office/drawing/2014/main" id="{00000000-0008-0000-0000-000007000000}"/>
            </a:ext>
          </a:extLst>
        </xdr:cNvPr>
        <xdr:cNvSpPr txBox="1"/>
      </xdr:nvSpPr>
      <xdr:spPr>
        <a:xfrm>
          <a:off x="8267700" y="33855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1688" name="TextBox 1687">
          <a:extLst>
            <a:ext uri="{FF2B5EF4-FFF2-40B4-BE49-F238E27FC236}">
              <a16:creationId xmlns:a16="http://schemas.microsoft.com/office/drawing/2014/main" id="{00000000-0008-0000-0000-000007000000}"/>
            </a:ext>
          </a:extLst>
        </xdr:cNvPr>
        <xdr:cNvSpPr txBox="1"/>
      </xdr:nvSpPr>
      <xdr:spPr>
        <a:xfrm>
          <a:off x="8267700" y="33855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1689" name="TextBox 1688">
          <a:extLst>
            <a:ext uri="{FF2B5EF4-FFF2-40B4-BE49-F238E27FC236}">
              <a16:creationId xmlns:a16="http://schemas.microsoft.com/office/drawing/2014/main" id="{00000000-0008-0000-0000-000007000000}"/>
            </a:ext>
          </a:extLst>
        </xdr:cNvPr>
        <xdr:cNvSpPr txBox="1"/>
      </xdr:nvSpPr>
      <xdr:spPr>
        <a:xfrm>
          <a:off x="8267700" y="33855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1690" name="TextBox 1689">
          <a:extLst>
            <a:ext uri="{FF2B5EF4-FFF2-40B4-BE49-F238E27FC236}">
              <a16:creationId xmlns:a16="http://schemas.microsoft.com/office/drawing/2014/main" id="{00000000-0008-0000-0000-000007000000}"/>
            </a:ext>
          </a:extLst>
        </xdr:cNvPr>
        <xdr:cNvSpPr txBox="1"/>
      </xdr:nvSpPr>
      <xdr:spPr>
        <a:xfrm>
          <a:off x="8267700" y="33855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1691" name="TextBox 1690">
          <a:extLst>
            <a:ext uri="{FF2B5EF4-FFF2-40B4-BE49-F238E27FC236}">
              <a16:creationId xmlns:a16="http://schemas.microsoft.com/office/drawing/2014/main" id="{00000000-0008-0000-0000-000007000000}"/>
            </a:ext>
          </a:extLst>
        </xdr:cNvPr>
        <xdr:cNvSpPr txBox="1"/>
      </xdr:nvSpPr>
      <xdr:spPr>
        <a:xfrm>
          <a:off x="8267700" y="33855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1692" name="TextBox 1691">
          <a:extLst>
            <a:ext uri="{FF2B5EF4-FFF2-40B4-BE49-F238E27FC236}">
              <a16:creationId xmlns:a16="http://schemas.microsoft.com/office/drawing/2014/main" id="{00000000-0008-0000-0000-000007000000}"/>
            </a:ext>
          </a:extLst>
        </xdr:cNvPr>
        <xdr:cNvSpPr txBox="1"/>
      </xdr:nvSpPr>
      <xdr:spPr>
        <a:xfrm>
          <a:off x="8267700" y="33855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1693" name="TextBox 1692">
          <a:extLst>
            <a:ext uri="{FF2B5EF4-FFF2-40B4-BE49-F238E27FC236}">
              <a16:creationId xmlns:a16="http://schemas.microsoft.com/office/drawing/2014/main" id="{00000000-0008-0000-0000-000007000000}"/>
            </a:ext>
          </a:extLst>
        </xdr:cNvPr>
        <xdr:cNvSpPr txBox="1"/>
      </xdr:nvSpPr>
      <xdr:spPr>
        <a:xfrm>
          <a:off x="8267700" y="33855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1694" name="TextBox 1693">
          <a:extLst>
            <a:ext uri="{FF2B5EF4-FFF2-40B4-BE49-F238E27FC236}">
              <a16:creationId xmlns:a16="http://schemas.microsoft.com/office/drawing/2014/main" id="{00000000-0008-0000-0000-000007000000}"/>
            </a:ext>
          </a:extLst>
        </xdr:cNvPr>
        <xdr:cNvSpPr txBox="1"/>
      </xdr:nvSpPr>
      <xdr:spPr>
        <a:xfrm>
          <a:off x="8267700" y="33855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1695" name="TextBox 1694">
          <a:extLst>
            <a:ext uri="{FF2B5EF4-FFF2-40B4-BE49-F238E27FC236}">
              <a16:creationId xmlns:a16="http://schemas.microsoft.com/office/drawing/2014/main" id="{00000000-0008-0000-0000-000007000000}"/>
            </a:ext>
          </a:extLst>
        </xdr:cNvPr>
        <xdr:cNvSpPr txBox="1"/>
      </xdr:nvSpPr>
      <xdr:spPr>
        <a:xfrm>
          <a:off x="8267700" y="33855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1696" name="TextBox 1695">
          <a:extLst>
            <a:ext uri="{FF2B5EF4-FFF2-40B4-BE49-F238E27FC236}">
              <a16:creationId xmlns:a16="http://schemas.microsoft.com/office/drawing/2014/main" id="{00000000-0008-0000-0000-000007000000}"/>
            </a:ext>
          </a:extLst>
        </xdr:cNvPr>
        <xdr:cNvSpPr txBox="1"/>
      </xdr:nvSpPr>
      <xdr:spPr>
        <a:xfrm>
          <a:off x="8267700" y="33855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1697" name="TextBox 1696">
          <a:extLst>
            <a:ext uri="{FF2B5EF4-FFF2-40B4-BE49-F238E27FC236}">
              <a16:creationId xmlns:a16="http://schemas.microsoft.com/office/drawing/2014/main" id="{00000000-0008-0000-0000-000007000000}"/>
            </a:ext>
          </a:extLst>
        </xdr:cNvPr>
        <xdr:cNvSpPr txBox="1"/>
      </xdr:nvSpPr>
      <xdr:spPr>
        <a:xfrm>
          <a:off x="8267700" y="34053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1698" name="TextBox 1697">
          <a:extLst>
            <a:ext uri="{FF2B5EF4-FFF2-40B4-BE49-F238E27FC236}">
              <a16:creationId xmlns:a16="http://schemas.microsoft.com/office/drawing/2014/main" id="{00000000-0008-0000-0000-000007000000}"/>
            </a:ext>
          </a:extLst>
        </xdr:cNvPr>
        <xdr:cNvSpPr txBox="1"/>
      </xdr:nvSpPr>
      <xdr:spPr>
        <a:xfrm>
          <a:off x="8267700" y="34053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1699" name="TextBox 1698">
          <a:extLst>
            <a:ext uri="{FF2B5EF4-FFF2-40B4-BE49-F238E27FC236}">
              <a16:creationId xmlns:a16="http://schemas.microsoft.com/office/drawing/2014/main" id="{00000000-0008-0000-0000-000007000000}"/>
            </a:ext>
          </a:extLst>
        </xdr:cNvPr>
        <xdr:cNvSpPr txBox="1"/>
      </xdr:nvSpPr>
      <xdr:spPr>
        <a:xfrm>
          <a:off x="8267700" y="34053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1700" name="TextBox 1699">
          <a:extLst>
            <a:ext uri="{FF2B5EF4-FFF2-40B4-BE49-F238E27FC236}">
              <a16:creationId xmlns:a16="http://schemas.microsoft.com/office/drawing/2014/main" id="{00000000-0008-0000-0000-000007000000}"/>
            </a:ext>
          </a:extLst>
        </xdr:cNvPr>
        <xdr:cNvSpPr txBox="1"/>
      </xdr:nvSpPr>
      <xdr:spPr>
        <a:xfrm>
          <a:off x="8267700" y="34053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1701" name="TextBox 1700">
          <a:extLst>
            <a:ext uri="{FF2B5EF4-FFF2-40B4-BE49-F238E27FC236}">
              <a16:creationId xmlns:a16="http://schemas.microsoft.com/office/drawing/2014/main" id="{00000000-0008-0000-0000-000007000000}"/>
            </a:ext>
          </a:extLst>
        </xdr:cNvPr>
        <xdr:cNvSpPr txBox="1"/>
      </xdr:nvSpPr>
      <xdr:spPr>
        <a:xfrm>
          <a:off x="8267700" y="34053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1702" name="TextBox 1701">
          <a:extLst>
            <a:ext uri="{FF2B5EF4-FFF2-40B4-BE49-F238E27FC236}">
              <a16:creationId xmlns:a16="http://schemas.microsoft.com/office/drawing/2014/main" id="{00000000-0008-0000-0000-000007000000}"/>
            </a:ext>
          </a:extLst>
        </xdr:cNvPr>
        <xdr:cNvSpPr txBox="1"/>
      </xdr:nvSpPr>
      <xdr:spPr>
        <a:xfrm>
          <a:off x="8267700" y="34053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1703" name="TextBox 1702">
          <a:extLst>
            <a:ext uri="{FF2B5EF4-FFF2-40B4-BE49-F238E27FC236}">
              <a16:creationId xmlns:a16="http://schemas.microsoft.com/office/drawing/2014/main" id="{00000000-0008-0000-0000-000007000000}"/>
            </a:ext>
          </a:extLst>
        </xdr:cNvPr>
        <xdr:cNvSpPr txBox="1"/>
      </xdr:nvSpPr>
      <xdr:spPr>
        <a:xfrm>
          <a:off x="8267700" y="34053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1704" name="TextBox 1703">
          <a:extLst>
            <a:ext uri="{FF2B5EF4-FFF2-40B4-BE49-F238E27FC236}">
              <a16:creationId xmlns:a16="http://schemas.microsoft.com/office/drawing/2014/main" id="{00000000-0008-0000-0000-000007000000}"/>
            </a:ext>
          </a:extLst>
        </xdr:cNvPr>
        <xdr:cNvSpPr txBox="1"/>
      </xdr:nvSpPr>
      <xdr:spPr>
        <a:xfrm>
          <a:off x="8267700" y="34053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1705" name="TextBox 1704">
          <a:extLst>
            <a:ext uri="{FF2B5EF4-FFF2-40B4-BE49-F238E27FC236}">
              <a16:creationId xmlns:a16="http://schemas.microsoft.com/office/drawing/2014/main" id="{00000000-0008-0000-0000-000007000000}"/>
            </a:ext>
          </a:extLst>
        </xdr:cNvPr>
        <xdr:cNvSpPr txBox="1"/>
      </xdr:nvSpPr>
      <xdr:spPr>
        <a:xfrm>
          <a:off x="8267700" y="34053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1706" name="TextBox 1705">
          <a:extLst>
            <a:ext uri="{FF2B5EF4-FFF2-40B4-BE49-F238E27FC236}">
              <a16:creationId xmlns:a16="http://schemas.microsoft.com/office/drawing/2014/main" id="{00000000-0008-0000-0000-000007000000}"/>
            </a:ext>
          </a:extLst>
        </xdr:cNvPr>
        <xdr:cNvSpPr txBox="1"/>
      </xdr:nvSpPr>
      <xdr:spPr>
        <a:xfrm>
          <a:off x="8267700" y="34053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1707" name="TextBox 1706">
          <a:extLst>
            <a:ext uri="{FF2B5EF4-FFF2-40B4-BE49-F238E27FC236}">
              <a16:creationId xmlns:a16="http://schemas.microsoft.com/office/drawing/2014/main" id="{00000000-0008-0000-0000-000007000000}"/>
            </a:ext>
          </a:extLst>
        </xdr:cNvPr>
        <xdr:cNvSpPr txBox="1"/>
      </xdr:nvSpPr>
      <xdr:spPr>
        <a:xfrm>
          <a:off x="8267700" y="34053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1708" name="TextBox 1707">
          <a:extLst>
            <a:ext uri="{FF2B5EF4-FFF2-40B4-BE49-F238E27FC236}">
              <a16:creationId xmlns:a16="http://schemas.microsoft.com/office/drawing/2014/main" id="{00000000-0008-0000-0000-000007000000}"/>
            </a:ext>
          </a:extLst>
        </xdr:cNvPr>
        <xdr:cNvSpPr txBox="1"/>
      </xdr:nvSpPr>
      <xdr:spPr>
        <a:xfrm>
          <a:off x="8267700" y="34053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1709" name="TextBox 1708">
          <a:extLst>
            <a:ext uri="{FF2B5EF4-FFF2-40B4-BE49-F238E27FC236}">
              <a16:creationId xmlns:a16="http://schemas.microsoft.com/office/drawing/2014/main" id="{00000000-0008-0000-0000-000007000000}"/>
            </a:ext>
          </a:extLst>
        </xdr:cNvPr>
        <xdr:cNvSpPr txBox="1"/>
      </xdr:nvSpPr>
      <xdr:spPr>
        <a:xfrm>
          <a:off x="8267700" y="34053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1710" name="TextBox 1709">
          <a:extLst>
            <a:ext uri="{FF2B5EF4-FFF2-40B4-BE49-F238E27FC236}">
              <a16:creationId xmlns:a16="http://schemas.microsoft.com/office/drawing/2014/main" id="{00000000-0008-0000-0000-000007000000}"/>
            </a:ext>
          </a:extLst>
        </xdr:cNvPr>
        <xdr:cNvSpPr txBox="1"/>
      </xdr:nvSpPr>
      <xdr:spPr>
        <a:xfrm>
          <a:off x="8267700" y="34053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1711" name="TextBox 1710">
          <a:extLst>
            <a:ext uri="{FF2B5EF4-FFF2-40B4-BE49-F238E27FC236}">
              <a16:creationId xmlns:a16="http://schemas.microsoft.com/office/drawing/2014/main" id="{00000000-0008-0000-0000-000007000000}"/>
            </a:ext>
          </a:extLst>
        </xdr:cNvPr>
        <xdr:cNvSpPr txBox="1"/>
      </xdr:nvSpPr>
      <xdr:spPr>
        <a:xfrm>
          <a:off x="8267700" y="34053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1712" name="TextBox 1711">
          <a:extLst>
            <a:ext uri="{FF2B5EF4-FFF2-40B4-BE49-F238E27FC236}">
              <a16:creationId xmlns:a16="http://schemas.microsoft.com/office/drawing/2014/main" id="{00000000-0008-0000-0000-000007000000}"/>
            </a:ext>
          </a:extLst>
        </xdr:cNvPr>
        <xdr:cNvSpPr txBox="1"/>
      </xdr:nvSpPr>
      <xdr:spPr>
        <a:xfrm>
          <a:off x="8267700" y="34053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1713" name="TextBox 1712">
          <a:extLst>
            <a:ext uri="{FF2B5EF4-FFF2-40B4-BE49-F238E27FC236}">
              <a16:creationId xmlns:a16="http://schemas.microsoft.com/office/drawing/2014/main" id="{00000000-0008-0000-0000-000007000000}"/>
            </a:ext>
          </a:extLst>
        </xdr:cNvPr>
        <xdr:cNvSpPr txBox="1"/>
      </xdr:nvSpPr>
      <xdr:spPr>
        <a:xfrm>
          <a:off x="8267700" y="34053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1714" name="TextBox 1713">
          <a:extLst>
            <a:ext uri="{FF2B5EF4-FFF2-40B4-BE49-F238E27FC236}">
              <a16:creationId xmlns:a16="http://schemas.microsoft.com/office/drawing/2014/main" id="{00000000-0008-0000-0000-000007000000}"/>
            </a:ext>
          </a:extLst>
        </xdr:cNvPr>
        <xdr:cNvSpPr txBox="1"/>
      </xdr:nvSpPr>
      <xdr:spPr>
        <a:xfrm>
          <a:off x="8267700" y="34053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1715" name="TextBox 1714">
          <a:extLst>
            <a:ext uri="{FF2B5EF4-FFF2-40B4-BE49-F238E27FC236}">
              <a16:creationId xmlns:a16="http://schemas.microsoft.com/office/drawing/2014/main" id="{00000000-0008-0000-0000-000007000000}"/>
            </a:ext>
          </a:extLst>
        </xdr:cNvPr>
        <xdr:cNvSpPr txBox="1"/>
      </xdr:nvSpPr>
      <xdr:spPr>
        <a:xfrm>
          <a:off x="8267700" y="34053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1716" name="TextBox 1715">
          <a:extLst>
            <a:ext uri="{FF2B5EF4-FFF2-40B4-BE49-F238E27FC236}">
              <a16:creationId xmlns:a16="http://schemas.microsoft.com/office/drawing/2014/main" id="{00000000-0008-0000-0000-000007000000}"/>
            </a:ext>
          </a:extLst>
        </xdr:cNvPr>
        <xdr:cNvSpPr txBox="1"/>
      </xdr:nvSpPr>
      <xdr:spPr>
        <a:xfrm>
          <a:off x="8267700" y="34053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1717" name="TextBox 1716">
          <a:extLst>
            <a:ext uri="{FF2B5EF4-FFF2-40B4-BE49-F238E27FC236}">
              <a16:creationId xmlns:a16="http://schemas.microsoft.com/office/drawing/2014/main" id="{00000000-0008-0000-0000-000007000000}"/>
            </a:ext>
          </a:extLst>
        </xdr:cNvPr>
        <xdr:cNvSpPr txBox="1"/>
      </xdr:nvSpPr>
      <xdr:spPr>
        <a:xfrm>
          <a:off x="8267700" y="34053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1718" name="TextBox 1717">
          <a:extLst>
            <a:ext uri="{FF2B5EF4-FFF2-40B4-BE49-F238E27FC236}">
              <a16:creationId xmlns:a16="http://schemas.microsoft.com/office/drawing/2014/main" id="{00000000-0008-0000-0000-000007000000}"/>
            </a:ext>
          </a:extLst>
        </xdr:cNvPr>
        <xdr:cNvSpPr txBox="1"/>
      </xdr:nvSpPr>
      <xdr:spPr>
        <a:xfrm>
          <a:off x="8267700" y="34053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1719" name="TextBox 1718">
          <a:extLst>
            <a:ext uri="{FF2B5EF4-FFF2-40B4-BE49-F238E27FC236}">
              <a16:creationId xmlns:a16="http://schemas.microsoft.com/office/drawing/2014/main" id="{00000000-0008-0000-0000-000007000000}"/>
            </a:ext>
          </a:extLst>
        </xdr:cNvPr>
        <xdr:cNvSpPr txBox="1"/>
      </xdr:nvSpPr>
      <xdr:spPr>
        <a:xfrm>
          <a:off x="8267700" y="34053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1720" name="TextBox 1719">
          <a:extLst>
            <a:ext uri="{FF2B5EF4-FFF2-40B4-BE49-F238E27FC236}">
              <a16:creationId xmlns:a16="http://schemas.microsoft.com/office/drawing/2014/main" id="{00000000-0008-0000-0000-000007000000}"/>
            </a:ext>
          </a:extLst>
        </xdr:cNvPr>
        <xdr:cNvSpPr txBox="1"/>
      </xdr:nvSpPr>
      <xdr:spPr>
        <a:xfrm>
          <a:off x="8267700" y="34053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1721" name="TextBox 1720">
          <a:extLst>
            <a:ext uri="{FF2B5EF4-FFF2-40B4-BE49-F238E27FC236}">
              <a16:creationId xmlns:a16="http://schemas.microsoft.com/office/drawing/2014/main" id="{00000000-0008-0000-0000-000007000000}"/>
            </a:ext>
          </a:extLst>
        </xdr:cNvPr>
        <xdr:cNvSpPr txBox="1"/>
      </xdr:nvSpPr>
      <xdr:spPr>
        <a:xfrm>
          <a:off x="8267700" y="34053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1722" name="TextBox 1721">
          <a:extLst>
            <a:ext uri="{FF2B5EF4-FFF2-40B4-BE49-F238E27FC236}">
              <a16:creationId xmlns:a16="http://schemas.microsoft.com/office/drawing/2014/main" id="{00000000-0008-0000-0000-000007000000}"/>
            </a:ext>
          </a:extLst>
        </xdr:cNvPr>
        <xdr:cNvSpPr txBox="1"/>
      </xdr:nvSpPr>
      <xdr:spPr>
        <a:xfrm>
          <a:off x="8267700" y="34053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1723" name="TextBox 1722">
          <a:extLst>
            <a:ext uri="{FF2B5EF4-FFF2-40B4-BE49-F238E27FC236}">
              <a16:creationId xmlns:a16="http://schemas.microsoft.com/office/drawing/2014/main" id="{00000000-0008-0000-0000-000007000000}"/>
            </a:ext>
          </a:extLst>
        </xdr:cNvPr>
        <xdr:cNvSpPr txBox="1"/>
      </xdr:nvSpPr>
      <xdr:spPr>
        <a:xfrm>
          <a:off x="8267700" y="34053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1724" name="TextBox 1723">
          <a:extLst>
            <a:ext uri="{FF2B5EF4-FFF2-40B4-BE49-F238E27FC236}">
              <a16:creationId xmlns:a16="http://schemas.microsoft.com/office/drawing/2014/main" id="{00000000-0008-0000-0000-000007000000}"/>
            </a:ext>
          </a:extLst>
        </xdr:cNvPr>
        <xdr:cNvSpPr txBox="1"/>
      </xdr:nvSpPr>
      <xdr:spPr>
        <a:xfrm>
          <a:off x="8267700" y="34053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1725" name="TextBox 1724">
          <a:extLst>
            <a:ext uri="{FF2B5EF4-FFF2-40B4-BE49-F238E27FC236}">
              <a16:creationId xmlns:a16="http://schemas.microsoft.com/office/drawing/2014/main" id="{00000000-0008-0000-0000-000007000000}"/>
            </a:ext>
          </a:extLst>
        </xdr:cNvPr>
        <xdr:cNvSpPr txBox="1"/>
      </xdr:nvSpPr>
      <xdr:spPr>
        <a:xfrm>
          <a:off x="8267700" y="34053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1726" name="TextBox 1725">
          <a:extLst>
            <a:ext uri="{FF2B5EF4-FFF2-40B4-BE49-F238E27FC236}">
              <a16:creationId xmlns:a16="http://schemas.microsoft.com/office/drawing/2014/main" id="{00000000-0008-0000-0000-000007000000}"/>
            </a:ext>
          </a:extLst>
        </xdr:cNvPr>
        <xdr:cNvSpPr txBox="1"/>
      </xdr:nvSpPr>
      <xdr:spPr>
        <a:xfrm>
          <a:off x="8267700" y="34053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1727" name="TextBox 1726">
          <a:extLst>
            <a:ext uri="{FF2B5EF4-FFF2-40B4-BE49-F238E27FC236}">
              <a16:creationId xmlns:a16="http://schemas.microsoft.com/office/drawing/2014/main" id="{00000000-0008-0000-0000-000007000000}"/>
            </a:ext>
          </a:extLst>
        </xdr:cNvPr>
        <xdr:cNvSpPr txBox="1"/>
      </xdr:nvSpPr>
      <xdr:spPr>
        <a:xfrm>
          <a:off x="8267700" y="34053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1728" name="TextBox 1727">
          <a:extLst>
            <a:ext uri="{FF2B5EF4-FFF2-40B4-BE49-F238E27FC236}">
              <a16:creationId xmlns:a16="http://schemas.microsoft.com/office/drawing/2014/main" id="{00000000-0008-0000-0000-000007000000}"/>
            </a:ext>
          </a:extLst>
        </xdr:cNvPr>
        <xdr:cNvSpPr txBox="1"/>
      </xdr:nvSpPr>
      <xdr:spPr>
        <a:xfrm>
          <a:off x="8267700" y="34053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1729" name="TextBox 1728">
          <a:extLst>
            <a:ext uri="{FF2B5EF4-FFF2-40B4-BE49-F238E27FC236}">
              <a16:creationId xmlns:a16="http://schemas.microsoft.com/office/drawing/2014/main" id="{00000000-0008-0000-0000-000007000000}"/>
            </a:ext>
          </a:extLst>
        </xdr:cNvPr>
        <xdr:cNvSpPr txBox="1"/>
      </xdr:nvSpPr>
      <xdr:spPr>
        <a:xfrm>
          <a:off x="8267700" y="34053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1730" name="TextBox 1729">
          <a:extLst>
            <a:ext uri="{FF2B5EF4-FFF2-40B4-BE49-F238E27FC236}">
              <a16:creationId xmlns:a16="http://schemas.microsoft.com/office/drawing/2014/main" id="{00000000-0008-0000-0000-000007000000}"/>
            </a:ext>
          </a:extLst>
        </xdr:cNvPr>
        <xdr:cNvSpPr txBox="1"/>
      </xdr:nvSpPr>
      <xdr:spPr>
        <a:xfrm>
          <a:off x="8267700" y="34053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1731" name="TextBox 1730">
          <a:extLst>
            <a:ext uri="{FF2B5EF4-FFF2-40B4-BE49-F238E27FC236}">
              <a16:creationId xmlns:a16="http://schemas.microsoft.com/office/drawing/2014/main" id="{00000000-0008-0000-0000-000007000000}"/>
            </a:ext>
          </a:extLst>
        </xdr:cNvPr>
        <xdr:cNvSpPr txBox="1"/>
      </xdr:nvSpPr>
      <xdr:spPr>
        <a:xfrm>
          <a:off x="8267700" y="34053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1732" name="TextBox 1731">
          <a:extLst>
            <a:ext uri="{FF2B5EF4-FFF2-40B4-BE49-F238E27FC236}">
              <a16:creationId xmlns:a16="http://schemas.microsoft.com/office/drawing/2014/main" id="{00000000-0008-0000-0000-000007000000}"/>
            </a:ext>
          </a:extLst>
        </xdr:cNvPr>
        <xdr:cNvSpPr txBox="1"/>
      </xdr:nvSpPr>
      <xdr:spPr>
        <a:xfrm>
          <a:off x="8267700" y="34053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1733" name="TextBox 1732">
          <a:extLst>
            <a:ext uri="{FF2B5EF4-FFF2-40B4-BE49-F238E27FC236}">
              <a16:creationId xmlns:a16="http://schemas.microsoft.com/office/drawing/2014/main" id="{00000000-0008-0000-0000-000007000000}"/>
            </a:ext>
          </a:extLst>
        </xdr:cNvPr>
        <xdr:cNvSpPr txBox="1"/>
      </xdr:nvSpPr>
      <xdr:spPr>
        <a:xfrm>
          <a:off x="12138660" y="34053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1734" name="TextBox 1733">
          <a:extLst>
            <a:ext uri="{FF2B5EF4-FFF2-40B4-BE49-F238E27FC236}">
              <a16:creationId xmlns:a16="http://schemas.microsoft.com/office/drawing/2014/main" id="{00000000-0008-0000-0000-000007000000}"/>
            </a:ext>
          </a:extLst>
        </xdr:cNvPr>
        <xdr:cNvSpPr txBox="1"/>
      </xdr:nvSpPr>
      <xdr:spPr>
        <a:xfrm>
          <a:off x="12138660" y="34053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1735" name="TextBox 1734">
          <a:extLst>
            <a:ext uri="{FF2B5EF4-FFF2-40B4-BE49-F238E27FC236}">
              <a16:creationId xmlns:a16="http://schemas.microsoft.com/office/drawing/2014/main" id="{00000000-0008-0000-0000-000007000000}"/>
            </a:ext>
          </a:extLst>
        </xdr:cNvPr>
        <xdr:cNvSpPr txBox="1"/>
      </xdr:nvSpPr>
      <xdr:spPr>
        <a:xfrm>
          <a:off x="12138660" y="34053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1736" name="TextBox 1735">
          <a:extLst>
            <a:ext uri="{FF2B5EF4-FFF2-40B4-BE49-F238E27FC236}">
              <a16:creationId xmlns:a16="http://schemas.microsoft.com/office/drawing/2014/main" id="{00000000-0008-0000-0000-000007000000}"/>
            </a:ext>
          </a:extLst>
        </xdr:cNvPr>
        <xdr:cNvSpPr txBox="1"/>
      </xdr:nvSpPr>
      <xdr:spPr>
        <a:xfrm>
          <a:off x="12138660" y="34053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1737" name="TextBox 1736">
          <a:extLst>
            <a:ext uri="{FF2B5EF4-FFF2-40B4-BE49-F238E27FC236}">
              <a16:creationId xmlns:a16="http://schemas.microsoft.com/office/drawing/2014/main" id="{00000000-0008-0000-0000-000007000000}"/>
            </a:ext>
          </a:extLst>
        </xdr:cNvPr>
        <xdr:cNvSpPr txBox="1"/>
      </xdr:nvSpPr>
      <xdr:spPr>
        <a:xfrm>
          <a:off x="12138660" y="34053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1738" name="TextBox 1737">
          <a:extLst>
            <a:ext uri="{FF2B5EF4-FFF2-40B4-BE49-F238E27FC236}">
              <a16:creationId xmlns:a16="http://schemas.microsoft.com/office/drawing/2014/main" id="{00000000-0008-0000-0000-000007000000}"/>
            </a:ext>
          </a:extLst>
        </xdr:cNvPr>
        <xdr:cNvSpPr txBox="1"/>
      </xdr:nvSpPr>
      <xdr:spPr>
        <a:xfrm>
          <a:off x="12138660" y="34053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1739" name="TextBox 1738">
          <a:extLst>
            <a:ext uri="{FF2B5EF4-FFF2-40B4-BE49-F238E27FC236}">
              <a16:creationId xmlns:a16="http://schemas.microsoft.com/office/drawing/2014/main" id="{00000000-0008-0000-0000-000007000000}"/>
            </a:ext>
          </a:extLst>
        </xdr:cNvPr>
        <xdr:cNvSpPr txBox="1"/>
      </xdr:nvSpPr>
      <xdr:spPr>
        <a:xfrm>
          <a:off x="12138660" y="34053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1740" name="TextBox 1739">
          <a:extLst>
            <a:ext uri="{FF2B5EF4-FFF2-40B4-BE49-F238E27FC236}">
              <a16:creationId xmlns:a16="http://schemas.microsoft.com/office/drawing/2014/main" id="{00000000-0008-0000-0000-000007000000}"/>
            </a:ext>
          </a:extLst>
        </xdr:cNvPr>
        <xdr:cNvSpPr txBox="1"/>
      </xdr:nvSpPr>
      <xdr:spPr>
        <a:xfrm>
          <a:off x="12138660" y="34053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1741" name="TextBox 1740">
          <a:extLst>
            <a:ext uri="{FF2B5EF4-FFF2-40B4-BE49-F238E27FC236}">
              <a16:creationId xmlns:a16="http://schemas.microsoft.com/office/drawing/2014/main" id="{00000000-0008-0000-0000-000007000000}"/>
            </a:ext>
          </a:extLst>
        </xdr:cNvPr>
        <xdr:cNvSpPr txBox="1"/>
      </xdr:nvSpPr>
      <xdr:spPr>
        <a:xfrm>
          <a:off x="8267700" y="3425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1742" name="TextBox 1741">
          <a:extLst>
            <a:ext uri="{FF2B5EF4-FFF2-40B4-BE49-F238E27FC236}">
              <a16:creationId xmlns:a16="http://schemas.microsoft.com/office/drawing/2014/main" id="{00000000-0008-0000-0000-000007000000}"/>
            </a:ext>
          </a:extLst>
        </xdr:cNvPr>
        <xdr:cNvSpPr txBox="1"/>
      </xdr:nvSpPr>
      <xdr:spPr>
        <a:xfrm>
          <a:off x="8267700" y="3425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1743" name="TextBox 1742">
          <a:extLst>
            <a:ext uri="{FF2B5EF4-FFF2-40B4-BE49-F238E27FC236}">
              <a16:creationId xmlns:a16="http://schemas.microsoft.com/office/drawing/2014/main" id="{00000000-0008-0000-0000-000007000000}"/>
            </a:ext>
          </a:extLst>
        </xdr:cNvPr>
        <xdr:cNvSpPr txBox="1"/>
      </xdr:nvSpPr>
      <xdr:spPr>
        <a:xfrm>
          <a:off x="8267700" y="3425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1744" name="TextBox 1743">
          <a:extLst>
            <a:ext uri="{FF2B5EF4-FFF2-40B4-BE49-F238E27FC236}">
              <a16:creationId xmlns:a16="http://schemas.microsoft.com/office/drawing/2014/main" id="{00000000-0008-0000-0000-000007000000}"/>
            </a:ext>
          </a:extLst>
        </xdr:cNvPr>
        <xdr:cNvSpPr txBox="1"/>
      </xdr:nvSpPr>
      <xdr:spPr>
        <a:xfrm>
          <a:off x="8267700" y="3425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1745" name="TextBox 1744">
          <a:extLst>
            <a:ext uri="{FF2B5EF4-FFF2-40B4-BE49-F238E27FC236}">
              <a16:creationId xmlns:a16="http://schemas.microsoft.com/office/drawing/2014/main" id="{00000000-0008-0000-0000-000007000000}"/>
            </a:ext>
          </a:extLst>
        </xdr:cNvPr>
        <xdr:cNvSpPr txBox="1"/>
      </xdr:nvSpPr>
      <xdr:spPr>
        <a:xfrm>
          <a:off x="8267700" y="3425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1746" name="TextBox 1745">
          <a:extLst>
            <a:ext uri="{FF2B5EF4-FFF2-40B4-BE49-F238E27FC236}">
              <a16:creationId xmlns:a16="http://schemas.microsoft.com/office/drawing/2014/main" id="{00000000-0008-0000-0000-000007000000}"/>
            </a:ext>
          </a:extLst>
        </xdr:cNvPr>
        <xdr:cNvSpPr txBox="1"/>
      </xdr:nvSpPr>
      <xdr:spPr>
        <a:xfrm>
          <a:off x="8267700" y="3425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1747" name="TextBox 1746">
          <a:extLst>
            <a:ext uri="{FF2B5EF4-FFF2-40B4-BE49-F238E27FC236}">
              <a16:creationId xmlns:a16="http://schemas.microsoft.com/office/drawing/2014/main" id="{00000000-0008-0000-0000-000007000000}"/>
            </a:ext>
          </a:extLst>
        </xdr:cNvPr>
        <xdr:cNvSpPr txBox="1"/>
      </xdr:nvSpPr>
      <xdr:spPr>
        <a:xfrm>
          <a:off x="8267700" y="3425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1748" name="TextBox 1747">
          <a:extLst>
            <a:ext uri="{FF2B5EF4-FFF2-40B4-BE49-F238E27FC236}">
              <a16:creationId xmlns:a16="http://schemas.microsoft.com/office/drawing/2014/main" id="{00000000-0008-0000-0000-000007000000}"/>
            </a:ext>
          </a:extLst>
        </xdr:cNvPr>
        <xdr:cNvSpPr txBox="1"/>
      </xdr:nvSpPr>
      <xdr:spPr>
        <a:xfrm>
          <a:off x="8267700" y="3425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1749" name="TextBox 1748">
          <a:extLst>
            <a:ext uri="{FF2B5EF4-FFF2-40B4-BE49-F238E27FC236}">
              <a16:creationId xmlns:a16="http://schemas.microsoft.com/office/drawing/2014/main" id="{00000000-0008-0000-0000-000007000000}"/>
            </a:ext>
          </a:extLst>
        </xdr:cNvPr>
        <xdr:cNvSpPr txBox="1"/>
      </xdr:nvSpPr>
      <xdr:spPr>
        <a:xfrm>
          <a:off x="8267700" y="3425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1750" name="TextBox 1749">
          <a:extLst>
            <a:ext uri="{FF2B5EF4-FFF2-40B4-BE49-F238E27FC236}">
              <a16:creationId xmlns:a16="http://schemas.microsoft.com/office/drawing/2014/main" id="{00000000-0008-0000-0000-000007000000}"/>
            </a:ext>
          </a:extLst>
        </xdr:cNvPr>
        <xdr:cNvSpPr txBox="1"/>
      </xdr:nvSpPr>
      <xdr:spPr>
        <a:xfrm>
          <a:off x="8267700" y="3425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1751" name="TextBox 1750">
          <a:extLst>
            <a:ext uri="{FF2B5EF4-FFF2-40B4-BE49-F238E27FC236}">
              <a16:creationId xmlns:a16="http://schemas.microsoft.com/office/drawing/2014/main" id="{00000000-0008-0000-0000-000007000000}"/>
            </a:ext>
          </a:extLst>
        </xdr:cNvPr>
        <xdr:cNvSpPr txBox="1"/>
      </xdr:nvSpPr>
      <xdr:spPr>
        <a:xfrm>
          <a:off x="8267700" y="3425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1752" name="TextBox 1751">
          <a:extLst>
            <a:ext uri="{FF2B5EF4-FFF2-40B4-BE49-F238E27FC236}">
              <a16:creationId xmlns:a16="http://schemas.microsoft.com/office/drawing/2014/main" id="{00000000-0008-0000-0000-000007000000}"/>
            </a:ext>
          </a:extLst>
        </xdr:cNvPr>
        <xdr:cNvSpPr txBox="1"/>
      </xdr:nvSpPr>
      <xdr:spPr>
        <a:xfrm>
          <a:off x="8267700" y="3425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1753" name="TextBox 1752">
          <a:extLst>
            <a:ext uri="{FF2B5EF4-FFF2-40B4-BE49-F238E27FC236}">
              <a16:creationId xmlns:a16="http://schemas.microsoft.com/office/drawing/2014/main" id="{00000000-0008-0000-0000-000007000000}"/>
            </a:ext>
          </a:extLst>
        </xdr:cNvPr>
        <xdr:cNvSpPr txBox="1"/>
      </xdr:nvSpPr>
      <xdr:spPr>
        <a:xfrm>
          <a:off x="8267700" y="3425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1754" name="TextBox 1753">
          <a:extLst>
            <a:ext uri="{FF2B5EF4-FFF2-40B4-BE49-F238E27FC236}">
              <a16:creationId xmlns:a16="http://schemas.microsoft.com/office/drawing/2014/main" id="{00000000-0008-0000-0000-000007000000}"/>
            </a:ext>
          </a:extLst>
        </xdr:cNvPr>
        <xdr:cNvSpPr txBox="1"/>
      </xdr:nvSpPr>
      <xdr:spPr>
        <a:xfrm>
          <a:off x="8267700" y="3425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1755" name="TextBox 1754">
          <a:extLst>
            <a:ext uri="{FF2B5EF4-FFF2-40B4-BE49-F238E27FC236}">
              <a16:creationId xmlns:a16="http://schemas.microsoft.com/office/drawing/2014/main" id="{00000000-0008-0000-0000-000007000000}"/>
            </a:ext>
          </a:extLst>
        </xdr:cNvPr>
        <xdr:cNvSpPr txBox="1"/>
      </xdr:nvSpPr>
      <xdr:spPr>
        <a:xfrm>
          <a:off x="8267700" y="3425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1756" name="TextBox 1755">
          <a:extLst>
            <a:ext uri="{FF2B5EF4-FFF2-40B4-BE49-F238E27FC236}">
              <a16:creationId xmlns:a16="http://schemas.microsoft.com/office/drawing/2014/main" id="{00000000-0008-0000-0000-000007000000}"/>
            </a:ext>
          </a:extLst>
        </xdr:cNvPr>
        <xdr:cNvSpPr txBox="1"/>
      </xdr:nvSpPr>
      <xdr:spPr>
        <a:xfrm>
          <a:off x="8267700" y="3425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1757" name="TextBox 1756">
          <a:extLst>
            <a:ext uri="{FF2B5EF4-FFF2-40B4-BE49-F238E27FC236}">
              <a16:creationId xmlns:a16="http://schemas.microsoft.com/office/drawing/2014/main" id="{00000000-0008-0000-0000-000007000000}"/>
            </a:ext>
          </a:extLst>
        </xdr:cNvPr>
        <xdr:cNvSpPr txBox="1"/>
      </xdr:nvSpPr>
      <xdr:spPr>
        <a:xfrm>
          <a:off x="8267700" y="3425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1758" name="TextBox 1757">
          <a:extLst>
            <a:ext uri="{FF2B5EF4-FFF2-40B4-BE49-F238E27FC236}">
              <a16:creationId xmlns:a16="http://schemas.microsoft.com/office/drawing/2014/main" id="{00000000-0008-0000-0000-000007000000}"/>
            </a:ext>
          </a:extLst>
        </xdr:cNvPr>
        <xdr:cNvSpPr txBox="1"/>
      </xdr:nvSpPr>
      <xdr:spPr>
        <a:xfrm>
          <a:off x="8267700" y="3425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1759" name="TextBox 1758">
          <a:extLst>
            <a:ext uri="{FF2B5EF4-FFF2-40B4-BE49-F238E27FC236}">
              <a16:creationId xmlns:a16="http://schemas.microsoft.com/office/drawing/2014/main" id="{00000000-0008-0000-0000-000007000000}"/>
            </a:ext>
          </a:extLst>
        </xdr:cNvPr>
        <xdr:cNvSpPr txBox="1"/>
      </xdr:nvSpPr>
      <xdr:spPr>
        <a:xfrm>
          <a:off x="8267700" y="3425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1760" name="TextBox 1759">
          <a:extLst>
            <a:ext uri="{FF2B5EF4-FFF2-40B4-BE49-F238E27FC236}">
              <a16:creationId xmlns:a16="http://schemas.microsoft.com/office/drawing/2014/main" id="{00000000-0008-0000-0000-000007000000}"/>
            </a:ext>
          </a:extLst>
        </xdr:cNvPr>
        <xdr:cNvSpPr txBox="1"/>
      </xdr:nvSpPr>
      <xdr:spPr>
        <a:xfrm>
          <a:off x="8267700" y="3425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1761" name="TextBox 1760">
          <a:extLst>
            <a:ext uri="{FF2B5EF4-FFF2-40B4-BE49-F238E27FC236}">
              <a16:creationId xmlns:a16="http://schemas.microsoft.com/office/drawing/2014/main" id="{00000000-0008-0000-0000-000007000000}"/>
            </a:ext>
          </a:extLst>
        </xdr:cNvPr>
        <xdr:cNvSpPr txBox="1"/>
      </xdr:nvSpPr>
      <xdr:spPr>
        <a:xfrm>
          <a:off x="8267700" y="3425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1762" name="TextBox 1761">
          <a:extLst>
            <a:ext uri="{FF2B5EF4-FFF2-40B4-BE49-F238E27FC236}">
              <a16:creationId xmlns:a16="http://schemas.microsoft.com/office/drawing/2014/main" id="{00000000-0008-0000-0000-000007000000}"/>
            </a:ext>
          </a:extLst>
        </xdr:cNvPr>
        <xdr:cNvSpPr txBox="1"/>
      </xdr:nvSpPr>
      <xdr:spPr>
        <a:xfrm>
          <a:off x="8267700" y="3425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1763" name="TextBox 1762">
          <a:extLst>
            <a:ext uri="{FF2B5EF4-FFF2-40B4-BE49-F238E27FC236}">
              <a16:creationId xmlns:a16="http://schemas.microsoft.com/office/drawing/2014/main" id="{00000000-0008-0000-0000-000007000000}"/>
            </a:ext>
          </a:extLst>
        </xdr:cNvPr>
        <xdr:cNvSpPr txBox="1"/>
      </xdr:nvSpPr>
      <xdr:spPr>
        <a:xfrm>
          <a:off x="8267700" y="3425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1764" name="TextBox 1763">
          <a:extLst>
            <a:ext uri="{FF2B5EF4-FFF2-40B4-BE49-F238E27FC236}">
              <a16:creationId xmlns:a16="http://schemas.microsoft.com/office/drawing/2014/main" id="{00000000-0008-0000-0000-000007000000}"/>
            </a:ext>
          </a:extLst>
        </xdr:cNvPr>
        <xdr:cNvSpPr txBox="1"/>
      </xdr:nvSpPr>
      <xdr:spPr>
        <a:xfrm>
          <a:off x="8267700" y="3425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1765" name="TextBox 1764">
          <a:extLst>
            <a:ext uri="{FF2B5EF4-FFF2-40B4-BE49-F238E27FC236}">
              <a16:creationId xmlns:a16="http://schemas.microsoft.com/office/drawing/2014/main" id="{00000000-0008-0000-0000-000007000000}"/>
            </a:ext>
          </a:extLst>
        </xdr:cNvPr>
        <xdr:cNvSpPr txBox="1"/>
      </xdr:nvSpPr>
      <xdr:spPr>
        <a:xfrm>
          <a:off x="8267700" y="3425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1766" name="TextBox 1765">
          <a:extLst>
            <a:ext uri="{FF2B5EF4-FFF2-40B4-BE49-F238E27FC236}">
              <a16:creationId xmlns:a16="http://schemas.microsoft.com/office/drawing/2014/main" id="{00000000-0008-0000-0000-000007000000}"/>
            </a:ext>
          </a:extLst>
        </xdr:cNvPr>
        <xdr:cNvSpPr txBox="1"/>
      </xdr:nvSpPr>
      <xdr:spPr>
        <a:xfrm>
          <a:off x="8267700" y="3425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1767" name="TextBox 1766">
          <a:extLst>
            <a:ext uri="{FF2B5EF4-FFF2-40B4-BE49-F238E27FC236}">
              <a16:creationId xmlns:a16="http://schemas.microsoft.com/office/drawing/2014/main" id="{00000000-0008-0000-0000-000007000000}"/>
            </a:ext>
          </a:extLst>
        </xdr:cNvPr>
        <xdr:cNvSpPr txBox="1"/>
      </xdr:nvSpPr>
      <xdr:spPr>
        <a:xfrm>
          <a:off x="8267700" y="3425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1768" name="TextBox 1767">
          <a:extLst>
            <a:ext uri="{FF2B5EF4-FFF2-40B4-BE49-F238E27FC236}">
              <a16:creationId xmlns:a16="http://schemas.microsoft.com/office/drawing/2014/main" id="{00000000-0008-0000-0000-000007000000}"/>
            </a:ext>
          </a:extLst>
        </xdr:cNvPr>
        <xdr:cNvSpPr txBox="1"/>
      </xdr:nvSpPr>
      <xdr:spPr>
        <a:xfrm>
          <a:off x="8267700" y="3425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1769" name="TextBox 1768">
          <a:extLst>
            <a:ext uri="{FF2B5EF4-FFF2-40B4-BE49-F238E27FC236}">
              <a16:creationId xmlns:a16="http://schemas.microsoft.com/office/drawing/2014/main" id="{00000000-0008-0000-0000-000007000000}"/>
            </a:ext>
          </a:extLst>
        </xdr:cNvPr>
        <xdr:cNvSpPr txBox="1"/>
      </xdr:nvSpPr>
      <xdr:spPr>
        <a:xfrm>
          <a:off x="8267700" y="3425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1770" name="TextBox 1769">
          <a:extLst>
            <a:ext uri="{FF2B5EF4-FFF2-40B4-BE49-F238E27FC236}">
              <a16:creationId xmlns:a16="http://schemas.microsoft.com/office/drawing/2014/main" id="{00000000-0008-0000-0000-000007000000}"/>
            </a:ext>
          </a:extLst>
        </xdr:cNvPr>
        <xdr:cNvSpPr txBox="1"/>
      </xdr:nvSpPr>
      <xdr:spPr>
        <a:xfrm>
          <a:off x="8267700" y="3425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1771" name="TextBox 1770">
          <a:extLst>
            <a:ext uri="{FF2B5EF4-FFF2-40B4-BE49-F238E27FC236}">
              <a16:creationId xmlns:a16="http://schemas.microsoft.com/office/drawing/2014/main" id="{00000000-0008-0000-0000-000007000000}"/>
            </a:ext>
          </a:extLst>
        </xdr:cNvPr>
        <xdr:cNvSpPr txBox="1"/>
      </xdr:nvSpPr>
      <xdr:spPr>
        <a:xfrm>
          <a:off x="8267700" y="3425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1772" name="TextBox 1771">
          <a:extLst>
            <a:ext uri="{FF2B5EF4-FFF2-40B4-BE49-F238E27FC236}">
              <a16:creationId xmlns:a16="http://schemas.microsoft.com/office/drawing/2014/main" id="{00000000-0008-0000-0000-000007000000}"/>
            </a:ext>
          </a:extLst>
        </xdr:cNvPr>
        <xdr:cNvSpPr txBox="1"/>
      </xdr:nvSpPr>
      <xdr:spPr>
        <a:xfrm>
          <a:off x="8267700" y="3425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1773" name="TextBox 1772">
          <a:extLst>
            <a:ext uri="{FF2B5EF4-FFF2-40B4-BE49-F238E27FC236}">
              <a16:creationId xmlns:a16="http://schemas.microsoft.com/office/drawing/2014/main" id="{00000000-0008-0000-0000-000007000000}"/>
            </a:ext>
          </a:extLst>
        </xdr:cNvPr>
        <xdr:cNvSpPr txBox="1"/>
      </xdr:nvSpPr>
      <xdr:spPr>
        <a:xfrm>
          <a:off x="8267700" y="3425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1774" name="TextBox 1773">
          <a:extLst>
            <a:ext uri="{FF2B5EF4-FFF2-40B4-BE49-F238E27FC236}">
              <a16:creationId xmlns:a16="http://schemas.microsoft.com/office/drawing/2014/main" id="{00000000-0008-0000-0000-000007000000}"/>
            </a:ext>
          </a:extLst>
        </xdr:cNvPr>
        <xdr:cNvSpPr txBox="1"/>
      </xdr:nvSpPr>
      <xdr:spPr>
        <a:xfrm>
          <a:off x="8267700" y="3425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1775" name="TextBox 1774">
          <a:extLst>
            <a:ext uri="{FF2B5EF4-FFF2-40B4-BE49-F238E27FC236}">
              <a16:creationId xmlns:a16="http://schemas.microsoft.com/office/drawing/2014/main" id="{00000000-0008-0000-0000-000007000000}"/>
            </a:ext>
          </a:extLst>
        </xdr:cNvPr>
        <xdr:cNvSpPr txBox="1"/>
      </xdr:nvSpPr>
      <xdr:spPr>
        <a:xfrm>
          <a:off x="8267700" y="3425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1776" name="TextBox 1775">
          <a:extLst>
            <a:ext uri="{FF2B5EF4-FFF2-40B4-BE49-F238E27FC236}">
              <a16:creationId xmlns:a16="http://schemas.microsoft.com/office/drawing/2014/main" id="{00000000-0008-0000-0000-000007000000}"/>
            </a:ext>
          </a:extLst>
        </xdr:cNvPr>
        <xdr:cNvSpPr txBox="1"/>
      </xdr:nvSpPr>
      <xdr:spPr>
        <a:xfrm>
          <a:off x="8267700" y="3425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1777" name="TextBox 1776">
          <a:extLst>
            <a:ext uri="{FF2B5EF4-FFF2-40B4-BE49-F238E27FC236}">
              <a16:creationId xmlns:a16="http://schemas.microsoft.com/office/drawing/2014/main" id="{00000000-0008-0000-0000-000007000000}"/>
            </a:ext>
          </a:extLst>
        </xdr:cNvPr>
        <xdr:cNvSpPr txBox="1"/>
      </xdr:nvSpPr>
      <xdr:spPr>
        <a:xfrm>
          <a:off x="8267700" y="3425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1778" name="TextBox 1777">
          <a:extLst>
            <a:ext uri="{FF2B5EF4-FFF2-40B4-BE49-F238E27FC236}">
              <a16:creationId xmlns:a16="http://schemas.microsoft.com/office/drawing/2014/main" id="{00000000-0008-0000-0000-000007000000}"/>
            </a:ext>
          </a:extLst>
        </xdr:cNvPr>
        <xdr:cNvSpPr txBox="1"/>
      </xdr:nvSpPr>
      <xdr:spPr>
        <a:xfrm>
          <a:off x="8267700" y="3425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1779" name="TextBox 1778">
          <a:extLst>
            <a:ext uri="{FF2B5EF4-FFF2-40B4-BE49-F238E27FC236}">
              <a16:creationId xmlns:a16="http://schemas.microsoft.com/office/drawing/2014/main" id="{00000000-0008-0000-0000-000007000000}"/>
            </a:ext>
          </a:extLst>
        </xdr:cNvPr>
        <xdr:cNvSpPr txBox="1"/>
      </xdr:nvSpPr>
      <xdr:spPr>
        <a:xfrm>
          <a:off x="8267700" y="3425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1780" name="TextBox 1779">
          <a:extLst>
            <a:ext uri="{FF2B5EF4-FFF2-40B4-BE49-F238E27FC236}">
              <a16:creationId xmlns:a16="http://schemas.microsoft.com/office/drawing/2014/main" id="{00000000-0008-0000-0000-000007000000}"/>
            </a:ext>
          </a:extLst>
        </xdr:cNvPr>
        <xdr:cNvSpPr txBox="1"/>
      </xdr:nvSpPr>
      <xdr:spPr>
        <a:xfrm>
          <a:off x="8267700" y="3425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1781" name="TextBox 1780">
          <a:extLst>
            <a:ext uri="{FF2B5EF4-FFF2-40B4-BE49-F238E27FC236}">
              <a16:creationId xmlns:a16="http://schemas.microsoft.com/office/drawing/2014/main" id="{00000000-0008-0000-0000-000007000000}"/>
            </a:ext>
          </a:extLst>
        </xdr:cNvPr>
        <xdr:cNvSpPr txBox="1"/>
      </xdr:nvSpPr>
      <xdr:spPr>
        <a:xfrm>
          <a:off x="8267700" y="3425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1782" name="TextBox 1781">
          <a:extLst>
            <a:ext uri="{FF2B5EF4-FFF2-40B4-BE49-F238E27FC236}">
              <a16:creationId xmlns:a16="http://schemas.microsoft.com/office/drawing/2014/main" id="{00000000-0008-0000-0000-000007000000}"/>
            </a:ext>
          </a:extLst>
        </xdr:cNvPr>
        <xdr:cNvSpPr txBox="1"/>
      </xdr:nvSpPr>
      <xdr:spPr>
        <a:xfrm>
          <a:off x="8267700" y="3425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1783" name="TextBox 1782">
          <a:extLst>
            <a:ext uri="{FF2B5EF4-FFF2-40B4-BE49-F238E27FC236}">
              <a16:creationId xmlns:a16="http://schemas.microsoft.com/office/drawing/2014/main" id="{00000000-0008-0000-0000-000007000000}"/>
            </a:ext>
          </a:extLst>
        </xdr:cNvPr>
        <xdr:cNvSpPr txBox="1"/>
      </xdr:nvSpPr>
      <xdr:spPr>
        <a:xfrm>
          <a:off x="8267700" y="3425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1784" name="TextBox 1783">
          <a:extLst>
            <a:ext uri="{FF2B5EF4-FFF2-40B4-BE49-F238E27FC236}">
              <a16:creationId xmlns:a16="http://schemas.microsoft.com/office/drawing/2014/main" id="{00000000-0008-0000-0000-000007000000}"/>
            </a:ext>
          </a:extLst>
        </xdr:cNvPr>
        <xdr:cNvSpPr txBox="1"/>
      </xdr:nvSpPr>
      <xdr:spPr>
        <a:xfrm>
          <a:off x="8267700" y="3425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1785" name="TextBox 1784">
          <a:extLst>
            <a:ext uri="{FF2B5EF4-FFF2-40B4-BE49-F238E27FC236}">
              <a16:creationId xmlns:a16="http://schemas.microsoft.com/office/drawing/2014/main" id="{00000000-0008-0000-0000-000007000000}"/>
            </a:ext>
          </a:extLst>
        </xdr:cNvPr>
        <xdr:cNvSpPr txBox="1"/>
      </xdr:nvSpPr>
      <xdr:spPr>
        <a:xfrm>
          <a:off x="8267700" y="3425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1786" name="TextBox 1785">
          <a:extLst>
            <a:ext uri="{FF2B5EF4-FFF2-40B4-BE49-F238E27FC236}">
              <a16:creationId xmlns:a16="http://schemas.microsoft.com/office/drawing/2014/main" id="{00000000-0008-0000-0000-000007000000}"/>
            </a:ext>
          </a:extLst>
        </xdr:cNvPr>
        <xdr:cNvSpPr txBox="1"/>
      </xdr:nvSpPr>
      <xdr:spPr>
        <a:xfrm>
          <a:off x="8267700" y="3425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1787" name="TextBox 1786">
          <a:extLst>
            <a:ext uri="{FF2B5EF4-FFF2-40B4-BE49-F238E27FC236}">
              <a16:creationId xmlns:a16="http://schemas.microsoft.com/office/drawing/2014/main" id="{00000000-0008-0000-0000-000007000000}"/>
            </a:ext>
          </a:extLst>
        </xdr:cNvPr>
        <xdr:cNvSpPr txBox="1"/>
      </xdr:nvSpPr>
      <xdr:spPr>
        <a:xfrm>
          <a:off x="8267700" y="3425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1788" name="TextBox 1787">
          <a:extLst>
            <a:ext uri="{FF2B5EF4-FFF2-40B4-BE49-F238E27FC236}">
              <a16:creationId xmlns:a16="http://schemas.microsoft.com/office/drawing/2014/main" id="{00000000-0008-0000-0000-000007000000}"/>
            </a:ext>
          </a:extLst>
        </xdr:cNvPr>
        <xdr:cNvSpPr txBox="1"/>
      </xdr:nvSpPr>
      <xdr:spPr>
        <a:xfrm>
          <a:off x="8267700" y="3425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1789" name="TextBox 1788">
          <a:extLst>
            <a:ext uri="{FF2B5EF4-FFF2-40B4-BE49-F238E27FC236}">
              <a16:creationId xmlns:a16="http://schemas.microsoft.com/office/drawing/2014/main" id="{00000000-0008-0000-0000-000007000000}"/>
            </a:ext>
          </a:extLst>
        </xdr:cNvPr>
        <xdr:cNvSpPr txBox="1"/>
      </xdr:nvSpPr>
      <xdr:spPr>
        <a:xfrm>
          <a:off x="12138660" y="3425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1790" name="TextBox 1789">
          <a:extLst>
            <a:ext uri="{FF2B5EF4-FFF2-40B4-BE49-F238E27FC236}">
              <a16:creationId xmlns:a16="http://schemas.microsoft.com/office/drawing/2014/main" id="{00000000-0008-0000-0000-000007000000}"/>
            </a:ext>
          </a:extLst>
        </xdr:cNvPr>
        <xdr:cNvSpPr txBox="1"/>
      </xdr:nvSpPr>
      <xdr:spPr>
        <a:xfrm>
          <a:off x="12138660" y="3425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1791" name="TextBox 1790">
          <a:extLst>
            <a:ext uri="{FF2B5EF4-FFF2-40B4-BE49-F238E27FC236}">
              <a16:creationId xmlns:a16="http://schemas.microsoft.com/office/drawing/2014/main" id="{00000000-0008-0000-0000-000007000000}"/>
            </a:ext>
          </a:extLst>
        </xdr:cNvPr>
        <xdr:cNvSpPr txBox="1"/>
      </xdr:nvSpPr>
      <xdr:spPr>
        <a:xfrm>
          <a:off x="12138660" y="3425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1792" name="TextBox 1791">
          <a:extLst>
            <a:ext uri="{FF2B5EF4-FFF2-40B4-BE49-F238E27FC236}">
              <a16:creationId xmlns:a16="http://schemas.microsoft.com/office/drawing/2014/main" id="{00000000-0008-0000-0000-000007000000}"/>
            </a:ext>
          </a:extLst>
        </xdr:cNvPr>
        <xdr:cNvSpPr txBox="1"/>
      </xdr:nvSpPr>
      <xdr:spPr>
        <a:xfrm>
          <a:off x="12138660" y="3425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1793" name="TextBox 1792">
          <a:extLst>
            <a:ext uri="{FF2B5EF4-FFF2-40B4-BE49-F238E27FC236}">
              <a16:creationId xmlns:a16="http://schemas.microsoft.com/office/drawing/2014/main" id="{00000000-0008-0000-0000-000007000000}"/>
            </a:ext>
          </a:extLst>
        </xdr:cNvPr>
        <xdr:cNvSpPr txBox="1"/>
      </xdr:nvSpPr>
      <xdr:spPr>
        <a:xfrm>
          <a:off x="12138660" y="3425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1794" name="TextBox 1793">
          <a:extLst>
            <a:ext uri="{FF2B5EF4-FFF2-40B4-BE49-F238E27FC236}">
              <a16:creationId xmlns:a16="http://schemas.microsoft.com/office/drawing/2014/main" id="{00000000-0008-0000-0000-000007000000}"/>
            </a:ext>
          </a:extLst>
        </xdr:cNvPr>
        <xdr:cNvSpPr txBox="1"/>
      </xdr:nvSpPr>
      <xdr:spPr>
        <a:xfrm>
          <a:off x="12138660" y="3425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1795" name="TextBox 1794">
          <a:extLst>
            <a:ext uri="{FF2B5EF4-FFF2-40B4-BE49-F238E27FC236}">
              <a16:creationId xmlns:a16="http://schemas.microsoft.com/office/drawing/2014/main" id="{00000000-0008-0000-0000-000007000000}"/>
            </a:ext>
          </a:extLst>
        </xdr:cNvPr>
        <xdr:cNvSpPr txBox="1"/>
      </xdr:nvSpPr>
      <xdr:spPr>
        <a:xfrm>
          <a:off x="12138660" y="3425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1796" name="TextBox 1795">
          <a:extLst>
            <a:ext uri="{FF2B5EF4-FFF2-40B4-BE49-F238E27FC236}">
              <a16:creationId xmlns:a16="http://schemas.microsoft.com/office/drawing/2014/main" id="{00000000-0008-0000-0000-000007000000}"/>
            </a:ext>
          </a:extLst>
        </xdr:cNvPr>
        <xdr:cNvSpPr txBox="1"/>
      </xdr:nvSpPr>
      <xdr:spPr>
        <a:xfrm>
          <a:off x="12138660" y="3425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1797" name="TextBox 1796">
          <a:extLst>
            <a:ext uri="{FF2B5EF4-FFF2-40B4-BE49-F238E27FC236}">
              <a16:creationId xmlns:a16="http://schemas.microsoft.com/office/drawing/2014/main" id="{00000000-0008-0000-0000-000007000000}"/>
            </a:ext>
          </a:extLst>
        </xdr:cNvPr>
        <xdr:cNvSpPr txBox="1"/>
      </xdr:nvSpPr>
      <xdr:spPr>
        <a:xfrm>
          <a:off x="8267700" y="3445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1798" name="TextBox 1797">
          <a:extLst>
            <a:ext uri="{FF2B5EF4-FFF2-40B4-BE49-F238E27FC236}">
              <a16:creationId xmlns:a16="http://schemas.microsoft.com/office/drawing/2014/main" id="{00000000-0008-0000-0000-000007000000}"/>
            </a:ext>
          </a:extLst>
        </xdr:cNvPr>
        <xdr:cNvSpPr txBox="1"/>
      </xdr:nvSpPr>
      <xdr:spPr>
        <a:xfrm>
          <a:off x="8267700" y="3445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1799" name="TextBox 1798">
          <a:extLst>
            <a:ext uri="{FF2B5EF4-FFF2-40B4-BE49-F238E27FC236}">
              <a16:creationId xmlns:a16="http://schemas.microsoft.com/office/drawing/2014/main" id="{00000000-0008-0000-0000-000007000000}"/>
            </a:ext>
          </a:extLst>
        </xdr:cNvPr>
        <xdr:cNvSpPr txBox="1"/>
      </xdr:nvSpPr>
      <xdr:spPr>
        <a:xfrm>
          <a:off x="8267700" y="3445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1800" name="TextBox 1799">
          <a:extLst>
            <a:ext uri="{FF2B5EF4-FFF2-40B4-BE49-F238E27FC236}">
              <a16:creationId xmlns:a16="http://schemas.microsoft.com/office/drawing/2014/main" id="{00000000-0008-0000-0000-000007000000}"/>
            </a:ext>
          </a:extLst>
        </xdr:cNvPr>
        <xdr:cNvSpPr txBox="1"/>
      </xdr:nvSpPr>
      <xdr:spPr>
        <a:xfrm>
          <a:off x="8267700" y="3445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1801" name="TextBox 1800">
          <a:extLst>
            <a:ext uri="{FF2B5EF4-FFF2-40B4-BE49-F238E27FC236}">
              <a16:creationId xmlns:a16="http://schemas.microsoft.com/office/drawing/2014/main" id="{00000000-0008-0000-0000-000007000000}"/>
            </a:ext>
          </a:extLst>
        </xdr:cNvPr>
        <xdr:cNvSpPr txBox="1"/>
      </xdr:nvSpPr>
      <xdr:spPr>
        <a:xfrm>
          <a:off x="8267700" y="3445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1802" name="TextBox 1801">
          <a:extLst>
            <a:ext uri="{FF2B5EF4-FFF2-40B4-BE49-F238E27FC236}">
              <a16:creationId xmlns:a16="http://schemas.microsoft.com/office/drawing/2014/main" id="{00000000-0008-0000-0000-000007000000}"/>
            </a:ext>
          </a:extLst>
        </xdr:cNvPr>
        <xdr:cNvSpPr txBox="1"/>
      </xdr:nvSpPr>
      <xdr:spPr>
        <a:xfrm>
          <a:off x="8267700" y="3445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1803" name="TextBox 1802">
          <a:extLst>
            <a:ext uri="{FF2B5EF4-FFF2-40B4-BE49-F238E27FC236}">
              <a16:creationId xmlns:a16="http://schemas.microsoft.com/office/drawing/2014/main" id="{00000000-0008-0000-0000-000007000000}"/>
            </a:ext>
          </a:extLst>
        </xdr:cNvPr>
        <xdr:cNvSpPr txBox="1"/>
      </xdr:nvSpPr>
      <xdr:spPr>
        <a:xfrm>
          <a:off x="8267700" y="3445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1804" name="TextBox 1803">
          <a:extLst>
            <a:ext uri="{FF2B5EF4-FFF2-40B4-BE49-F238E27FC236}">
              <a16:creationId xmlns:a16="http://schemas.microsoft.com/office/drawing/2014/main" id="{00000000-0008-0000-0000-000007000000}"/>
            </a:ext>
          </a:extLst>
        </xdr:cNvPr>
        <xdr:cNvSpPr txBox="1"/>
      </xdr:nvSpPr>
      <xdr:spPr>
        <a:xfrm>
          <a:off x="8267700" y="3445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1805" name="TextBox 1804">
          <a:extLst>
            <a:ext uri="{FF2B5EF4-FFF2-40B4-BE49-F238E27FC236}">
              <a16:creationId xmlns:a16="http://schemas.microsoft.com/office/drawing/2014/main" id="{00000000-0008-0000-0000-000007000000}"/>
            </a:ext>
          </a:extLst>
        </xdr:cNvPr>
        <xdr:cNvSpPr txBox="1"/>
      </xdr:nvSpPr>
      <xdr:spPr>
        <a:xfrm>
          <a:off x="8267700" y="3445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1806" name="TextBox 1805">
          <a:extLst>
            <a:ext uri="{FF2B5EF4-FFF2-40B4-BE49-F238E27FC236}">
              <a16:creationId xmlns:a16="http://schemas.microsoft.com/office/drawing/2014/main" id="{00000000-0008-0000-0000-000007000000}"/>
            </a:ext>
          </a:extLst>
        </xdr:cNvPr>
        <xdr:cNvSpPr txBox="1"/>
      </xdr:nvSpPr>
      <xdr:spPr>
        <a:xfrm>
          <a:off x="8267700" y="3445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1807" name="TextBox 1806">
          <a:extLst>
            <a:ext uri="{FF2B5EF4-FFF2-40B4-BE49-F238E27FC236}">
              <a16:creationId xmlns:a16="http://schemas.microsoft.com/office/drawing/2014/main" id="{00000000-0008-0000-0000-000007000000}"/>
            </a:ext>
          </a:extLst>
        </xdr:cNvPr>
        <xdr:cNvSpPr txBox="1"/>
      </xdr:nvSpPr>
      <xdr:spPr>
        <a:xfrm>
          <a:off x="8267700" y="3445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1808" name="TextBox 1807">
          <a:extLst>
            <a:ext uri="{FF2B5EF4-FFF2-40B4-BE49-F238E27FC236}">
              <a16:creationId xmlns:a16="http://schemas.microsoft.com/office/drawing/2014/main" id="{00000000-0008-0000-0000-000007000000}"/>
            </a:ext>
          </a:extLst>
        </xdr:cNvPr>
        <xdr:cNvSpPr txBox="1"/>
      </xdr:nvSpPr>
      <xdr:spPr>
        <a:xfrm>
          <a:off x="8267700" y="3445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1809" name="TextBox 1808">
          <a:extLst>
            <a:ext uri="{FF2B5EF4-FFF2-40B4-BE49-F238E27FC236}">
              <a16:creationId xmlns:a16="http://schemas.microsoft.com/office/drawing/2014/main" id="{00000000-0008-0000-0000-000007000000}"/>
            </a:ext>
          </a:extLst>
        </xdr:cNvPr>
        <xdr:cNvSpPr txBox="1"/>
      </xdr:nvSpPr>
      <xdr:spPr>
        <a:xfrm>
          <a:off x="8267700" y="3445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1810" name="TextBox 1809">
          <a:extLst>
            <a:ext uri="{FF2B5EF4-FFF2-40B4-BE49-F238E27FC236}">
              <a16:creationId xmlns:a16="http://schemas.microsoft.com/office/drawing/2014/main" id="{00000000-0008-0000-0000-000007000000}"/>
            </a:ext>
          </a:extLst>
        </xdr:cNvPr>
        <xdr:cNvSpPr txBox="1"/>
      </xdr:nvSpPr>
      <xdr:spPr>
        <a:xfrm>
          <a:off x="8267700" y="3445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1811" name="TextBox 1810">
          <a:extLst>
            <a:ext uri="{FF2B5EF4-FFF2-40B4-BE49-F238E27FC236}">
              <a16:creationId xmlns:a16="http://schemas.microsoft.com/office/drawing/2014/main" id="{00000000-0008-0000-0000-000007000000}"/>
            </a:ext>
          </a:extLst>
        </xdr:cNvPr>
        <xdr:cNvSpPr txBox="1"/>
      </xdr:nvSpPr>
      <xdr:spPr>
        <a:xfrm>
          <a:off x="8267700" y="3445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1812" name="TextBox 1811">
          <a:extLst>
            <a:ext uri="{FF2B5EF4-FFF2-40B4-BE49-F238E27FC236}">
              <a16:creationId xmlns:a16="http://schemas.microsoft.com/office/drawing/2014/main" id="{00000000-0008-0000-0000-000007000000}"/>
            </a:ext>
          </a:extLst>
        </xdr:cNvPr>
        <xdr:cNvSpPr txBox="1"/>
      </xdr:nvSpPr>
      <xdr:spPr>
        <a:xfrm>
          <a:off x="8267700" y="3445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1813" name="TextBox 1812">
          <a:extLst>
            <a:ext uri="{FF2B5EF4-FFF2-40B4-BE49-F238E27FC236}">
              <a16:creationId xmlns:a16="http://schemas.microsoft.com/office/drawing/2014/main" id="{00000000-0008-0000-0000-000007000000}"/>
            </a:ext>
          </a:extLst>
        </xdr:cNvPr>
        <xdr:cNvSpPr txBox="1"/>
      </xdr:nvSpPr>
      <xdr:spPr>
        <a:xfrm>
          <a:off x="8267700" y="3445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1814" name="TextBox 1813">
          <a:extLst>
            <a:ext uri="{FF2B5EF4-FFF2-40B4-BE49-F238E27FC236}">
              <a16:creationId xmlns:a16="http://schemas.microsoft.com/office/drawing/2014/main" id="{00000000-0008-0000-0000-000007000000}"/>
            </a:ext>
          </a:extLst>
        </xdr:cNvPr>
        <xdr:cNvSpPr txBox="1"/>
      </xdr:nvSpPr>
      <xdr:spPr>
        <a:xfrm>
          <a:off x="8267700" y="3445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1815" name="TextBox 1814">
          <a:extLst>
            <a:ext uri="{FF2B5EF4-FFF2-40B4-BE49-F238E27FC236}">
              <a16:creationId xmlns:a16="http://schemas.microsoft.com/office/drawing/2014/main" id="{00000000-0008-0000-0000-000007000000}"/>
            </a:ext>
          </a:extLst>
        </xdr:cNvPr>
        <xdr:cNvSpPr txBox="1"/>
      </xdr:nvSpPr>
      <xdr:spPr>
        <a:xfrm>
          <a:off x="8267700" y="3445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1816" name="TextBox 1815">
          <a:extLst>
            <a:ext uri="{FF2B5EF4-FFF2-40B4-BE49-F238E27FC236}">
              <a16:creationId xmlns:a16="http://schemas.microsoft.com/office/drawing/2014/main" id="{00000000-0008-0000-0000-000007000000}"/>
            </a:ext>
          </a:extLst>
        </xdr:cNvPr>
        <xdr:cNvSpPr txBox="1"/>
      </xdr:nvSpPr>
      <xdr:spPr>
        <a:xfrm>
          <a:off x="8267700" y="3445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1817" name="TextBox 1816">
          <a:extLst>
            <a:ext uri="{FF2B5EF4-FFF2-40B4-BE49-F238E27FC236}">
              <a16:creationId xmlns:a16="http://schemas.microsoft.com/office/drawing/2014/main" id="{00000000-0008-0000-0000-000007000000}"/>
            </a:ext>
          </a:extLst>
        </xdr:cNvPr>
        <xdr:cNvSpPr txBox="1"/>
      </xdr:nvSpPr>
      <xdr:spPr>
        <a:xfrm>
          <a:off x="8267700" y="3445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1818" name="TextBox 1817">
          <a:extLst>
            <a:ext uri="{FF2B5EF4-FFF2-40B4-BE49-F238E27FC236}">
              <a16:creationId xmlns:a16="http://schemas.microsoft.com/office/drawing/2014/main" id="{00000000-0008-0000-0000-000007000000}"/>
            </a:ext>
          </a:extLst>
        </xdr:cNvPr>
        <xdr:cNvSpPr txBox="1"/>
      </xdr:nvSpPr>
      <xdr:spPr>
        <a:xfrm>
          <a:off x="8267700" y="3445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1819" name="TextBox 1818">
          <a:extLst>
            <a:ext uri="{FF2B5EF4-FFF2-40B4-BE49-F238E27FC236}">
              <a16:creationId xmlns:a16="http://schemas.microsoft.com/office/drawing/2014/main" id="{00000000-0008-0000-0000-000007000000}"/>
            </a:ext>
          </a:extLst>
        </xdr:cNvPr>
        <xdr:cNvSpPr txBox="1"/>
      </xdr:nvSpPr>
      <xdr:spPr>
        <a:xfrm>
          <a:off x="8267700" y="3445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1820" name="TextBox 1819">
          <a:extLst>
            <a:ext uri="{FF2B5EF4-FFF2-40B4-BE49-F238E27FC236}">
              <a16:creationId xmlns:a16="http://schemas.microsoft.com/office/drawing/2014/main" id="{00000000-0008-0000-0000-000007000000}"/>
            </a:ext>
          </a:extLst>
        </xdr:cNvPr>
        <xdr:cNvSpPr txBox="1"/>
      </xdr:nvSpPr>
      <xdr:spPr>
        <a:xfrm>
          <a:off x="8267700" y="3445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1821" name="TextBox 1820">
          <a:extLst>
            <a:ext uri="{FF2B5EF4-FFF2-40B4-BE49-F238E27FC236}">
              <a16:creationId xmlns:a16="http://schemas.microsoft.com/office/drawing/2014/main" id="{00000000-0008-0000-0000-000007000000}"/>
            </a:ext>
          </a:extLst>
        </xdr:cNvPr>
        <xdr:cNvSpPr txBox="1"/>
      </xdr:nvSpPr>
      <xdr:spPr>
        <a:xfrm>
          <a:off x="8267700" y="3445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1822" name="TextBox 1821">
          <a:extLst>
            <a:ext uri="{FF2B5EF4-FFF2-40B4-BE49-F238E27FC236}">
              <a16:creationId xmlns:a16="http://schemas.microsoft.com/office/drawing/2014/main" id="{00000000-0008-0000-0000-000007000000}"/>
            </a:ext>
          </a:extLst>
        </xdr:cNvPr>
        <xdr:cNvSpPr txBox="1"/>
      </xdr:nvSpPr>
      <xdr:spPr>
        <a:xfrm>
          <a:off x="8267700" y="3445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1823" name="TextBox 1822">
          <a:extLst>
            <a:ext uri="{FF2B5EF4-FFF2-40B4-BE49-F238E27FC236}">
              <a16:creationId xmlns:a16="http://schemas.microsoft.com/office/drawing/2014/main" id="{00000000-0008-0000-0000-000007000000}"/>
            </a:ext>
          </a:extLst>
        </xdr:cNvPr>
        <xdr:cNvSpPr txBox="1"/>
      </xdr:nvSpPr>
      <xdr:spPr>
        <a:xfrm>
          <a:off x="8267700" y="3445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1824" name="TextBox 1823">
          <a:extLst>
            <a:ext uri="{FF2B5EF4-FFF2-40B4-BE49-F238E27FC236}">
              <a16:creationId xmlns:a16="http://schemas.microsoft.com/office/drawing/2014/main" id="{00000000-0008-0000-0000-000007000000}"/>
            </a:ext>
          </a:extLst>
        </xdr:cNvPr>
        <xdr:cNvSpPr txBox="1"/>
      </xdr:nvSpPr>
      <xdr:spPr>
        <a:xfrm>
          <a:off x="8267700" y="3445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1825" name="TextBox 1824">
          <a:extLst>
            <a:ext uri="{FF2B5EF4-FFF2-40B4-BE49-F238E27FC236}">
              <a16:creationId xmlns:a16="http://schemas.microsoft.com/office/drawing/2014/main" id="{00000000-0008-0000-0000-000007000000}"/>
            </a:ext>
          </a:extLst>
        </xdr:cNvPr>
        <xdr:cNvSpPr txBox="1"/>
      </xdr:nvSpPr>
      <xdr:spPr>
        <a:xfrm>
          <a:off x="8267700" y="3445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1826" name="TextBox 1825">
          <a:extLst>
            <a:ext uri="{FF2B5EF4-FFF2-40B4-BE49-F238E27FC236}">
              <a16:creationId xmlns:a16="http://schemas.microsoft.com/office/drawing/2014/main" id="{00000000-0008-0000-0000-000007000000}"/>
            </a:ext>
          </a:extLst>
        </xdr:cNvPr>
        <xdr:cNvSpPr txBox="1"/>
      </xdr:nvSpPr>
      <xdr:spPr>
        <a:xfrm>
          <a:off x="8267700" y="3445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1827" name="TextBox 1826">
          <a:extLst>
            <a:ext uri="{FF2B5EF4-FFF2-40B4-BE49-F238E27FC236}">
              <a16:creationId xmlns:a16="http://schemas.microsoft.com/office/drawing/2014/main" id="{00000000-0008-0000-0000-000007000000}"/>
            </a:ext>
          </a:extLst>
        </xdr:cNvPr>
        <xdr:cNvSpPr txBox="1"/>
      </xdr:nvSpPr>
      <xdr:spPr>
        <a:xfrm>
          <a:off x="8267700" y="3445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1828" name="TextBox 1827">
          <a:extLst>
            <a:ext uri="{FF2B5EF4-FFF2-40B4-BE49-F238E27FC236}">
              <a16:creationId xmlns:a16="http://schemas.microsoft.com/office/drawing/2014/main" id="{00000000-0008-0000-0000-000007000000}"/>
            </a:ext>
          </a:extLst>
        </xdr:cNvPr>
        <xdr:cNvSpPr txBox="1"/>
      </xdr:nvSpPr>
      <xdr:spPr>
        <a:xfrm>
          <a:off x="8267700" y="3445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1829" name="TextBox 1828">
          <a:extLst>
            <a:ext uri="{FF2B5EF4-FFF2-40B4-BE49-F238E27FC236}">
              <a16:creationId xmlns:a16="http://schemas.microsoft.com/office/drawing/2014/main" id="{00000000-0008-0000-0000-000007000000}"/>
            </a:ext>
          </a:extLst>
        </xdr:cNvPr>
        <xdr:cNvSpPr txBox="1"/>
      </xdr:nvSpPr>
      <xdr:spPr>
        <a:xfrm>
          <a:off x="8267700" y="3445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1830" name="TextBox 1829">
          <a:extLst>
            <a:ext uri="{FF2B5EF4-FFF2-40B4-BE49-F238E27FC236}">
              <a16:creationId xmlns:a16="http://schemas.microsoft.com/office/drawing/2014/main" id="{00000000-0008-0000-0000-000007000000}"/>
            </a:ext>
          </a:extLst>
        </xdr:cNvPr>
        <xdr:cNvSpPr txBox="1"/>
      </xdr:nvSpPr>
      <xdr:spPr>
        <a:xfrm>
          <a:off x="8267700" y="3445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1831" name="TextBox 1830">
          <a:extLst>
            <a:ext uri="{FF2B5EF4-FFF2-40B4-BE49-F238E27FC236}">
              <a16:creationId xmlns:a16="http://schemas.microsoft.com/office/drawing/2014/main" id="{00000000-0008-0000-0000-000007000000}"/>
            </a:ext>
          </a:extLst>
        </xdr:cNvPr>
        <xdr:cNvSpPr txBox="1"/>
      </xdr:nvSpPr>
      <xdr:spPr>
        <a:xfrm>
          <a:off x="8267700" y="3445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1832" name="TextBox 1831">
          <a:extLst>
            <a:ext uri="{FF2B5EF4-FFF2-40B4-BE49-F238E27FC236}">
              <a16:creationId xmlns:a16="http://schemas.microsoft.com/office/drawing/2014/main" id="{00000000-0008-0000-0000-000007000000}"/>
            </a:ext>
          </a:extLst>
        </xdr:cNvPr>
        <xdr:cNvSpPr txBox="1"/>
      </xdr:nvSpPr>
      <xdr:spPr>
        <a:xfrm>
          <a:off x="8267700" y="3445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1833" name="TextBox 1832">
          <a:extLst>
            <a:ext uri="{FF2B5EF4-FFF2-40B4-BE49-F238E27FC236}">
              <a16:creationId xmlns:a16="http://schemas.microsoft.com/office/drawing/2014/main" id="{00000000-0008-0000-0000-000007000000}"/>
            </a:ext>
          </a:extLst>
        </xdr:cNvPr>
        <xdr:cNvSpPr txBox="1"/>
      </xdr:nvSpPr>
      <xdr:spPr>
        <a:xfrm>
          <a:off x="8267700" y="3445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1834" name="TextBox 1833">
          <a:extLst>
            <a:ext uri="{FF2B5EF4-FFF2-40B4-BE49-F238E27FC236}">
              <a16:creationId xmlns:a16="http://schemas.microsoft.com/office/drawing/2014/main" id="{00000000-0008-0000-0000-000007000000}"/>
            </a:ext>
          </a:extLst>
        </xdr:cNvPr>
        <xdr:cNvSpPr txBox="1"/>
      </xdr:nvSpPr>
      <xdr:spPr>
        <a:xfrm>
          <a:off x="8267700" y="3445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1835" name="TextBox 1834">
          <a:extLst>
            <a:ext uri="{FF2B5EF4-FFF2-40B4-BE49-F238E27FC236}">
              <a16:creationId xmlns:a16="http://schemas.microsoft.com/office/drawing/2014/main" id="{00000000-0008-0000-0000-000007000000}"/>
            </a:ext>
          </a:extLst>
        </xdr:cNvPr>
        <xdr:cNvSpPr txBox="1"/>
      </xdr:nvSpPr>
      <xdr:spPr>
        <a:xfrm>
          <a:off x="8267700" y="3445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1836" name="TextBox 1835">
          <a:extLst>
            <a:ext uri="{FF2B5EF4-FFF2-40B4-BE49-F238E27FC236}">
              <a16:creationId xmlns:a16="http://schemas.microsoft.com/office/drawing/2014/main" id="{00000000-0008-0000-0000-000007000000}"/>
            </a:ext>
          </a:extLst>
        </xdr:cNvPr>
        <xdr:cNvSpPr txBox="1"/>
      </xdr:nvSpPr>
      <xdr:spPr>
        <a:xfrm>
          <a:off x="8267700" y="3445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1837" name="TextBox 1836">
          <a:extLst>
            <a:ext uri="{FF2B5EF4-FFF2-40B4-BE49-F238E27FC236}">
              <a16:creationId xmlns:a16="http://schemas.microsoft.com/office/drawing/2014/main" id="{00000000-0008-0000-0000-000007000000}"/>
            </a:ext>
          </a:extLst>
        </xdr:cNvPr>
        <xdr:cNvSpPr txBox="1"/>
      </xdr:nvSpPr>
      <xdr:spPr>
        <a:xfrm>
          <a:off x="8267700" y="3445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1838" name="TextBox 1837">
          <a:extLst>
            <a:ext uri="{FF2B5EF4-FFF2-40B4-BE49-F238E27FC236}">
              <a16:creationId xmlns:a16="http://schemas.microsoft.com/office/drawing/2014/main" id="{00000000-0008-0000-0000-000007000000}"/>
            </a:ext>
          </a:extLst>
        </xdr:cNvPr>
        <xdr:cNvSpPr txBox="1"/>
      </xdr:nvSpPr>
      <xdr:spPr>
        <a:xfrm>
          <a:off x="8267700" y="3445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1839" name="TextBox 1838">
          <a:extLst>
            <a:ext uri="{FF2B5EF4-FFF2-40B4-BE49-F238E27FC236}">
              <a16:creationId xmlns:a16="http://schemas.microsoft.com/office/drawing/2014/main" id="{00000000-0008-0000-0000-000007000000}"/>
            </a:ext>
          </a:extLst>
        </xdr:cNvPr>
        <xdr:cNvSpPr txBox="1"/>
      </xdr:nvSpPr>
      <xdr:spPr>
        <a:xfrm>
          <a:off x="8267700" y="3445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1840" name="TextBox 1839">
          <a:extLst>
            <a:ext uri="{FF2B5EF4-FFF2-40B4-BE49-F238E27FC236}">
              <a16:creationId xmlns:a16="http://schemas.microsoft.com/office/drawing/2014/main" id="{00000000-0008-0000-0000-000007000000}"/>
            </a:ext>
          </a:extLst>
        </xdr:cNvPr>
        <xdr:cNvSpPr txBox="1"/>
      </xdr:nvSpPr>
      <xdr:spPr>
        <a:xfrm>
          <a:off x="8267700" y="3445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1841" name="TextBox 1840">
          <a:extLst>
            <a:ext uri="{FF2B5EF4-FFF2-40B4-BE49-F238E27FC236}">
              <a16:creationId xmlns:a16="http://schemas.microsoft.com/office/drawing/2014/main" id="{00000000-0008-0000-0000-000007000000}"/>
            </a:ext>
          </a:extLst>
        </xdr:cNvPr>
        <xdr:cNvSpPr txBox="1"/>
      </xdr:nvSpPr>
      <xdr:spPr>
        <a:xfrm>
          <a:off x="8267700" y="3445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1842" name="TextBox 1841">
          <a:extLst>
            <a:ext uri="{FF2B5EF4-FFF2-40B4-BE49-F238E27FC236}">
              <a16:creationId xmlns:a16="http://schemas.microsoft.com/office/drawing/2014/main" id="{00000000-0008-0000-0000-000007000000}"/>
            </a:ext>
          </a:extLst>
        </xdr:cNvPr>
        <xdr:cNvSpPr txBox="1"/>
      </xdr:nvSpPr>
      <xdr:spPr>
        <a:xfrm>
          <a:off x="8267700" y="3445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1843" name="TextBox 1842">
          <a:extLst>
            <a:ext uri="{FF2B5EF4-FFF2-40B4-BE49-F238E27FC236}">
              <a16:creationId xmlns:a16="http://schemas.microsoft.com/office/drawing/2014/main" id="{00000000-0008-0000-0000-000007000000}"/>
            </a:ext>
          </a:extLst>
        </xdr:cNvPr>
        <xdr:cNvSpPr txBox="1"/>
      </xdr:nvSpPr>
      <xdr:spPr>
        <a:xfrm>
          <a:off x="8267700" y="3445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1844" name="TextBox 1843">
          <a:extLst>
            <a:ext uri="{FF2B5EF4-FFF2-40B4-BE49-F238E27FC236}">
              <a16:creationId xmlns:a16="http://schemas.microsoft.com/office/drawing/2014/main" id="{00000000-0008-0000-0000-000007000000}"/>
            </a:ext>
          </a:extLst>
        </xdr:cNvPr>
        <xdr:cNvSpPr txBox="1"/>
      </xdr:nvSpPr>
      <xdr:spPr>
        <a:xfrm>
          <a:off x="8267700" y="3445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1845" name="TextBox 1844">
          <a:extLst>
            <a:ext uri="{FF2B5EF4-FFF2-40B4-BE49-F238E27FC236}">
              <a16:creationId xmlns:a16="http://schemas.microsoft.com/office/drawing/2014/main" id="{00000000-0008-0000-0000-000007000000}"/>
            </a:ext>
          </a:extLst>
        </xdr:cNvPr>
        <xdr:cNvSpPr txBox="1"/>
      </xdr:nvSpPr>
      <xdr:spPr>
        <a:xfrm>
          <a:off x="8267700" y="3445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1846" name="TextBox 1845">
          <a:extLst>
            <a:ext uri="{FF2B5EF4-FFF2-40B4-BE49-F238E27FC236}">
              <a16:creationId xmlns:a16="http://schemas.microsoft.com/office/drawing/2014/main" id="{00000000-0008-0000-0000-000007000000}"/>
            </a:ext>
          </a:extLst>
        </xdr:cNvPr>
        <xdr:cNvSpPr txBox="1"/>
      </xdr:nvSpPr>
      <xdr:spPr>
        <a:xfrm>
          <a:off x="8267700" y="3445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1847" name="TextBox 1846">
          <a:extLst>
            <a:ext uri="{FF2B5EF4-FFF2-40B4-BE49-F238E27FC236}">
              <a16:creationId xmlns:a16="http://schemas.microsoft.com/office/drawing/2014/main" id="{00000000-0008-0000-0000-000007000000}"/>
            </a:ext>
          </a:extLst>
        </xdr:cNvPr>
        <xdr:cNvSpPr txBox="1"/>
      </xdr:nvSpPr>
      <xdr:spPr>
        <a:xfrm>
          <a:off x="8267700" y="3445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1848" name="TextBox 1847">
          <a:extLst>
            <a:ext uri="{FF2B5EF4-FFF2-40B4-BE49-F238E27FC236}">
              <a16:creationId xmlns:a16="http://schemas.microsoft.com/office/drawing/2014/main" id="{00000000-0008-0000-0000-000007000000}"/>
            </a:ext>
          </a:extLst>
        </xdr:cNvPr>
        <xdr:cNvSpPr txBox="1"/>
      </xdr:nvSpPr>
      <xdr:spPr>
        <a:xfrm>
          <a:off x="8267700" y="3445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1849" name="TextBox 1848">
          <a:extLst>
            <a:ext uri="{FF2B5EF4-FFF2-40B4-BE49-F238E27FC236}">
              <a16:creationId xmlns:a16="http://schemas.microsoft.com/office/drawing/2014/main" id="{00000000-0008-0000-0000-000007000000}"/>
            </a:ext>
          </a:extLst>
        </xdr:cNvPr>
        <xdr:cNvSpPr txBox="1"/>
      </xdr:nvSpPr>
      <xdr:spPr>
        <a:xfrm>
          <a:off x="8267700" y="3445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1850" name="TextBox 1849">
          <a:extLst>
            <a:ext uri="{FF2B5EF4-FFF2-40B4-BE49-F238E27FC236}">
              <a16:creationId xmlns:a16="http://schemas.microsoft.com/office/drawing/2014/main" id="{00000000-0008-0000-0000-000007000000}"/>
            </a:ext>
          </a:extLst>
        </xdr:cNvPr>
        <xdr:cNvSpPr txBox="1"/>
      </xdr:nvSpPr>
      <xdr:spPr>
        <a:xfrm>
          <a:off x="8267700" y="3445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1851" name="TextBox 1850">
          <a:extLst>
            <a:ext uri="{FF2B5EF4-FFF2-40B4-BE49-F238E27FC236}">
              <a16:creationId xmlns:a16="http://schemas.microsoft.com/office/drawing/2014/main" id="{00000000-0008-0000-0000-000007000000}"/>
            </a:ext>
          </a:extLst>
        </xdr:cNvPr>
        <xdr:cNvSpPr txBox="1"/>
      </xdr:nvSpPr>
      <xdr:spPr>
        <a:xfrm>
          <a:off x="12138660" y="3445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1852" name="TextBox 1851">
          <a:extLst>
            <a:ext uri="{FF2B5EF4-FFF2-40B4-BE49-F238E27FC236}">
              <a16:creationId xmlns:a16="http://schemas.microsoft.com/office/drawing/2014/main" id="{00000000-0008-0000-0000-000007000000}"/>
            </a:ext>
          </a:extLst>
        </xdr:cNvPr>
        <xdr:cNvSpPr txBox="1"/>
      </xdr:nvSpPr>
      <xdr:spPr>
        <a:xfrm>
          <a:off x="12138660" y="3445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1853" name="TextBox 1852">
          <a:extLst>
            <a:ext uri="{FF2B5EF4-FFF2-40B4-BE49-F238E27FC236}">
              <a16:creationId xmlns:a16="http://schemas.microsoft.com/office/drawing/2014/main" id="{00000000-0008-0000-0000-000007000000}"/>
            </a:ext>
          </a:extLst>
        </xdr:cNvPr>
        <xdr:cNvSpPr txBox="1"/>
      </xdr:nvSpPr>
      <xdr:spPr>
        <a:xfrm>
          <a:off x="12138660" y="3445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1854" name="TextBox 1853">
          <a:extLst>
            <a:ext uri="{FF2B5EF4-FFF2-40B4-BE49-F238E27FC236}">
              <a16:creationId xmlns:a16="http://schemas.microsoft.com/office/drawing/2014/main" id="{00000000-0008-0000-0000-000007000000}"/>
            </a:ext>
          </a:extLst>
        </xdr:cNvPr>
        <xdr:cNvSpPr txBox="1"/>
      </xdr:nvSpPr>
      <xdr:spPr>
        <a:xfrm>
          <a:off x="12138660" y="3445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1855" name="TextBox 1854">
          <a:extLst>
            <a:ext uri="{FF2B5EF4-FFF2-40B4-BE49-F238E27FC236}">
              <a16:creationId xmlns:a16="http://schemas.microsoft.com/office/drawing/2014/main" id="{00000000-0008-0000-0000-000007000000}"/>
            </a:ext>
          </a:extLst>
        </xdr:cNvPr>
        <xdr:cNvSpPr txBox="1"/>
      </xdr:nvSpPr>
      <xdr:spPr>
        <a:xfrm>
          <a:off x="12138660" y="3445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1856" name="TextBox 1855">
          <a:extLst>
            <a:ext uri="{FF2B5EF4-FFF2-40B4-BE49-F238E27FC236}">
              <a16:creationId xmlns:a16="http://schemas.microsoft.com/office/drawing/2014/main" id="{00000000-0008-0000-0000-000007000000}"/>
            </a:ext>
          </a:extLst>
        </xdr:cNvPr>
        <xdr:cNvSpPr txBox="1"/>
      </xdr:nvSpPr>
      <xdr:spPr>
        <a:xfrm>
          <a:off x="12138660" y="3445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1857" name="TextBox 1856">
          <a:extLst>
            <a:ext uri="{FF2B5EF4-FFF2-40B4-BE49-F238E27FC236}">
              <a16:creationId xmlns:a16="http://schemas.microsoft.com/office/drawing/2014/main" id="{00000000-0008-0000-0000-000007000000}"/>
            </a:ext>
          </a:extLst>
        </xdr:cNvPr>
        <xdr:cNvSpPr txBox="1"/>
      </xdr:nvSpPr>
      <xdr:spPr>
        <a:xfrm>
          <a:off x="12138660" y="3445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1858" name="TextBox 1857">
          <a:extLst>
            <a:ext uri="{FF2B5EF4-FFF2-40B4-BE49-F238E27FC236}">
              <a16:creationId xmlns:a16="http://schemas.microsoft.com/office/drawing/2014/main" id="{00000000-0008-0000-0000-000007000000}"/>
            </a:ext>
          </a:extLst>
        </xdr:cNvPr>
        <xdr:cNvSpPr txBox="1"/>
      </xdr:nvSpPr>
      <xdr:spPr>
        <a:xfrm>
          <a:off x="12138660" y="3445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1859" name="TextBox 1858">
          <a:extLst>
            <a:ext uri="{FF2B5EF4-FFF2-40B4-BE49-F238E27FC236}">
              <a16:creationId xmlns:a16="http://schemas.microsoft.com/office/drawing/2014/main" id="{00000000-0008-0000-0000-000007000000}"/>
            </a:ext>
          </a:extLst>
        </xdr:cNvPr>
        <xdr:cNvSpPr txBox="1"/>
      </xdr:nvSpPr>
      <xdr:spPr>
        <a:xfrm>
          <a:off x="8267700" y="34632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1860" name="TextBox 1859">
          <a:extLst>
            <a:ext uri="{FF2B5EF4-FFF2-40B4-BE49-F238E27FC236}">
              <a16:creationId xmlns:a16="http://schemas.microsoft.com/office/drawing/2014/main" id="{00000000-0008-0000-0000-000007000000}"/>
            </a:ext>
          </a:extLst>
        </xdr:cNvPr>
        <xdr:cNvSpPr txBox="1"/>
      </xdr:nvSpPr>
      <xdr:spPr>
        <a:xfrm>
          <a:off x="8267700" y="34632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1861" name="TextBox 1860">
          <a:extLst>
            <a:ext uri="{FF2B5EF4-FFF2-40B4-BE49-F238E27FC236}">
              <a16:creationId xmlns:a16="http://schemas.microsoft.com/office/drawing/2014/main" id="{00000000-0008-0000-0000-000007000000}"/>
            </a:ext>
          </a:extLst>
        </xdr:cNvPr>
        <xdr:cNvSpPr txBox="1"/>
      </xdr:nvSpPr>
      <xdr:spPr>
        <a:xfrm>
          <a:off x="8267700" y="34632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1862" name="TextBox 1861">
          <a:extLst>
            <a:ext uri="{FF2B5EF4-FFF2-40B4-BE49-F238E27FC236}">
              <a16:creationId xmlns:a16="http://schemas.microsoft.com/office/drawing/2014/main" id="{00000000-0008-0000-0000-000007000000}"/>
            </a:ext>
          </a:extLst>
        </xdr:cNvPr>
        <xdr:cNvSpPr txBox="1"/>
      </xdr:nvSpPr>
      <xdr:spPr>
        <a:xfrm>
          <a:off x="8267700" y="34632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1863" name="TextBox 1862">
          <a:extLst>
            <a:ext uri="{FF2B5EF4-FFF2-40B4-BE49-F238E27FC236}">
              <a16:creationId xmlns:a16="http://schemas.microsoft.com/office/drawing/2014/main" id="{00000000-0008-0000-0000-000007000000}"/>
            </a:ext>
          </a:extLst>
        </xdr:cNvPr>
        <xdr:cNvSpPr txBox="1"/>
      </xdr:nvSpPr>
      <xdr:spPr>
        <a:xfrm>
          <a:off x="8267700" y="34632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1864" name="TextBox 1863">
          <a:extLst>
            <a:ext uri="{FF2B5EF4-FFF2-40B4-BE49-F238E27FC236}">
              <a16:creationId xmlns:a16="http://schemas.microsoft.com/office/drawing/2014/main" id="{00000000-0008-0000-0000-000007000000}"/>
            </a:ext>
          </a:extLst>
        </xdr:cNvPr>
        <xdr:cNvSpPr txBox="1"/>
      </xdr:nvSpPr>
      <xdr:spPr>
        <a:xfrm>
          <a:off x="8267700" y="34632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1865" name="TextBox 1864">
          <a:extLst>
            <a:ext uri="{FF2B5EF4-FFF2-40B4-BE49-F238E27FC236}">
              <a16:creationId xmlns:a16="http://schemas.microsoft.com/office/drawing/2014/main" id="{00000000-0008-0000-0000-000007000000}"/>
            </a:ext>
          </a:extLst>
        </xdr:cNvPr>
        <xdr:cNvSpPr txBox="1"/>
      </xdr:nvSpPr>
      <xdr:spPr>
        <a:xfrm>
          <a:off x="8267700" y="34632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1866" name="TextBox 1865">
          <a:extLst>
            <a:ext uri="{FF2B5EF4-FFF2-40B4-BE49-F238E27FC236}">
              <a16:creationId xmlns:a16="http://schemas.microsoft.com/office/drawing/2014/main" id="{00000000-0008-0000-0000-000007000000}"/>
            </a:ext>
          </a:extLst>
        </xdr:cNvPr>
        <xdr:cNvSpPr txBox="1"/>
      </xdr:nvSpPr>
      <xdr:spPr>
        <a:xfrm>
          <a:off x="8267700" y="34632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1867" name="TextBox 1866">
          <a:extLst>
            <a:ext uri="{FF2B5EF4-FFF2-40B4-BE49-F238E27FC236}">
              <a16:creationId xmlns:a16="http://schemas.microsoft.com/office/drawing/2014/main" id="{00000000-0008-0000-0000-000007000000}"/>
            </a:ext>
          </a:extLst>
        </xdr:cNvPr>
        <xdr:cNvSpPr txBox="1"/>
      </xdr:nvSpPr>
      <xdr:spPr>
        <a:xfrm>
          <a:off x="8267700" y="34632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1868" name="TextBox 1867">
          <a:extLst>
            <a:ext uri="{FF2B5EF4-FFF2-40B4-BE49-F238E27FC236}">
              <a16:creationId xmlns:a16="http://schemas.microsoft.com/office/drawing/2014/main" id="{00000000-0008-0000-0000-000007000000}"/>
            </a:ext>
          </a:extLst>
        </xdr:cNvPr>
        <xdr:cNvSpPr txBox="1"/>
      </xdr:nvSpPr>
      <xdr:spPr>
        <a:xfrm>
          <a:off x="8267700" y="34632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1869" name="TextBox 1868">
          <a:extLst>
            <a:ext uri="{FF2B5EF4-FFF2-40B4-BE49-F238E27FC236}">
              <a16:creationId xmlns:a16="http://schemas.microsoft.com/office/drawing/2014/main" id="{00000000-0008-0000-0000-000007000000}"/>
            </a:ext>
          </a:extLst>
        </xdr:cNvPr>
        <xdr:cNvSpPr txBox="1"/>
      </xdr:nvSpPr>
      <xdr:spPr>
        <a:xfrm>
          <a:off x="8267700" y="34632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1870" name="TextBox 1869">
          <a:extLst>
            <a:ext uri="{FF2B5EF4-FFF2-40B4-BE49-F238E27FC236}">
              <a16:creationId xmlns:a16="http://schemas.microsoft.com/office/drawing/2014/main" id="{00000000-0008-0000-0000-000007000000}"/>
            </a:ext>
          </a:extLst>
        </xdr:cNvPr>
        <xdr:cNvSpPr txBox="1"/>
      </xdr:nvSpPr>
      <xdr:spPr>
        <a:xfrm>
          <a:off x="8267700" y="34632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1871" name="TextBox 1870">
          <a:extLst>
            <a:ext uri="{FF2B5EF4-FFF2-40B4-BE49-F238E27FC236}">
              <a16:creationId xmlns:a16="http://schemas.microsoft.com/office/drawing/2014/main" id="{00000000-0008-0000-0000-000007000000}"/>
            </a:ext>
          </a:extLst>
        </xdr:cNvPr>
        <xdr:cNvSpPr txBox="1"/>
      </xdr:nvSpPr>
      <xdr:spPr>
        <a:xfrm>
          <a:off x="8267700" y="34632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1872" name="TextBox 1871">
          <a:extLst>
            <a:ext uri="{FF2B5EF4-FFF2-40B4-BE49-F238E27FC236}">
              <a16:creationId xmlns:a16="http://schemas.microsoft.com/office/drawing/2014/main" id="{00000000-0008-0000-0000-000007000000}"/>
            </a:ext>
          </a:extLst>
        </xdr:cNvPr>
        <xdr:cNvSpPr txBox="1"/>
      </xdr:nvSpPr>
      <xdr:spPr>
        <a:xfrm>
          <a:off x="8267700" y="34632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1873" name="TextBox 1872">
          <a:extLst>
            <a:ext uri="{FF2B5EF4-FFF2-40B4-BE49-F238E27FC236}">
              <a16:creationId xmlns:a16="http://schemas.microsoft.com/office/drawing/2014/main" id="{00000000-0008-0000-0000-000007000000}"/>
            </a:ext>
          </a:extLst>
        </xdr:cNvPr>
        <xdr:cNvSpPr txBox="1"/>
      </xdr:nvSpPr>
      <xdr:spPr>
        <a:xfrm>
          <a:off x="8267700" y="34632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1874" name="TextBox 1873">
          <a:extLst>
            <a:ext uri="{FF2B5EF4-FFF2-40B4-BE49-F238E27FC236}">
              <a16:creationId xmlns:a16="http://schemas.microsoft.com/office/drawing/2014/main" id="{00000000-0008-0000-0000-000007000000}"/>
            </a:ext>
          </a:extLst>
        </xdr:cNvPr>
        <xdr:cNvSpPr txBox="1"/>
      </xdr:nvSpPr>
      <xdr:spPr>
        <a:xfrm>
          <a:off x="8267700" y="34632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1875" name="TextBox 1874">
          <a:extLst>
            <a:ext uri="{FF2B5EF4-FFF2-40B4-BE49-F238E27FC236}">
              <a16:creationId xmlns:a16="http://schemas.microsoft.com/office/drawing/2014/main" id="{00000000-0008-0000-0000-000007000000}"/>
            </a:ext>
          </a:extLst>
        </xdr:cNvPr>
        <xdr:cNvSpPr txBox="1"/>
      </xdr:nvSpPr>
      <xdr:spPr>
        <a:xfrm>
          <a:off x="8267700" y="34632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1876" name="TextBox 1875">
          <a:extLst>
            <a:ext uri="{FF2B5EF4-FFF2-40B4-BE49-F238E27FC236}">
              <a16:creationId xmlns:a16="http://schemas.microsoft.com/office/drawing/2014/main" id="{00000000-0008-0000-0000-000007000000}"/>
            </a:ext>
          </a:extLst>
        </xdr:cNvPr>
        <xdr:cNvSpPr txBox="1"/>
      </xdr:nvSpPr>
      <xdr:spPr>
        <a:xfrm>
          <a:off x="8267700" y="34632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1877" name="TextBox 1876">
          <a:extLst>
            <a:ext uri="{FF2B5EF4-FFF2-40B4-BE49-F238E27FC236}">
              <a16:creationId xmlns:a16="http://schemas.microsoft.com/office/drawing/2014/main" id="{00000000-0008-0000-0000-000007000000}"/>
            </a:ext>
          </a:extLst>
        </xdr:cNvPr>
        <xdr:cNvSpPr txBox="1"/>
      </xdr:nvSpPr>
      <xdr:spPr>
        <a:xfrm>
          <a:off x="8267700" y="34632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1878" name="TextBox 1877">
          <a:extLst>
            <a:ext uri="{FF2B5EF4-FFF2-40B4-BE49-F238E27FC236}">
              <a16:creationId xmlns:a16="http://schemas.microsoft.com/office/drawing/2014/main" id="{00000000-0008-0000-0000-000007000000}"/>
            </a:ext>
          </a:extLst>
        </xdr:cNvPr>
        <xdr:cNvSpPr txBox="1"/>
      </xdr:nvSpPr>
      <xdr:spPr>
        <a:xfrm>
          <a:off x="8267700" y="34632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1879" name="TextBox 1878">
          <a:extLst>
            <a:ext uri="{FF2B5EF4-FFF2-40B4-BE49-F238E27FC236}">
              <a16:creationId xmlns:a16="http://schemas.microsoft.com/office/drawing/2014/main" id="{00000000-0008-0000-0000-000007000000}"/>
            </a:ext>
          </a:extLst>
        </xdr:cNvPr>
        <xdr:cNvSpPr txBox="1"/>
      </xdr:nvSpPr>
      <xdr:spPr>
        <a:xfrm>
          <a:off x="8267700" y="34632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1880" name="TextBox 1879">
          <a:extLst>
            <a:ext uri="{FF2B5EF4-FFF2-40B4-BE49-F238E27FC236}">
              <a16:creationId xmlns:a16="http://schemas.microsoft.com/office/drawing/2014/main" id="{00000000-0008-0000-0000-000007000000}"/>
            </a:ext>
          </a:extLst>
        </xdr:cNvPr>
        <xdr:cNvSpPr txBox="1"/>
      </xdr:nvSpPr>
      <xdr:spPr>
        <a:xfrm>
          <a:off x="8267700" y="34632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1881" name="TextBox 1880">
          <a:extLst>
            <a:ext uri="{FF2B5EF4-FFF2-40B4-BE49-F238E27FC236}">
              <a16:creationId xmlns:a16="http://schemas.microsoft.com/office/drawing/2014/main" id="{00000000-0008-0000-0000-000007000000}"/>
            </a:ext>
          </a:extLst>
        </xdr:cNvPr>
        <xdr:cNvSpPr txBox="1"/>
      </xdr:nvSpPr>
      <xdr:spPr>
        <a:xfrm>
          <a:off x="8267700" y="34632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1882" name="TextBox 1881">
          <a:extLst>
            <a:ext uri="{FF2B5EF4-FFF2-40B4-BE49-F238E27FC236}">
              <a16:creationId xmlns:a16="http://schemas.microsoft.com/office/drawing/2014/main" id="{00000000-0008-0000-0000-000007000000}"/>
            </a:ext>
          </a:extLst>
        </xdr:cNvPr>
        <xdr:cNvSpPr txBox="1"/>
      </xdr:nvSpPr>
      <xdr:spPr>
        <a:xfrm>
          <a:off x="8267700" y="34632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1883" name="TextBox 1882">
          <a:extLst>
            <a:ext uri="{FF2B5EF4-FFF2-40B4-BE49-F238E27FC236}">
              <a16:creationId xmlns:a16="http://schemas.microsoft.com/office/drawing/2014/main" id="{00000000-0008-0000-0000-000007000000}"/>
            </a:ext>
          </a:extLst>
        </xdr:cNvPr>
        <xdr:cNvSpPr txBox="1"/>
      </xdr:nvSpPr>
      <xdr:spPr>
        <a:xfrm>
          <a:off x="8267700" y="34632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1884" name="TextBox 1883">
          <a:extLst>
            <a:ext uri="{FF2B5EF4-FFF2-40B4-BE49-F238E27FC236}">
              <a16:creationId xmlns:a16="http://schemas.microsoft.com/office/drawing/2014/main" id="{00000000-0008-0000-0000-000007000000}"/>
            </a:ext>
          </a:extLst>
        </xdr:cNvPr>
        <xdr:cNvSpPr txBox="1"/>
      </xdr:nvSpPr>
      <xdr:spPr>
        <a:xfrm>
          <a:off x="8267700" y="34632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1885" name="TextBox 1884">
          <a:extLst>
            <a:ext uri="{FF2B5EF4-FFF2-40B4-BE49-F238E27FC236}">
              <a16:creationId xmlns:a16="http://schemas.microsoft.com/office/drawing/2014/main" id="{00000000-0008-0000-0000-000007000000}"/>
            </a:ext>
          </a:extLst>
        </xdr:cNvPr>
        <xdr:cNvSpPr txBox="1"/>
      </xdr:nvSpPr>
      <xdr:spPr>
        <a:xfrm>
          <a:off x="8267700" y="34632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1886" name="TextBox 1885">
          <a:extLst>
            <a:ext uri="{FF2B5EF4-FFF2-40B4-BE49-F238E27FC236}">
              <a16:creationId xmlns:a16="http://schemas.microsoft.com/office/drawing/2014/main" id="{00000000-0008-0000-0000-000007000000}"/>
            </a:ext>
          </a:extLst>
        </xdr:cNvPr>
        <xdr:cNvSpPr txBox="1"/>
      </xdr:nvSpPr>
      <xdr:spPr>
        <a:xfrm>
          <a:off x="8267700" y="34632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1887" name="TextBox 1886">
          <a:extLst>
            <a:ext uri="{FF2B5EF4-FFF2-40B4-BE49-F238E27FC236}">
              <a16:creationId xmlns:a16="http://schemas.microsoft.com/office/drawing/2014/main" id="{00000000-0008-0000-0000-000007000000}"/>
            </a:ext>
          </a:extLst>
        </xdr:cNvPr>
        <xdr:cNvSpPr txBox="1"/>
      </xdr:nvSpPr>
      <xdr:spPr>
        <a:xfrm>
          <a:off x="8267700" y="34632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1888" name="TextBox 1887">
          <a:extLst>
            <a:ext uri="{FF2B5EF4-FFF2-40B4-BE49-F238E27FC236}">
              <a16:creationId xmlns:a16="http://schemas.microsoft.com/office/drawing/2014/main" id="{00000000-0008-0000-0000-000007000000}"/>
            </a:ext>
          </a:extLst>
        </xdr:cNvPr>
        <xdr:cNvSpPr txBox="1"/>
      </xdr:nvSpPr>
      <xdr:spPr>
        <a:xfrm>
          <a:off x="8267700" y="34632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1889" name="TextBox 1888">
          <a:extLst>
            <a:ext uri="{FF2B5EF4-FFF2-40B4-BE49-F238E27FC236}">
              <a16:creationId xmlns:a16="http://schemas.microsoft.com/office/drawing/2014/main" id="{00000000-0008-0000-0000-000007000000}"/>
            </a:ext>
          </a:extLst>
        </xdr:cNvPr>
        <xdr:cNvSpPr txBox="1"/>
      </xdr:nvSpPr>
      <xdr:spPr>
        <a:xfrm>
          <a:off x="8267700" y="34632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1890" name="TextBox 1889">
          <a:extLst>
            <a:ext uri="{FF2B5EF4-FFF2-40B4-BE49-F238E27FC236}">
              <a16:creationId xmlns:a16="http://schemas.microsoft.com/office/drawing/2014/main" id="{00000000-0008-0000-0000-000007000000}"/>
            </a:ext>
          </a:extLst>
        </xdr:cNvPr>
        <xdr:cNvSpPr txBox="1"/>
      </xdr:nvSpPr>
      <xdr:spPr>
        <a:xfrm>
          <a:off x="8267700" y="34632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1891" name="TextBox 1890">
          <a:extLst>
            <a:ext uri="{FF2B5EF4-FFF2-40B4-BE49-F238E27FC236}">
              <a16:creationId xmlns:a16="http://schemas.microsoft.com/office/drawing/2014/main" id="{00000000-0008-0000-0000-000007000000}"/>
            </a:ext>
          </a:extLst>
        </xdr:cNvPr>
        <xdr:cNvSpPr txBox="1"/>
      </xdr:nvSpPr>
      <xdr:spPr>
        <a:xfrm>
          <a:off x="8267700" y="34632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1892" name="TextBox 1891">
          <a:extLst>
            <a:ext uri="{FF2B5EF4-FFF2-40B4-BE49-F238E27FC236}">
              <a16:creationId xmlns:a16="http://schemas.microsoft.com/office/drawing/2014/main" id="{00000000-0008-0000-0000-000007000000}"/>
            </a:ext>
          </a:extLst>
        </xdr:cNvPr>
        <xdr:cNvSpPr txBox="1"/>
      </xdr:nvSpPr>
      <xdr:spPr>
        <a:xfrm>
          <a:off x="8267700" y="34632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1893" name="TextBox 1892">
          <a:extLst>
            <a:ext uri="{FF2B5EF4-FFF2-40B4-BE49-F238E27FC236}">
              <a16:creationId xmlns:a16="http://schemas.microsoft.com/office/drawing/2014/main" id="{00000000-0008-0000-0000-000007000000}"/>
            </a:ext>
          </a:extLst>
        </xdr:cNvPr>
        <xdr:cNvSpPr txBox="1"/>
      </xdr:nvSpPr>
      <xdr:spPr>
        <a:xfrm>
          <a:off x="8267700" y="34632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1894" name="TextBox 1893">
          <a:extLst>
            <a:ext uri="{FF2B5EF4-FFF2-40B4-BE49-F238E27FC236}">
              <a16:creationId xmlns:a16="http://schemas.microsoft.com/office/drawing/2014/main" id="{00000000-0008-0000-0000-000007000000}"/>
            </a:ext>
          </a:extLst>
        </xdr:cNvPr>
        <xdr:cNvSpPr txBox="1"/>
      </xdr:nvSpPr>
      <xdr:spPr>
        <a:xfrm>
          <a:off x="8267700" y="34632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1895" name="TextBox 1894">
          <a:extLst>
            <a:ext uri="{FF2B5EF4-FFF2-40B4-BE49-F238E27FC236}">
              <a16:creationId xmlns:a16="http://schemas.microsoft.com/office/drawing/2014/main" id="{00000000-0008-0000-0000-000007000000}"/>
            </a:ext>
          </a:extLst>
        </xdr:cNvPr>
        <xdr:cNvSpPr txBox="1"/>
      </xdr:nvSpPr>
      <xdr:spPr>
        <a:xfrm>
          <a:off x="8267700" y="34632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1896" name="TextBox 1895">
          <a:extLst>
            <a:ext uri="{FF2B5EF4-FFF2-40B4-BE49-F238E27FC236}">
              <a16:creationId xmlns:a16="http://schemas.microsoft.com/office/drawing/2014/main" id="{00000000-0008-0000-0000-000007000000}"/>
            </a:ext>
          </a:extLst>
        </xdr:cNvPr>
        <xdr:cNvSpPr txBox="1"/>
      </xdr:nvSpPr>
      <xdr:spPr>
        <a:xfrm>
          <a:off x="8267700" y="34632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1897" name="TextBox 1896">
          <a:extLst>
            <a:ext uri="{FF2B5EF4-FFF2-40B4-BE49-F238E27FC236}">
              <a16:creationId xmlns:a16="http://schemas.microsoft.com/office/drawing/2014/main" id="{00000000-0008-0000-0000-000007000000}"/>
            </a:ext>
          </a:extLst>
        </xdr:cNvPr>
        <xdr:cNvSpPr txBox="1"/>
      </xdr:nvSpPr>
      <xdr:spPr>
        <a:xfrm>
          <a:off x="8267700" y="34632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1898" name="TextBox 1897">
          <a:extLst>
            <a:ext uri="{FF2B5EF4-FFF2-40B4-BE49-F238E27FC236}">
              <a16:creationId xmlns:a16="http://schemas.microsoft.com/office/drawing/2014/main" id="{00000000-0008-0000-0000-000007000000}"/>
            </a:ext>
          </a:extLst>
        </xdr:cNvPr>
        <xdr:cNvSpPr txBox="1"/>
      </xdr:nvSpPr>
      <xdr:spPr>
        <a:xfrm>
          <a:off x="8267700" y="34632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1899" name="TextBox 1898">
          <a:extLst>
            <a:ext uri="{FF2B5EF4-FFF2-40B4-BE49-F238E27FC236}">
              <a16:creationId xmlns:a16="http://schemas.microsoft.com/office/drawing/2014/main" id="{00000000-0008-0000-0000-000007000000}"/>
            </a:ext>
          </a:extLst>
        </xdr:cNvPr>
        <xdr:cNvSpPr txBox="1"/>
      </xdr:nvSpPr>
      <xdr:spPr>
        <a:xfrm>
          <a:off x="8267700" y="34632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1900" name="TextBox 1899">
          <a:extLst>
            <a:ext uri="{FF2B5EF4-FFF2-40B4-BE49-F238E27FC236}">
              <a16:creationId xmlns:a16="http://schemas.microsoft.com/office/drawing/2014/main" id="{00000000-0008-0000-0000-000007000000}"/>
            </a:ext>
          </a:extLst>
        </xdr:cNvPr>
        <xdr:cNvSpPr txBox="1"/>
      </xdr:nvSpPr>
      <xdr:spPr>
        <a:xfrm>
          <a:off x="8267700" y="34632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1901" name="TextBox 1900">
          <a:extLst>
            <a:ext uri="{FF2B5EF4-FFF2-40B4-BE49-F238E27FC236}">
              <a16:creationId xmlns:a16="http://schemas.microsoft.com/office/drawing/2014/main" id="{00000000-0008-0000-0000-000007000000}"/>
            </a:ext>
          </a:extLst>
        </xdr:cNvPr>
        <xdr:cNvSpPr txBox="1"/>
      </xdr:nvSpPr>
      <xdr:spPr>
        <a:xfrm>
          <a:off x="8267700" y="34632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1902" name="TextBox 1901">
          <a:extLst>
            <a:ext uri="{FF2B5EF4-FFF2-40B4-BE49-F238E27FC236}">
              <a16:creationId xmlns:a16="http://schemas.microsoft.com/office/drawing/2014/main" id="{00000000-0008-0000-0000-000007000000}"/>
            </a:ext>
          </a:extLst>
        </xdr:cNvPr>
        <xdr:cNvSpPr txBox="1"/>
      </xdr:nvSpPr>
      <xdr:spPr>
        <a:xfrm>
          <a:off x="8267700" y="34632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1903" name="TextBox 1902">
          <a:extLst>
            <a:ext uri="{FF2B5EF4-FFF2-40B4-BE49-F238E27FC236}">
              <a16:creationId xmlns:a16="http://schemas.microsoft.com/office/drawing/2014/main" id="{00000000-0008-0000-0000-000007000000}"/>
            </a:ext>
          </a:extLst>
        </xdr:cNvPr>
        <xdr:cNvSpPr txBox="1"/>
      </xdr:nvSpPr>
      <xdr:spPr>
        <a:xfrm>
          <a:off x="8267700" y="34632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1904" name="TextBox 1903">
          <a:extLst>
            <a:ext uri="{FF2B5EF4-FFF2-40B4-BE49-F238E27FC236}">
              <a16:creationId xmlns:a16="http://schemas.microsoft.com/office/drawing/2014/main" id="{00000000-0008-0000-0000-000007000000}"/>
            </a:ext>
          </a:extLst>
        </xdr:cNvPr>
        <xdr:cNvSpPr txBox="1"/>
      </xdr:nvSpPr>
      <xdr:spPr>
        <a:xfrm>
          <a:off x="8267700" y="34632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1905" name="TextBox 1904">
          <a:extLst>
            <a:ext uri="{FF2B5EF4-FFF2-40B4-BE49-F238E27FC236}">
              <a16:creationId xmlns:a16="http://schemas.microsoft.com/office/drawing/2014/main" id="{00000000-0008-0000-0000-000007000000}"/>
            </a:ext>
          </a:extLst>
        </xdr:cNvPr>
        <xdr:cNvSpPr txBox="1"/>
      </xdr:nvSpPr>
      <xdr:spPr>
        <a:xfrm>
          <a:off x="8267700" y="34632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1906" name="TextBox 1905">
          <a:extLst>
            <a:ext uri="{FF2B5EF4-FFF2-40B4-BE49-F238E27FC236}">
              <a16:creationId xmlns:a16="http://schemas.microsoft.com/office/drawing/2014/main" id="{00000000-0008-0000-0000-000007000000}"/>
            </a:ext>
          </a:extLst>
        </xdr:cNvPr>
        <xdr:cNvSpPr txBox="1"/>
      </xdr:nvSpPr>
      <xdr:spPr>
        <a:xfrm>
          <a:off x="8267700" y="34632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1907" name="TextBox 1906">
          <a:extLst>
            <a:ext uri="{FF2B5EF4-FFF2-40B4-BE49-F238E27FC236}">
              <a16:creationId xmlns:a16="http://schemas.microsoft.com/office/drawing/2014/main" id="{00000000-0008-0000-0000-000007000000}"/>
            </a:ext>
          </a:extLst>
        </xdr:cNvPr>
        <xdr:cNvSpPr txBox="1"/>
      </xdr:nvSpPr>
      <xdr:spPr>
        <a:xfrm>
          <a:off x="8267700" y="34632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1908" name="TextBox 1907">
          <a:extLst>
            <a:ext uri="{FF2B5EF4-FFF2-40B4-BE49-F238E27FC236}">
              <a16:creationId xmlns:a16="http://schemas.microsoft.com/office/drawing/2014/main" id="{00000000-0008-0000-0000-000007000000}"/>
            </a:ext>
          </a:extLst>
        </xdr:cNvPr>
        <xdr:cNvSpPr txBox="1"/>
      </xdr:nvSpPr>
      <xdr:spPr>
        <a:xfrm>
          <a:off x="8267700" y="34632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1909" name="TextBox 1908">
          <a:extLst>
            <a:ext uri="{FF2B5EF4-FFF2-40B4-BE49-F238E27FC236}">
              <a16:creationId xmlns:a16="http://schemas.microsoft.com/office/drawing/2014/main" id="{00000000-0008-0000-0000-000007000000}"/>
            </a:ext>
          </a:extLst>
        </xdr:cNvPr>
        <xdr:cNvSpPr txBox="1"/>
      </xdr:nvSpPr>
      <xdr:spPr>
        <a:xfrm>
          <a:off x="8267700" y="34632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1910" name="TextBox 1909">
          <a:extLst>
            <a:ext uri="{FF2B5EF4-FFF2-40B4-BE49-F238E27FC236}">
              <a16:creationId xmlns:a16="http://schemas.microsoft.com/office/drawing/2014/main" id="{00000000-0008-0000-0000-000007000000}"/>
            </a:ext>
          </a:extLst>
        </xdr:cNvPr>
        <xdr:cNvSpPr txBox="1"/>
      </xdr:nvSpPr>
      <xdr:spPr>
        <a:xfrm>
          <a:off x="8267700" y="34632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1911" name="TextBox 1910">
          <a:extLst>
            <a:ext uri="{FF2B5EF4-FFF2-40B4-BE49-F238E27FC236}">
              <a16:creationId xmlns:a16="http://schemas.microsoft.com/office/drawing/2014/main" id="{00000000-0008-0000-0000-000007000000}"/>
            </a:ext>
          </a:extLst>
        </xdr:cNvPr>
        <xdr:cNvSpPr txBox="1"/>
      </xdr:nvSpPr>
      <xdr:spPr>
        <a:xfrm>
          <a:off x="8267700" y="34632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1912" name="TextBox 1911">
          <a:extLst>
            <a:ext uri="{FF2B5EF4-FFF2-40B4-BE49-F238E27FC236}">
              <a16:creationId xmlns:a16="http://schemas.microsoft.com/office/drawing/2014/main" id="{00000000-0008-0000-0000-000007000000}"/>
            </a:ext>
          </a:extLst>
        </xdr:cNvPr>
        <xdr:cNvSpPr txBox="1"/>
      </xdr:nvSpPr>
      <xdr:spPr>
        <a:xfrm>
          <a:off x="8267700" y="34632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1913" name="TextBox 1912">
          <a:extLst>
            <a:ext uri="{FF2B5EF4-FFF2-40B4-BE49-F238E27FC236}">
              <a16:creationId xmlns:a16="http://schemas.microsoft.com/office/drawing/2014/main" id="{00000000-0008-0000-0000-000007000000}"/>
            </a:ext>
          </a:extLst>
        </xdr:cNvPr>
        <xdr:cNvSpPr txBox="1"/>
      </xdr:nvSpPr>
      <xdr:spPr>
        <a:xfrm>
          <a:off x="8267700" y="34632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1914" name="TextBox 1913">
          <a:extLst>
            <a:ext uri="{FF2B5EF4-FFF2-40B4-BE49-F238E27FC236}">
              <a16:creationId xmlns:a16="http://schemas.microsoft.com/office/drawing/2014/main" id="{00000000-0008-0000-0000-000007000000}"/>
            </a:ext>
          </a:extLst>
        </xdr:cNvPr>
        <xdr:cNvSpPr txBox="1"/>
      </xdr:nvSpPr>
      <xdr:spPr>
        <a:xfrm>
          <a:off x="8267700" y="34632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1915" name="TextBox 1914">
          <a:extLst>
            <a:ext uri="{FF2B5EF4-FFF2-40B4-BE49-F238E27FC236}">
              <a16:creationId xmlns:a16="http://schemas.microsoft.com/office/drawing/2014/main" id="{00000000-0008-0000-0000-000007000000}"/>
            </a:ext>
          </a:extLst>
        </xdr:cNvPr>
        <xdr:cNvSpPr txBox="1"/>
      </xdr:nvSpPr>
      <xdr:spPr>
        <a:xfrm>
          <a:off x="12138660" y="34632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1916" name="TextBox 1915">
          <a:extLst>
            <a:ext uri="{FF2B5EF4-FFF2-40B4-BE49-F238E27FC236}">
              <a16:creationId xmlns:a16="http://schemas.microsoft.com/office/drawing/2014/main" id="{00000000-0008-0000-0000-000007000000}"/>
            </a:ext>
          </a:extLst>
        </xdr:cNvPr>
        <xdr:cNvSpPr txBox="1"/>
      </xdr:nvSpPr>
      <xdr:spPr>
        <a:xfrm>
          <a:off x="12138660" y="34632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1917" name="TextBox 1916">
          <a:extLst>
            <a:ext uri="{FF2B5EF4-FFF2-40B4-BE49-F238E27FC236}">
              <a16:creationId xmlns:a16="http://schemas.microsoft.com/office/drawing/2014/main" id="{00000000-0008-0000-0000-000007000000}"/>
            </a:ext>
          </a:extLst>
        </xdr:cNvPr>
        <xdr:cNvSpPr txBox="1"/>
      </xdr:nvSpPr>
      <xdr:spPr>
        <a:xfrm>
          <a:off x="12138660" y="34632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1918" name="TextBox 1917">
          <a:extLst>
            <a:ext uri="{FF2B5EF4-FFF2-40B4-BE49-F238E27FC236}">
              <a16:creationId xmlns:a16="http://schemas.microsoft.com/office/drawing/2014/main" id="{00000000-0008-0000-0000-000007000000}"/>
            </a:ext>
          </a:extLst>
        </xdr:cNvPr>
        <xdr:cNvSpPr txBox="1"/>
      </xdr:nvSpPr>
      <xdr:spPr>
        <a:xfrm>
          <a:off x="12138660" y="34632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1919" name="TextBox 1918">
          <a:extLst>
            <a:ext uri="{FF2B5EF4-FFF2-40B4-BE49-F238E27FC236}">
              <a16:creationId xmlns:a16="http://schemas.microsoft.com/office/drawing/2014/main" id="{00000000-0008-0000-0000-000007000000}"/>
            </a:ext>
          </a:extLst>
        </xdr:cNvPr>
        <xdr:cNvSpPr txBox="1"/>
      </xdr:nvSpPr>
      <xdr:spPr>
        <a:xfrm>
          <a:off x="12138660" y="34632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1920" name="TextBox 1919">
          <a:extLst>
            <a:ext uri="{FF2B5EF4-FFF2-40B4-BE49-F238E27FC236}">
              <a16:creationId xmlns:a16="http://schemas.microsoft.com/office/drawing/2014/main" id="{00000000-0008-0000-0000-000007000000}"/>
            </a:ext>
          </a:extLst>
        </xdr:cNvPr>
        <xdr:cNvSpPr txBox="1"/>
      </xdr:nvSpPr>
      <xdr:spPr>
        <a:xfrm>
          <a:off x="12138660" y="34632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1921" name="TextBox 1920">
          <a:extLst>
            <a:ext uri="{FF2B5EF4-FFF2-40B4-BE49-F238E27FC236}">
              <a16:creationId xmlns:a16="http://schemas.microsoft.com/office/drawing/2014/main" id="{00000000-0008-0000-0000-000007000000}"/>
            </a:ext>
          </a:extLst>
        </xdr:cNvPr>
        <xdr:cNvSpPr txBox="1"/>
      </xdr:nvSpPr>
      <xdr:spPr>
        <a:xfrm>
          <a:off x="12138660" y="34632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1922" name="TextBox 1921">
          <a:extLst>
            <a:ext uri="{FF2B5EF4-FFF2-40B4-BE49-F238E27FC236}">
              <a16:creationId xmlns:a16="http://schemas.microsoft.com/office/drawing/2014/main" id="{00000000-0008-0000-0000-000007000000}"/>
            </a:ext>
          </a:extLst>
        </xdr:cNvPr>
        <xdr:cNvSpPr txBox="1"/>
      </xdr:nvSpPr>
      <xdr:spPr>
        <a:xfrm>
          <a:off x="12138660" y="34632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1923" name="TextBox 1922">
          <a:extLst>
            <a:ext uri="{FF2B5EF4-FFF2-40B4-BE49-F238E27FC236}">
              <a16:creationId xmlns:a16="http://schemas.microsoft.com/office/drawing/2014/main" id="{00000000-0008-0000-0000-000007000000}"/>
            </a:ext>
          </a:extLst>
        </xdr:cNvPr>
        <xdr:cNvSpPr txBox="1"/>
      </xdr:nvSpPr>
      <xdr:spPr>
        <a:xfrm>
          <a:off x="8267700" y="34815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1924" name="TextBox 1923">
          <a:extLst>
            <a:ext uri="{FF2B5EF4-FFF2-40B4-BE49-F238E27FC236}">
              <a16:creationId xmlns:a16="http://schemas.microsoft.com/office/drawing/2014/main" id="{00000000-0008-0000-0000-000007000000}"/>
            </a:ext>
          </a:extLst>
        </xdr:cNvPr>
        <xdr:cNvSpPr txBox="1"/>
      </xdr:nvSpPr>
      <xdr:spPr>
        <a:xfrm>
          <a:off x="8267700" y="34815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1925" name="TextBox 1924">
          <a:extLst>
            <a:ext uri="{FF2B5EF4-FFF2-40B4-BE49-F238E27FC236}">
              <a16:creationId xmlns:a16="http://schemas.microsoft.com/office/drawing/2014/main" id="{00000000-0008-0000-0000-000007000000}"/>
            </a:ext>
          </a:extLst>
        </xdr:cNvPr>
        <xdr:cNvSpPr txBox="1"/>
      </xdr:nvSpPr>
      <xdr:spPr>
        <a:xfrm>
          <a:off x="8267700" y="34815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1926" name="TextBox 1925">
          <a:extLst>
            <a:ext uri="{FF2B5EF4-FFF2-40B4-BE49-F238E27FC236}">
              <a16:creationId xmlns:a16="http://schemas.microsoft.com/office/drawing/2014/main" id="{00000000-0008-0000-0000-000007000000}"/>
            </a:ext>
          </a:extLst>
        </xdr:cNvPr>
        <xdr:cNvSpPr txBox="1"/>
      </xdr:nvSpPr>
      <xdr:spPr>
        <a:xfrm>
          <a:off x="8267700" y="34815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1927" name="TextBox 1926">
          <a:extLst>
            <a:ext uri="{FF2B5EF4-FFF2-40B4-BE49-F238E27FC236}">
              <a16:creationId xmlns:a16="http://schemas.microsoft.com/office/drawing/2014/main" id="{00000000-0008-0000-0000-000007000000}"/>
            </a:ext>
          </a:extLst>
        </xdr:cNvPr>
        <xdr:cNvSpPr txBox="1"/>
      </xdr:nvSpPr>
      <xdr:spPr>
        <a:xfrm>
          <a:off x="8267700" y="34815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1928" name="TextBox 1927">
          <a:extLst>
            <a:ext uri="{FF2B5EF4-FFF2-40B4-BE49-F238E27FC236}">
              <a16:creationId xmlns:a16="http://schemas.microsoft.com/office/drawing/2014/main" id="{00000000-0008-0000-0000-000007000000}"/>
            </a:ext>
          </a:extLst>
        </xdr:cNvPr>
        <xdr:cNvSpPr txBox="1"/>
      </xdr:nvSpPr>
      <xdr:spPr>
        <a:xfrm>
          <a:off x="8267700" y="34815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1929" name="TextBox 1928">
          <a:extLst>
            <a:ext uri="{FF2B5EF4-FFF2-40B4-BE49-F238E27FC236}">
              <a16:creationId xmlns:a16="http://schemas.microsoft.com/office/drawing/2014/main" id="{00000000-0008-0000-0000-000007000000}"/>
            </a:ext>
          </a:extLst>
        </xdr:cNvPr>
        <xdr:cNvSpPr txBox="1"/>
      </xdr:nvSpPr>
      <xdr:spPr>
        <a:xfrm>
          <a:off x="8267700" y="34815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1930" name="TextBox 1929">
          <a:extLst>
            <a:ext uri="{FF2B5EF4-FFF2-40B4-BE49-F238E27FC236}">
              <a16:creationId xmlns:a16="http://schemas.microsoft.com/office/drawing/2014/main" id="{00000000-0008-0000-0000-000007000000}"/>
            </a:ext>
          </a:extLst>
        </xdr:cNvPr>
        <xdr:cNvSpPr txBox="1"/>
      </xdr:nvSpPr>
      <xdr:spPr>
        <a:xfrm>
          <a:off x="8267700" y="34815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1931" name="TextBox 1930">
          <a:extLst>
            <a:ext uri="{FF2B5EF4-FFF2-40B4-BE49-F238E27FC236}">
              <a16:creationId xmlns:a16="http://schemas.microsoft.com/office/drawing/2014/main" id="{00000000-0008-0000-0000-000007000000}"/>
            </a:ext>
          </a:extLst>
        </xdr:cNvPr>
        <xdr:cNvSpPr txBox="1"/>
      </xdr:nvSpPr>
      <xdr:spPr>
        <a:xfrm>
          <a:off x="8267700" y="34815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1932" name="TextBox 1931">
          <a:extLst>
            <a:ext uri="{FF2B5EF4-FFF2-40B4-BE49-F238E27FC236}">
              <a16:creationId xmlns:a16="http://schemas.microsoft.com/office/drawing/2014/main" id="{00000000-0008-0000-0000-000007000000}"/>
            </a:ext>
          </a:extLst>
        </xdr:cNvPr>
        <xdr:cNvSpPr txBox="1"/>
      </xdr:nvSpPr>
      <xdr:spPr>
        <a:xfrm>
          <a:off x="8267700" y="34815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1933" name="TextBox 1932">
          <a:extLst>
            <a:ext uri="{FF2B5EF4-FFF2-40B4-BE49-F238E27FC236}">
              <a16:creationId xmlns:a16="http://schemas.microsoft.com/office/drawing/2014/main" id="{00000000-0008-0000-0000-000007000000}"/>
            </a:ext>
          </a:extLst>
        </xdr:cNvPr>
        <xdr:cNvSpPr txBox="1"/>
      </xdr:nvSpPr>
      <xdr:spPr>
        <a:xfrm>
          <a:off x="8267700" y="34815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1934" name="TextBox 1933">
          <a:extLst>
            <a:ext uri="{FF2B5EF4-FFF2-40B4-BE49-F238E27FC236}">
              <a16:creationId xmlns:a16="http://schemas.microsoft.com/office/drawing/2014/main" id="{00000000-0008-0000-0000-000007000000}"/>
            </a:ext>
          </a:extLst>
        </xdr:cNvPr>
        <xdr:cNvSpPr txBox="1"/>
      </xdr:nvSpPr>
      <xdr:spPr>
        <a:xfrm>
          <a:off x="8267700" y="34815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1935" name="TextBox 1934">
          <a:extLst>
            <a:ext uri="{FF2B5EF4-FFF2-40B4-BE49-F238E27FC236}">
              <a16:creationId xmlns:a16="http://schemas.microsoft.com/office/drawing/2014/main" id="{00000000-0008-0000-0000-000007000000}"/>
            </a:ext>
          </a:extLst>
        </xdr:cNvPr>
        <xdr:cNvSpPr txBox="1"/>
      </xdr:nvSpPr>
      <xdr:spPr>
        <a:xfrm>
          <a:off x="8267700" y="34815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1936" name="TextBox 1935">
          <a:extLst>
            <a:ext uri="{FF2B5EF4-FFF2-40B4-BE49-F238E27FC236}">
              <a16:creationId xmlns:a16="http://schemas.microsoft.com/office/drawing/2014/main" id="{00000000-0008-0000-0000-000007000000}"/>
            </a:ext>
          </a:extLst>
        </xdr:cNvPr>
        <xdr:cNvSpPr txBox="1"/>
      </xdr:nvSpPr>
      <xdr:spPr>
        <a:xfrm>
          <a:off x="8267700" y="34815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1937" name="TextBox 1936">
          <a:extLst>
            <a:ext uri="{FF2B5EF4-FFF2-40B4-BE49-F238E27FC236}">
              <a16:creationId xmlns:a16="http://schemas.microsoft.com/office/drawing/2014/main" id="{00000000-0008-0000-0000-000007000000}"/>
            </a:ext>
          </a:extLst>
        </xdr:cNvPr>
        <xdr:cNvSpPr txBox="1"/>
      </xdr:nvSpPr>
      <xdr:spPr>
        <a:xfrm>
          <a:off x="8267700" y="34815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1938" name="TextBox 1937">
          <a:extLst>
            <a:ext uri="{FF2B5EF4-FFF2-40B4-BE49-F238E27FC236}">
              <a16:creationId xmlns:a16="http://schemas.microsoft.com/office/drawing/2014/main" id="{00000000-0008-0000-0000-000007000000}"/>
            </a:ext>
          </a:extLst>
        </xdr:cNvPr>
        <xdr:cNvSpPr txBox="1"/>
      </xdr:nvSpPr>
      <xdr:spPr>
        <a:xfrm>
          <a:off x="8267700" y="34815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1939" name="TextBox 1938">
          <a:extLst>
            <a:ext uri="{FF2B5EF4-FFF2-40B4-BE49-F238E27FC236}">
              <a16:creationId xmlns:a16="http://schemas.microsoft.com/office/drawing/2014/main" id="{00000000-0008-0000-0000-000007000000}"/>
            </a:ext>
          </a:extLst>
        </xdr:cNvPr>
        <xdr:cNvSpPr txBox="1"/>
      </xdr:nvSpPr>
      <xdr:spPr>
        <a:xfrm>
          <a:off x="8267700" y="34815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1940" name="TextBox 1939">
          <a:extLst>
            <a:ext uri="{FF2B5EF4-FFF2-40B4-BE49-F238E27FC236}">
              <a16:creationId xmlns:a16="http://schemas.microsoft.com/office/drawing/2014/main" id="{00000000-0008-0000-0000-000007000000}"/>
            </a:ext>
          </a:extLst>
        </xdr:cNvPr>
        <xdr:cNvSpPr txBox="1"/>
      </xdr:nvSpPr>
      <xdr:spPr>
        <a:xfrm>
          <a:off x="8267700" y="34815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1941" name="TextBox 1940">
          <a:extLst>
            <a:ext uri="{FF2B5EF4-FFF2-40B4-BE49-F238E27FC236}">
              <a16:creationId xmlns:a16="http://schemas.microsoft.com/office/drawing/2014/main" id="{00000000-0008-0000-0000-000007000000}"/>
            </a:ext>
          </a:extLst>
        </xdr:cNvPr>
        <xdr:cNvSpPr txBox="1"/>
      </xdr:nvSpPr>
      <xdr:spPr>
        <a:xfrm>
          <a:off x="8267700" y="34815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1942" name="TextBox 1941">
          <a:extLst>
            <a:ext uri="{FF2B5EF4-FFF2-40B4-BE49-F238E27FC236}">
              <a16:creationId xmlns:a16="http://schemas.microsoft.com/office/drawing/2014/main" id="{00000000-0008-0000-0000-000007000000}"/>
            </a:ext>
          </a:extLst>
        </xdr:cNvPr>
        <xdr:cNvSpPr txBox="1"/>
      </xdr:nvSpPr>
      <xdr:spPr>
        <a:xfrm>
          <a:off x="8267700" y="34815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1943" name="TextBox 1942">
          <a:extLst>
            <a:ext uri="{FF2B5EF4-FFF2-40B4-BE49-F238E27FC236}">
              <a16:creationId xmlns:a16="http://schemas.microsoft.com/office/drawing/2014/main" id="{00000000-0008-0000-0000-000007000000}"/>
            </a:ext>
          </a:extLst>
        </xdr:cNvPr>
        <xdr:cNvSpPr txBox="1"/>
      </xdr:nvSpPr>
      <xdr:spPr>
        <a:xfrm>
          <a:off x="8267700" y="34815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1944" name="TextBox 1943">
          <a:extLst>
            <a:ext uri="{FF2B5EF4-FFF2-40B4-BE49-F238E27FC236}">
              <a16:creationId xmlns:a16="http://schemas.microsoft.com/office/drawing/2014/main" id="{00000000-0008-0000-0000-000007000000}"/>
            </a:ext>
          </a:extLst>
        </xdr:cNvPr>
        <xdr:cNvSpPr txBox="1"/>
      </xdr:nvSpPr>
      <xdr:spPr>
        <a:xfrm>
          <a:off x="8267700" y="34815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1945" name="TextBox 1944">
          <a:extLst>
            <a:ext uri="{FF2B5EF4-FFF2-40B4-BE49-F238E27FC236}">
              <a16:creationId xmlns:a16="http://schemas.microsoft.com/office/drawing/2014/main" id="{00000000-0008-0000-0000-000007000000}"/>
            </a:ext>
          </a:extLst>
        </xdr:cNvPr>
        <xdr:cNvSpPr txBox="1"/>
      </xdr:nvSpPr>
      <xdr:spPr>
        <a:xfrm>
          <a:off x="8267700" y="34815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1946" name="TextBox 1945">
          <a:extLst>
            <a:ext uri="{FF2B5EF4-FFF2-40B4-BE49-F238E27FC236}">
              <a16:creationId xmlns:a16="http://schemas.microsoft.com/office/drawing/2014/main" id="{00000000-0008-0000-0000-000007000000}"/>
            </a:ext>
          </a:extLst>
        </xdr:cNvPr>
        <xdr:cNvSpPr txBox="1"/>
      </xdr:nvSpPr>
      <xdr:spPr>
        <a:xfrm>
          <a:off x="8267700" y="34815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1947" name="TextBox 1946">
          <a:extLst>
            <a:ext uri="{FF2B5EF4-FFF2-40B4-BE49-F238E27FC236}">
              <a16:creationId xmlns:a16="http://schemas.microsoft.com/office/drawing/2014/main" id="{00000000-0008-0000-0000-000007000000}"/>
            </a:ext>
          </a:extLst>
        </xdr:cNvPr>
        <xdr:cNvSpPr txBox="1"/>
      </xdr:nvSpPr>
      <xdr:spPr>
        <a:xfrm>
          <a:off x="8267700" y="34815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1948" name="TextBox 1947">
          <a:extLst>
            <a:ext uri="{FF2B5EF4-FFF2-40B4-BE49-F238E27FC236}">
              <a16:creationId xmlns:a16="http://schemas.microsoft.com/office/drawing/2014/main" id="{00000000-0008-0000-0000-000007000000}"/>
            </a:ext>
          </a:extLst>
        </xdr:cNvPr>
        <xdr:cNvSpPr txBox="1"/>
      </xdr:nvSpPr>
      <xdr:spPr>
        <a:xfrm>
          <a:off x="8267700" y="34815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1949" name="TextBox 1948">
          <a:extLst>
            <a:ext uri="{FF2B5EF4-FFF2-40B4-BE49-F238E27FC236}">
              <a16:creationId xmlns:a16="http://schemas.microsoft.com/office/drawing/2014/main" id="{00000000-0008-0000-0000-000007000000}"/>
            </a:ext>
          </a:extLst>
        </xdr:cNvPr>
        <xdr:cNvSpPr txBox="1"/>
      </xdr:nvSpPr>
      <xdr:spPr>
        <a:xfrm>
          <a:off x="8267700" y="34815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1950" name="TextBox 1949">
          <a:extLst>
            <a:ext uri="{FF2B5EF4-FFF2-40B4-BE49-F238E27FC236}">
              <a16:creationId xmlns:a16="http://schemas.microsoft.com/office/drawing/2014/main" id="{00000000-0008-0000-0000-000007000000}"/>
            </a:ext>
          </a:extLst>
        </xdr:cNvPr>
        <xdr:cNvSpPr txBox="1"/>
      </xdr:nvSpPr>
      <xdr:spPr>
        <a:xfrm>
          <a:off x="8267700" y="34815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1951" name="TextBox 1950">
          <a:extLst>
            <a:ext uri="{FF2B5EF4-FFF2-40B4-BE49-F238E27FC236}">
              <a16:creationId xmlns:a16="http://schemas.microsoft.com/office/drawing/2014/main" id="{00000000-0008-0000-0000-000007000000}"/>
            </a:ext>
          </a:extLst>
        </xdr:cNvPr>
        <xdr:cNvSpPr txBox="1"/>
      </xdr:nvSpPr>
      <xdr:spPr>
        <a:xfrm>
          <a:off x="8267700" y="34815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1952" name="TextBox 1951">
          <a:extLst>
            <a:ext uri="{FF2B5EF4-FFF2-40B4-BE49-F238E27FC236}">
              <a16:creationId xmlns:a16="http://schemas.microsoft.com/office/drawing/2014/main" id="{00000000-0008-0000-0000-000007000000}"/>
            </a:ext>
          </a:extLst>
        </xdr:cNvPr>
        <xdr:cNvSpPr txBox="1"/>
      </xdr:nvSpPr>
      <xdr:spPr>
        <a:xfrm>
          <a:off x="8267700" y="34815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1953" name="TextBox 1952">
          <a:extLst>
            <a:ext uri="{FF2B5EF4-FFF2-40B4-BE49-F238E27FC236}">
              <a16:creationId xmlns:a16="http://schemas.microsoft.com/office/drawing/2014/main" id="{00000000-0008-0000-0000-000007000000}"/>
            </a:ext>
          </a:extLst>
        </xdr:cNvPr>
        <xdr:cNvSpPr txBox="1"/>
      </xdr:nvSpPr>
      <xdr:spPr>
        <a:xfrm>
          <a:off x="8267700" y="34815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1954" name="TextBox 1953">
          <a:extLst>
            <a:ext uri="{FF2B5EF4-FFF2-40B4-BE49-F238E27FC236}">
              <a16:creationId xmlns:a16="http://schemas.microsoft.com/office/drawing/2014/main" id="{00000000-0008-0000-0000-000007000000}"/>
            </a:ext>
          </a:extLst>
        </xdr:cNvPr>
        <xdr:cNvSpPr txBox="1"/>
      </xdr:nvSpPr>
      <xdr:spPr>
        <a:xfrm>
          <a:off x="8267700" y="34815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1955" name="TextBox 1954">
          <a:extLst>
            <a:ext uri="{FF2B5EF4-FFF2-40B4-BE49-F238E27FC236}">
              <a16:creationId xmlns:a16="http://schemas.microsoft.com/office/drawing/2014/main" id="{00000000-0008-0000-0000-000007000000}"/>
            </a:ext>
          </a:extLst>
        </xdr:cNvPr>
        <xdr:cNvSpPr txBox="1"/>
      </xdr:nvSpPr>
      <xdr:spPr>
        <a:xfrm>
          <a:off x="8267700" y="34815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1956" name="TextBox 1955">
          <a:extLst>
            <a:ext uri="{FF2B5EF4-FFF2-40B4-BE49-F238E27FC236}">
              <a16:creationId xmlns:a16="http://schemas.microsoft.com/office/drawing/2014/main" id="{00000000-0008-0000-0000-000007000000}"/>
            </a:ext>
          </a:extLst>
        </xdr:cNvPr>
        <xdr:cNvSpPr txBox="1"/>
      </xdr:nvSpPr>
      <xdr:spPr>
        <a:xfrm>
          <a:off x="8267700" y="34815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1957" name="TextBox 1956">
          <a:extLst>
            <a:ext uri="{FF2B5EF4-FFF2-40B4-BE49-F238E27FC236}">
              <a16:creationId xmlns:a16="http://schemas.microsoft.com/office/drawing/2014/main" id="{00000000-0008-0000-0000-000007000000}"/>
            </a:ext>
          </a:extLst>
        </xdr:cNvPr>
        <xdr:cNvSpPr txBox="1"/>
      </xdr:nvSpPr>
      <xdr:spPr>
        <a:xfrm>
          <a:off x="8267700" y="34815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1958" name="TextBox 1957">
          <a:extLst>
            <a:ext uri="{FF2B5EF4-FFF2-40B4-BE49-F238E27FC236}">
              <a16:creationId xmlns:a16="http://schemas.microsoft.com/office/drawing/2014/main" id="{00000000-0008-0000-0000-000007000000}"/>
            </a:ext>
          </a:extLst>
        </xdr:cNvPr>
        <xdr:cNvSpPr txBox="1"/>
      </xdr:nvSpPr>
      <xdr:spPr>
        <a:xfrm>
          <a:off x="8267700" y="34815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1959" name="TextBox 1958">
          <a:extLst>
            <a:ext uri="{FF2B5EF4-FFF2-40B4-BE49-F238E27FC236}">
              <a16:creationId xmlns:a16="http://schemas.microsoft.com/office/drawing/2014/main" id="{00000000-0008-0000-0000-000007000000}"/>
            </a:ext>
          </a:extLst>
        </xdr:cNvPr>
        <xdr:cNvSpPr txBox="1"/>
      </xdr:nvSpPr>
      <xdr:spPr>
        <a:xfrm>
          <a:off x="8267700" y="34815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1960" name="TextBox 1959">
          <a:extLst>
            <a:ext uri="{FF2B5EF4-FFF2-40B4-BE49-F238E27FC236}">
              <a16:creationId xmlns:a16="http://schemas.microsoft.com/office/drawing/2014/main" id="{00000000-0008-0000-0000-000007000000}"/>
            </a:ext>
          </a:extLst>
        </xdr:cNvPr>
        <xdr:cNvSpPr txBox="1"/>
      </xdr:nvSpPr>
      <xdr:spPr>
        <a:xfrm>
          <a:off x="8267700" y="34815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1961" name="TextBox 1960">
          <a:extLst>
            <a:ext uri="{FF2B5EF4-FFF2-40B4-BE49-F238E27FC236}">
              <a16:creationId xmlns:a16="http://schemas.microsoft.com/office/drawing/2014/main" id="{00000000-0008-0000-0000-000007000000}"/>
            </a:ext>
          </a:extLst>
        </xdr:cNvPr>
        <xdr:cNvSpPr txBox="1"/>
      </xdr:nvSpPr>
      <xdr:spPr>
        <a:xfrm>
          <a:off x="8267700" y="34815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1962" name="TextBox 1961">
          <a:extLst>
            <a:ext uri="{FF2B5EF4-FFF2-40B4-BE49-F238E27FC236}">
              <a16:creationId xmlns:a16="http://schemas.microsoft.com/office/drawing/2014/main" id="{00000000-0008-0000-0000-000007000000}"/>
            </a:ext>
          </a:extLst>
        </xdr:cNvPr>
        <xdr:cNvSpPr txBox="1"/>
      </xdr:nvSpPr>
      <xdr:spPr>
        <a:xfrm>
          <a:off x="8267700" y="34815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1963" name="TextBox 1962">
          <a:extLst>
            <a:ext uri="{FF2B5EF4-FFF2-40B4-BE49-F238E27FC236}">
              <a16:creationId xmlns:a16="http://schemas.microsoft.com/office/drawing/2014/main" id="{00000000-0008-0000-0000-000007000000}"/>
            </a:ext>
          </a:extLst>
        </xdr:cNvPr>
        <xdr:cNvSpPr txBox="1"/>
      </xdr:nvSpPr>
      <xdr:spPr>
        <a:xfrm>
          <a:off x="8267700" y="34815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1964" name="TextBox 1963">
          <a:extLst>
            <a:ext uri="{FF2B5EF4-FFF2-40B4-BE49-F238E27FC236}">
              <a16:creationId xmlns:a16="http://schemas.microsoft.com/office/drawing/2014/main" id="{00000000-0008-0000-0000-000007000000}"/>
            </a:ext>
          </a:extLst>
        </xdr:cNvPr>
        <xdr:cNvSpPr txBox="1"/>
      </xdr:nvSpPr>
      <xdr:spPr>
        <a:xfrm>
          <a:off x="8267700" y="34815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1965" name="TextBox 1964">
          <a:extLst>
            <a:ext uri="{FF2B5EF4-FFF2-40B4-BE49-F238E27FC236}">
              <a16:creationId xmlns:a16="http://schemas.microsoft.com/office/drawing/2014/main" id="{00000000-0008-0000-0000-000007000000}"/>
            </a:ext>
          </a:extLst>
        </xdr:cNvPr>
        <xdr:cNvSpPr txBox="1"/>
      </xdr:nvSpPr>
      <xdr:spPr>
        <a:xfrm>
          <a:off x="8267700" y="34815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1966" name="TextBox 1965">
          <a:extLst>
            <a:ext uri="{FF2B5EF4-FFF2-40B4-BE49-F238E27FC236}">
              <a16:creationId xmlns:a16="http://schemas.microsoft.com/office/drawing/2014/main" id="{00000000-0008-0000-0000-000007000000}"/>
            </a:ext>
          </a:extLst>
        </xdr:cNvPr>
        <xdr:cNvSpPr txBox="1"/>
      </xdr:nvSpPr>
      <xdr:spPr>
        <a:xfrm>
          <a:off x="8267700" y="34815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1967" name="TextBox 1966">
          <a:extLst>
            <a:ext uri="{FF2B5EF4-FFF2-40B4-BE49-F238E27FC236}">
              <a16:creationId xmlns:a16="http://schemas.microsoft.com/office/drawing/2014/main" id="{00000000-0008-0000-0000-000007000000}"/>
            </a:ext>
          </a:extLst>
        </xdr:cNvPr>
        <xdr:cNvSpPr txBox="1"/>
      </xdr:nvSpPr>
      <xdr:spPr>
        <a:xfrm>
          <a:off x="8267700" y="34815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1968" name="TextBox 1967">
          <a:extLst>
            <a:ext uri="{FF2B5EF4-FFF2-40B4-BE49-F238E27FC236}">
              <a16:creationId xmlns:a16="http://schemas.microsoft.com/office/drawing/2014/main" id="{00000000-0008-0000-0000-000007000000}"/>
            </a:ext>
          </a:extLst>
        </xdr:cNvPr>
        <xdr:cNvSpPr txBox="1"/>
      </xdr:nvSpPr>
      <xdr:spPr>
        <a:xfrm>
          <a:off x="8267700" y="34815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1969" name="TextBox 1968">
          <a:extLst>
            <a:ext uri="{FF2B5EF4-FFF2-40B4-BE49-F238E27FC236}">
              <a16:creationId xmlns:a16="http://schemas.microsoft.com/office/drawing/2014/main" id="{00000000-0008-0000-0000-000007000000}"/>
            </a:ext>
          </a:extLst>
        </xdr:cNvPr>
        <xdr:cNvSpPr txBox="1"/>
      </xdr:nvSpPr>
      <xdr:spPr>
        <a:xfrm>
          <a:off x="8267700" y="34815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1970" name="TextBox 1969">
          <a:extLst>
            <a:ext uri="{FF2B5EF4-FFF2-40B4-BE49-F238E27FC236}">
              <a16:creationId xmlns:a16="http://schemas.microsoft.com/office/drawing/2014/main" id="{00000000-0008-0000-0000-000007000000}"/>
            </a:ext>
          </a:extLst>
        </xdr:cNvPr>
        <xdr:cNvSpPr txBox="1"/>
      </xdr:nvSpPr>
      <xdr:spPr>
        <a:xfrm>
          <a:off x="8267700" y="34815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1971" name="TextBox 1970">
          <a:extLst>
            <a:ext uri="{FF2B5EF4-FFF2-40B4-BE49-F238E27FC236}">
              <a16:creationId xmlns:a16="http://schemas.microsoft.com/office/drawing/2014/main" id="{00000000-0008-0000-0000-000007000000}"/>
            </a:ext>
          </a:extLst>
        </xdr:cNvPr>
        <xdr:cNvSpPr txBox="1"/>
      </xdr:nvSpPr>
      <xdr:spPr>
        <a:xfrm>
          <a:off x="8267700" y="34815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1972" name="TextBox 1971">
          <a:extLst>
            <a:ext uri="{FF2B5EF4-FFF2-40B4-BE49-F238E27FC236}">
              <a16:creationId xmlns:a16="http://schemas.microsoft.com/office/drawing/2014/main" id="{00000000-0008-0000-0000-000007000000}"/>
            </a:ext>
          </a:extLst>
        </xdr:cNvPr>
        <xdr:cNvSpPr txBox="1"/>
      </xdr:nvSpPr>
      <xdr:spPr>
        <a:xfrm>
          <a:off x="8267700" y="34815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1973" name="TextBox 1972">
          <a:extLst>
            <a:ext uri="{FF2B5EF4-FFF2-40B4-BE49-F238E27FC236}">
              <a16:creationId xmlns:a16="http://schemas.microsoft.com/office/drawing/2014/main" id="{00000000-0008-0000-0000-000007000000}"/>
            </a:ext>
          </a:extLst>
        </xdr:cNvPr>
        <xdr:cNvSpPr txBox="1"/>
      </xdr:nvSpPr>
      <xdr:spPr>
        <a:xfrm>
          <a:off x="8267700" y="34815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1974" name="TextBox 1973">
          <a:extLst>
            <a:ext uri="{FF2B5EF4-FFF2-40B4-BE49-F238E27FC236}">
              <a16:creationId xmlns:a16="http://schemas.microsoft.com/office/drawing/2014/main" id="{00000000-0008-0000-0000-000007000000}"/>
            </a:ext>
          </a:extLst>
        </xdr:cNvPr>
        <xdr:cNvSpPr txBox="1"/>
      </xdr:nvSpPr>
      <xdr:spPr>
        <a:xfrm>
          <a:off x="8267700" y="34815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1975" name="TextBox 1974">
          <a:extLst>
            <a:ext uri="{FF2B5EF4-FFF2-40B4-BE49-F238E27FC236}">
              <a16:creationId xmlns:a16="http://schemas.microsoft.com/office/drawing/2014/main" id="{00000000-0008-0000-0000-000007000000}"/>
            </a:ext>
          </a:extLst>
        </xdr:cNvPr>
        <xdr:cNvSpPr txBox="1"/>
      </xdr:nvSpPr>
      <xdr:spPr>
        <a:xfrm>
          <a:off x="8267700" y="34815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1976" name="TextBox 1975">
          <a:extLst>
            <a:ext uri="{FF2B5EF4-FFF2-40B4-BE49-F238E27FC236}">
              <a16:creationId xmlns:a16="http://schemas.microsoft.com/office/drawing/2014/main" id="{00000000-0008-0000-0000-000007000000}"/>
            </a:ext>
          </a:extLst>
        </xdr:cNvPr>
        <xdr:cNvSpPr txBox="1"/>
      </xdr:nvSpPr>
      <xdr:spPr>
        <a:xfrm>
          <a:off x="8267700" y="34815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1977" name="TextBox 1976">
          <a:extLst>
            <a:ext uri="{FF2B5EF4-FFF2-40B4-BE49-F238E27FC236}">
              <a16:creationId xmlns:a16="http://schemas.microsoft.com/office/drawing/2014/main" id="{00000000-0008-0000-0000-000007000000}"/>
            </a:ext>
          </a:extLst>
        </xdr:cNvPr>
        <xdr:cNvSpPr txBox="1"/>
      </xdr:nvSpPr>
      <xdr:spPr>
        <a:xfrm>
          <a:off x="8267700" y="34815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1978" name="TextBox 1977">
          <a:extLst>
            <a:ext uri="{FF2B5EF4-FFF2-40B4-BE49-F238E27FC236}">
              <a16:creationId xmlns:a16="http://schemas.microsoft.com/office/drawing/2014/main" id="{00000000-0008-0000-0000-000007000000}"/>
            </a:ext>
          </a:extLst>
        </xdr:cNvPr>
        <xdr:cNvSpPr txBox="1"/>
      </xdr:nvSpPr>
      <xdr:spPr>
        <a:xfrm>
          <a:off x="8267700" y="34815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1979" name="TextBox 1978">
          <a:extLst>
            <a:ext uri="{FF2B5EF4-FFF2-40B4-BE49-F238E27FC236}">
              <a16:creationId xmlns:a16="http://schemas.microsoft.com/office/drawing/2014/main" id="{00000000-0008-0000-0000-000007000000}"/>
            </a:ext>
          </a:extLst>
        </xdr:cNvPr>
        <xdr:cNvSpPr txBox="1"/>
      </xdr:nvSpPr>
      <xdr:spPr>
        <a:xfrm>
          <a:off x="8267700" y="34815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1980" name="TextBox 1979">
          <a:extLst>
            <a:ext uri="{FF2B5EF4-FFF2-40B4-BE49-F238E27FC236}">
              <a16:creationId xmlns:a16="http://schemas.microsoft.com/office/drawing/2014/main" id="{00000000-0008-0000-0000-000007000000}"/>
            </a:ext>
          </a:extLst>
        </xdr:cNvPr>
        <xdr:cNvSpPr txBox="1"/>
      </xdr:nvSpPr>
      <xdr:spPr>
        <a:xfrm>
          <a:off x="8267700" y="34815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1981" name="TextBox 1980">
          <a:extLst>
            <a:ext uri="{FF2B5EF4-FFF2-40B4-BE49-F238E27FC236}">
              <a16:creationId xmlns:a16="http://schemas.microsoft.com/office/drawing/2014/main" id="{00000000-0008-0000-0000-000007000000}"/>
            </a:ext>
          </a:extLst>
        </xdr:cNvPr>
        <xdr:cNvSpPr txBox="1"/>
      </xdr:nvSpPr>
      <xdr:spPr>
        <a:xfrm>
          <a:off x="12138660" y="34815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1982" name="TextBox 1981">
          <a:extLst>
            <a:ext uri="{FF2B5EF4-FFF2-40B4-BE49-F238E27FC236}">
              <a16:creationId xmlns:a16="http://schemas.microsoft.com/office/drawing/2014/main" id="{00000000-0008-0000-0000-000007000000}"/>
            </a:ext>
          </a:extLst>
        </xdr:cNvPr>
        <xdr:cNvSpPr txBox="1"/>
      </xdr:nvSpPr>
      <xdr:spPr>
        <a:xfrm>
          <a:off x="12138660" y="34815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1983" name="TextBox 1982">
          <a:extLst>
            <a:ext uri="{FF2B5EF4-FFF2-40B4-BE49-F238E27FC236}">
              <a16:creationId xmlns:a16="http://schemas.microsoft.com/office/drawing/2014/main" id="{00000000-0008-0000-0000-000007000000}"/>
            </a:ext>
          </a:extLst>
        </xdr:cNvPr>
        <xdr:cNvSpPr txBox="1"/>
      </xdr:nvSpPr>
      <xdr:spPr>
        <a:xfrm>
          <a:off x="12138660" y="34815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1984" name="TextBox 1983">
          <a:extLst>
            <a:ext uri="{FF2B5EF4-FFF2-40B4-BE49-F238E27FC236}">
              <a16:creationId xmlns:a16="http://schemas.microsoft.com/office/drawing/2014/main" id="{00000000-0008-0000-0000-000007000000}"/>
            </a:ext>
          </a:extLst>
        </xdr:cNvPr>
        <xdr:cNvSpPr txBox="1"/>
      </xdr:nvSpPr>
      <xdr:spPr>
        <a:xfrm>
          <a:off x="12138660" y="34815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1985" name="TextBox 1984">
          <a:extLst>
            <a:ext uri="{FF2B5EF4-FFF2-40B4-BE49-F238E27FC236}">
              <a16:creationId xmlns:a16="http://schemas.microsoft.com/office/drawing/2014/main" id="{00000000-0008-0000-0000-000007000000}"/>
            </a:ext>
          </a:extLst>
        </xdr:cNvPr>
        <xdr:cNvSpPr txBox="1"/>
      </xdr:nvSpPr>
      <xdr:spPr>
        <a:xfrm>
          <a:off x="12138660" y="34815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1986" name="TextBox 1985">
          <a:extLst>
            <a:ext uri="{FF2B5EF4-FFF2-40B4-BE49-F238E27FC236}">
              <a16:creationId xmlns:a16="http://schemas.microsoft.com/office/drawing/2014/main" id="{00000000-0008-0000-0000-000007000000}"/>
            </a:ext>
          </a:extLst>
        </xdr:cNvPr>
        <xdr:cNvSpPr txBox="1"/>
      </xdr:nvSpPr>
      <xdr:spPr>
        <a:xfrm>
          <a:off x="12138660" y="34815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1987" name="TextBox 1986">
          <a:extLst>
            <a:ext uri="{FF2B5EF4-FFF2-40B4-BE49-F238E27FC236}">
              <a16:creationId xmlns:a16="http://schemas.microsoft.com/office/drawing/2014/main" id="{00000000-0008-0000-0000-000007000000}"/>
            </a:ext>
          </a:extLst>
        </xdr:cNvPr>
        <xdr:cNvSpPr txBox="1"/>
      </xdr:nvSpPr>
      <xdr:spPr>
        <a:xfrm>
          <a:off x="12138660" y="34815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1988" name="TextBox 1987">
          <a:extLst>
            <a:ext uri="{FF2B5EF4-FFF2-40B4-BE49-F238E27FC236}">
              <a16:creationId xmlns:a16="http://schemas.microsoft.com/office/drawing/2014/main" id="{00000000-0008-0000-0000-000007000000}"/>
            </a:ext>
          </a:extLst>
        </xdr:cNvPr>
        <xdr:cNvSpPr txBox="1"/>
      </xdr:nvSpPr>
      <xdr:spPr>
        <a:xfrm>
          <a:off x="12138660" y="34815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153</xdr:row>
      <xdr:rowOff>0</xdr:rowOff>
    </xdr:from>
    <xdr:ext cx="65" cy="172227"/>
    <xdr:sp macro="" textlink="">
      <xdr:nvSpPr>
        <xdr:cNvPr id="1993" name="TextBox 1992">
          <a:extLst>
            <a:ext uri="{FF2B5EF4-FFF2-40B4-BE49-F238E27FC236}">
              <a16:creationId xmlns:a16="http://schemas.microsoft.com/office/drawing/2014/main" id="{00000000-0008-0000-0000-000007000000}"/>
            </a:ext>
          </a:extLst>
        </xdr:cNvPr>
        <xdr:cNvSpPr txBox="1"/>
      </xdr:nvSpPr>
      <xdr:spPr>
        <a:xfrm>
          <a:off x="8267700" y="33276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153</xdr:row>
      <xdr:rowOff>0</xdr:rowOff>
    </xdr:from>
    <xdr:ext cx="65" cy="172227"/>
    <xdr:sp macro="" textlink="">
      <xdr:nvSpPr>
        <xdr:cNvPr id="1997" name="TextBox 1996">
          <a:extLst>
            <a:ext uri="{FF2B5EF4-FFF2-40B4-BE49-F238E27FC236}">
              <a16:creationId xmlns:a16="http://schemas.microsoft.com/office/drawing/2014/main" id="{00000000-0008-0000-0000-000007000000}"/>
            </a:ext>
          </a:extLst>
        </xdr:cNvPr>
        <xdr:cNvSpPr txBox="1"/>
      </xdr:nvSpPr>
      <xdr:spPr>
        <a:xfrm>
          <a:off x="8267700" y="33276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1998" name="TextBox 1997">
          <a:extLst>
            <a:ext uri="{FF2B5EF4-FFF2-40B4-BE49-F238E27FC236}">
              <a16:creationId xmlns:a16="http://schemas.microsoft.com/office/drawing/2014/main" id="{00000000-0008-0000-0000-000007000000}"/>
            </a:ext>
          </a:extLst>
        </xdr:cNvPr>
        <xdr:cNvSpPr txBox="1"/>
      </xdr:nvSpPr>
      <xdr:spPr>
        <a:xfrm>
          <a:off x="8267700" y="33474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1999" name="TextBox 1998">
          <a:extLst>
            <a:ext uri="{FF2B5EF4-FFF2-40B4-BE49-F238E27FC236}">
              <a16:creationId xmlns:a16="http://schemas.microsoft.com/office/drawing/2014/main" id="{00000000-0008-0000-0000-000007000000}"/>
            </a:ext>
          </a:extLst>
        </xdr:cNvPr>
        <xdr:cNvSpPr txBox="1"/>
      </xdr:nvSpPr>
      <xdr:spPr>
        <a:xfrm>
          <a:off x="8267700" y="33474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000" name="TextBox 1999">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001" name="TextBox 2000">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002" name="TextBox 2001">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003" name="TextBox 2002">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004" name="TextBox 2003">
          <a:extLst>
            <a:ext uri="{FF2B5EF4-FFF2-40B4-BE49-F238E27FC236}">
              <a16:creationId xmlns:a16="http://schemas.microsoft.com/office/drawing/2014/main" id="{00000000-0008-0000-0000-000007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005" name="TextBox 2004">
          <a:extLst>
            <a:ext uri="{FF2B5EF4-FFF2-40B4-BE49-F238E27FC236}">
              <a16:creationId xmlns:a16="http://schemas.microsoft.com/office/drawing/2014/main" id="{00000000-0008-0000-0000-000007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006" name="TextBox 2005">
          <a:extLst>
            <a:ext uri="{FF2B5EF4-FFF2-40B4-BE49-F238E27FC236}">
              <a16:creationId xmlns:a16="http://schemas.microsoft.com/office/drawing/2014/main" id="{00000000-0008-0000-0000-000007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007" name="TextBox 2006">
          <a:extLst>
            <a:ext uri="{FF2B5EF4-FFF2-40B4-BE49-F238E27FC236}">
              <a16:creationId xmlns:a16="http://schemas.microsoft.com/office/drawing/2014/main" id="{00000000-0008-0000-0000-000007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008" name="TextBox 2007">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009" name="TextBox 2008">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010" name="TextBox 2009">
          <a:extLst>
            <a:ext uri="{FF2B5EF4-FFF2-40B4-BE49-F238E27FC236}">
              <a16:creationId xmlns:a16="http://schemas.microsoft.com/office/drawing/2014/main" id="{00000000-0008-0000-0000-000007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011" name="TextBox 2010">
          <a:extLst>
            <a:ext uri="{FF2B5EF4-FFF2-40B4-BE49-F238E27FC236}">
              <a16:creationId xmlns:a16="http://schemas.microsoft.com/office/drawing/2014/main" id="{00000000-0008-0000-0000-000007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161</xdr:row>
      <xdr:rowOff>0</xdr:rowOff>
    </xdr:from>
    <xdr:ext cx="65" cy="172227"/>
    <xdr:sp macro="" textlink="">
      <xdr:nvSpPr>
        <xdr:cNvPr id="2012" name="TextBox 2011">
          <a:extLst>
            <a:ext uri="{FF2B5EF4-FFF2-40B4-BE49-F238E27FC236}">
              <a16:creationId xmlns:a16="http://schemas.microsoft.com/office/drawing/2014/main" id="{00000000-0008-0000-0000-000007000000}"/>
            </a:ext>
          </a:extLst>
        </xdr:cNvPr>
        <xdr:cNvSpPr txBox="1"/>
      </xdr:nvSpPr>
      <xdr:spPr>
        <a:xfrm>
          <a:off x="8267700" y="34846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161</xdr:row>
      <xdr:rowOff>0</xdr:rowOff>
    </xdr:from>
    <xdr:ext cx="65" cy="172227"/>
    <xdr:sp macro="" textlink="">
      <xdr:nvSpPr>
        <xdr:cNvPr id="2013" name="TextBox 2012">
          <a:extLst>
            <a:ext uri="{FF2B5EF4-FFF2-40B4-BE49-F238E27FC236}">
              <a16:creationId xmlns:a16="http://schemas.microsoft.com/office/drawing/2014/main" id="{00000000-0008-0000-0000-000007000000}"/>
            </a:ext>
          </a:extLst>
        </xdr:cNvPr>
        <xdr:cNvSpPr txBox="1"/>
      </xdr:nvSpPr>
      <xdr:spPr>
        <a:xfrm>
          <a:off x="8267700" y="34846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162</xdr:row>
      <xdr:rowOff>0</xdr:rowOff>
    </xdr:from>
    <xdr:ext cx="65" cy="172227"/>
    <xdr:sp macro="" textlink="">
      <xdr:nvSpPr>
        <xdr:cNvPr id="2014" name="TextBox 2013">
          <a:extLst>
            <a:ext uri="{FF2B5EF4-FFF2-40B4-BE49-F238E27FC236}">
              <a16:creationId xmlns:a16="http://schemas.microsoft.com/office/drawing/2014/main" id="{00000000-0008-0000-0000-000007000000}"/>
            </a:ext>
          </a:extLst>
        </xdr:cNvPr>
        <xdr:cNvSpPr txBox="1"/>
      </xdr:nvSpPr>
      <xdr:spPr>
        <a:xfrm>
          <a:off x="8267700" y="35029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162</xdr:row>
      <xdr:rowOff>0</xdr:rowOff>
    </xdr:from>
    <xdr:ext cx="65" cy="172227"/>
    <xdr:sp macro="" textlink="">
      <xdr:nvSpPr>
        <xdr:cNvPr id="2015" name="TextBox 2014">
          <a:extLst>
            <a:ext uri="{FF2B5EF4-FFF2-40B4-BE49-F238E27FC236}">
              <a16:creationId xmlns:a16="http://schemas.microsoft.com/office/drawing/2014/main" id="{00000000-0008-0000-0000-000007000000}"/>
            </a:ext>
          </a:extLst>
        </xdr:cNvPr>
        <xdr:cNvSpPr txBox="1"/>
      </xdr:nvSpPr>
      <xdr:spPr>
        <a:xfrm>
          <a:off x="8267700" y="35029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2016" name="TextBox 2015">
          <a:extLst>
            <a:ext uri="{FF2B5EF4-FFF2-40B4-BE49-F238E27FC236}">
              <a16:creationId xmlns:a16="http://schemas.microsoft.com/office/drawing/2014/main" id="{00000000-0008-0000-0000-000007000000}"/>
            </a:ext>
          </a:extLst>
        </xdr:cNvPr>
        <xdr:cNvSpPr txBox="1"/>
      </xdr:nvSpPr>
      <xdr:spPr>
        <a:xfrm>
          <a:off x="8267700" y="36126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2017" name="TextBox 2016">
          <a:extLst>
            <a:ext uri="{FF2B5EF4-FFF2-40B4-BE49-F238E27FC236}">
              <a16:creationId xmlns:a16="http://schemas.microsoft.com/office/drawing/2014/main" id="{00000000-0008-0000-0000-000007000000}"/>
            </a:ext>
          </a:extLst>
        </xdr:cNvPr>
        <xdr:cNvSpPr txBox="1"/>
      </xdr:nvSpPr>
      <xdr:spPr>
        <a:xfrm>
          <a:off x="8267700" y="36126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2018" name="TextBox 2017">
          <a:extLst>
            <a:ext uri="{FF2B5EF4-FFF2-40B4-BE49-F238E27FC236}">
              <a16:creationId xmlns:a16="http://schemas.microsoft.com/office/drawing/2014/main" id="{00000000-0008-0000-0000-000007000000}"/>
            </a:ext>
          </a:extLst>
        </xdr:cNvPr>
        <xdr:cNvSpPr txBox="1"/>
      </xdr:nvSpPr>
      <xdr:spPr>
        <a:xfrm>
          <a:off x="8267700" y="36309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2019" name="TextBox 2018">
          <a:extLst>
            <a:ext uri="{FF2B5EF4-FFF2-40B4-BE49-F238E27FC236}">
              <a16:creationId xmlns:a16="http://schemas.microsoft.com/office/drawing/2014/main" id="{00000000-0008-0000-0000-000007000000}"/>
            </a:ext>
          </a:extLst>
        </xdr:cNvPr>
        <xdr:cNvSpPr txBox="1"/>
      </xdr:nvSpPr>
      <xdr:spPr>
        <a:xfrm>
          <a:off x="8267700" y="36309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2020" name="TextBox 2019">
          <a:extLst>
            <a:ext uri="{FF2B5EF4-FFF2-40B4-BE49-F238E27FC236}">
              <a16:creationId xmlns:a16="http://schemas.microsoft.com/office/drawing/2014/main" id="{00000000-0008-0000-0000-000007000000}"/>
            </a:ext>
          </a:extLst>
        </xdr:cNvPr>
        <xdr:cNvSpPr txBox="1"/>
      </xdr:nvSpPr>
      <xdr:spPr>
        <a:xfrm>
          <a:off x="8267700" y="36492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2021" name="TextBox 2020">
          <a:extLst>
            <a:ext uri="{FF2B5EF4-FFF2-40B4-BE49-F238E27FC236}">
              <a16:creationId xmlns:a16="http://schemas.microsoft.com/office/drawing/2014/main" id="{00000000-0008-0000-0000-000007000000}"/>
            </a:ext>
          </a:extLst>
        </xdr:cNvPr>
        <xdr:cNvSpPr txBox="1"/>
      </xdr:nvSpPr>
      <xdr:spPr>
        <a:xfrm>
          <a:off x="8267700" y="36492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2022" name="TextBox 2021">
          <a:extLst>
            <a:ext uri="{FF2B5EF4-FFF2-40B4-BE49-F238E27FC236}">
              <a16:creationId xmlns:a16="http://schemas.microsoft.com/office/drawing/2014/main" id="{00000000-0008-0000-0000-000007000000}"/>
            </a:ext>
          </a:extLst>
        </xdr:cNvPr>
        <xdr:cNvSpPr txBox="1"/>
      </xdr:nvSpPr>
      <xdr:spPr>
        <a:xfrm>
          <a:off x="8267700" y="36675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2023" name="TextBox 2022">
          <a:extLst>
            <a:ext uri="{FF2B5EF4-FFF2-40B4-BE49-F238E27FC236}">
              <a16:creationId xmlns:a16="http://schemas.microsoft.com/office/drawing/2014/main" id="{00000000-0008-0000-0000-000007000000}"/>
            </a:ext>
          </a:extLst>
        </xdr:cNvPr>
        <xdr:cNvSpPr txBox="1"/>
      </xdr:nvSpPr>
      <xdr:spPr>
        <a:xfrm>
          <a:off x="8267700" y="36675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172</xdr:row>
      <xdr:rowOff>0</xdr:rowOff>
    </xdr:from>
    <xdr:ext cx="65" cy="172227"/>
    <xdr:sp macro="" textlink="">
      <xdr:nvSpPr>
        <xdr:cNvPr id="2024" name="TextBox 2023">
          <a:extLst>
            <a:ext uri="{FF2B5EF4-FFF2-40B4-BE49-F238E27FC236}">
              <a16:creationId xmlns:a16="http://schemas.microsoft.com/office/drawing/2014/main" id="{00000000-0008-0000-0000-000007000000}"/>
            </a:ext>
          </a:extLst>
        </xdr:cNvPr>
        <xdr:cNvSpPr txBox="1"/>
      </xdr:nvSpPr>
      <xdr:spPr>
        <a:xfrm>
          <a:off x="8267700" y="36857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172</xdr:row>
      <xdr:rowOff>0</xdr:rowOff>
    </xdr:from>
    <xdr:ext cx="65" cy="172227"/>
    <xdr:sp macro="" textlink="">
      <xdr:nvSpPr>
        <xdr:cNvPr id="2025" name="TextBox 2024">
          <a:extLst>
            <a:ext uri="{FF2B5EF4-FFF2-40B4-BE49-F238E27FC236}">
              <a16:creationId xmlns:a16="http://schemas.microsoft.com/office/drawing/2014/main" id="{00000000-0008-0000-0000-000007000000}"/>
            </a:ext>
          </a:extLst>
        </xdr:cNvPr>
        <xdr:cNvSpPr txBox="1"/>
      </xdr:nvSpPr>
      <xdr:spPr>
        <a:xfrm>
          <a:off x="8267700" y="36857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178</xdr:row>
      <xdr:rowOff>0</xdr:rowOff>
    </xdr:from>
    <xdr:ext cx="65" cy="172227"/>
    <xdr:sp macro="" textlink="">
      <xdr:nvSpPr>
        <xdr:cNvPr id="2026" name="TextBox 2025">
          <a:extLst>
            <a:ext uri="{FF2B5EF4-FFF2-40B4-BE49-F238E27FC236}">
              <a16:creationId xmlns:a16="http://schemas.microsoft.com/office/drawing/2014/main" id="{00000000-0008-0000-0000-000007000000}"/>
            </a:ext>
          </a:extLst>
        </xdr:cNvPr>
        <xdr:cNvSpPr txBox="1"/>
      </xdr:nvSpPr>
      <xdr:spPr>
        <a:xfrm>
          <a:off x="8267700" y="37955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178</xdr:row>
      <xdr:rowOff>0</xdr:rowOff>
    </xdr:from>
    <xdr:ext cx="65" cy="172227"/>
    <xdr:sp macro="" textlink="">
      <xdr:nvSpPr>
        <xdr:cNvPr id="2027" name="TextBox 2026">
          <a:extLst>
            <a:ext uri="{FF2B5EF4-FFF2-40B4-BE49-F238E27FC236}">
              <a16:creationId xmlns:a16="http://schemas.microsoft.com/office/drawing/2014/main" id="{00000000-0008-0000-0000-000007000000}"/>
            </a:ext>
          </a:extLst>
        </xdr:cNvPr>
        <xdr:cNvSpPr txBox="1"/>
      </xdr:nvSpPr>
      <xdr:spPr>
        <a:xfrm>
          <a:off x="8267700" y="37955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179</xdr:row>
      <xdr:rowOff>0</xdr:rowOff>
    </xdr:from>
    <xdr:ext cx="65" cy="172227"/>
    <xdr:sp macro="" textlink="">
      <xdr:nvSpPr>
        <xdr:cNvPr id="2028" name="TextBox 2027">
          <a:extLst>
            <a:ext uri="{FF2B5EF4-FFF2-40B4-BE49-F238E27FC236}">
              <a16:creationId xmlns:a16="http://schemas.microsoft.com/office/drawing/2014/main" id="{00000000-0008-0000-0000-000007000000}"/>
            </a:ext>
          </a:extLst>
        </xdr:cNvPr>
        <xdr:cNvSpPr txBox="1"/>
      </xdr:nvSpPr>
      <xdr:spPr>
        <a:xfrm>
          <a:off x="8267700" y="38138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179</xdr:row>
      <xdr:rowOff>0</xdr:rowOff>
    </xdr:from>
    <xdr:ext cx="65" cy="172227"/>
    <xdr:sp macro="" textlink="">
      <xdr:nvSpPr>
        <xdr:cNvPr id="2029" name="TextBox 2028">
          <a:extLst>
            <a:ext uri="{FF2B5EF4-FFF2-40B4-BE49-F238E27FC236}">
              <a16:creationId xmlns:a16="http://schemas.microsoft.com/office/drawing/2014/main" id="{00000000-0008-0000-0000-000007000000}"/>
            </a:ext>
          </a:extLst>
        </xdr:cNvPr>
        <xdr:cNvSpPr txBox="1"/>
      </xdr:nvSpPr>
      <xdr:spPr>
        <a:xfrm>
          <a:off x="8267700" y="38138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180</xdr:row>
      <xdr:rowOff>0</xdr:rowOff>
    </xdr:from>
    <xdr:ext cx="65" cy="172227"/>
    <xdr:sp macro="" textlink="">
      <xdr:nvSpPr>
        <xdr:cNvPr id="2030" name="TextBox 2029">
          <a:extLst>
            <a:ext uri="{FF2B5EF4-FFF2-40B4-BE49-F238E27FC236}">
              <a16:creationId xmlns:a16="http://schemas.microsoft.com/office/drawing/2014/main" id="{00000000-0008-0000-0000-000007000000}"/>
            </a:ext>
          </a:extLst>
        </xdr:cNvPr>
        <xdr:cNvSpPr txBox="1"/>
      </xdr:nvSpPr>
      <xdr:spPr>
        <a:xfrm>
          <a:off x="8267700" y="38320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180</xdr:row>
      <xdr:rowOff>0</xdr:rowOff>
    </xdr:from>
    <xdr:ext cx="65" cy="172227"/>
    <xdr:sp macro="" textlink="">
      <xdr:nvSpPr>
        <xdr:cNvPr id="2031" name="TextBox 2030">
          <a:extLst>
            <a:ext uri="{FF2B5EF4-FFF2-40B4-BE49-F238E27FC236}">
              <a16:creationId xmlns:a16="http://schemas.microsoft.com/office/drawing/2014/main" id="{00000000-0008-0000-0000-000007000000}"/>
            </a:ext>
          </a:extLst>
        </xdr:cNvPr>
        <xdr:cNvSpPr txBox="1"/>
      </xdr:nvSpPr>
      <xdr:spPr>
        <a:xfrm>
          <a:off x="8267700" y="38320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181</xdr:row>
      <xdr:rowOff>0</xdr:rowOff>
    </xdr:from>
    <xdr:ext cx="65" cy="172227"/>
    <xdr:sp macro="" textlink="">
      <xdr:nvSpPr>
        <xdr:cNvPr id="2032" name="TextBox 2031">
          <a:extLst>
            <a:ext uri="{FF2B5EF4-FFF2-40B4-BE49-F238E27FC236}">
              <a16:creationId xmlns:a16="http://schemas.microsoft.com/office/drawing/2014/main" id="{00000000-0008-0000-0000-000007000000}"/>
            </a:ext>
          </a:extLst>
        </xdr:cNvPr>
        <xdr:cNvSpPr txBox="1"/>
      </xdr:nvSpPr>
      <xdr:spPr>
        <a:xfrm>
          <a:off x="8267700" y="38503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181</xdr:row>
      <xdr:rowOff>0</xdr:rowOff>
    </xdr:from>
    <xdr:ext cx="65" cy="172227"/>
    <xdr:sp macro="" textlink="">
      <xdr:nvSpPr>
        <xdr:cNvPr id="2033" name="TextBox 2032">
          <a:extLst>
            <a:ext uri="{FF2B5EF4-FFF2-40B4-BE49-F238E27FC236}">
              <a16:creationId xmlns:a16="http://schemas.microsoft.com/office/drawing/2014/main" id="{00000000-0008-0000-0000-000007000000}"/>
            </a:ext>
          </a:extLst>
        </xdr:cNvPr>
        <xdr:cNvSpPr txBox="1"/>
      </xdr:nvSpPr>
      <xdr:spPr>
        <a:xfrm>
          <a:off x="8267700" y="38503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182</xdr:row>
      <xdr:rowOff>0</xdr:rowOff>
    </xdr:from>
    <xdr:ext cx="65" cy="172227"/>
    <xdr:sp macro="" textlink="">
      <xdr:nvSpPr>
        <xdr:cNvPr id="2034" name="TextBox 2033">
          <a:extLst>
            <a:ext uri="{FF2B5EF4-FFF2-40B4-BE49-F238E27FC236}">
              <a16:creationId xmlns:a16="http://schemas.microsoft.com/office/drawing/2014/main" id="{00000000-0008-0000-0000-000007000000}"/>
            </a:ext>
          </a:extLst>
        </xdr:cNvPr>
        <xdr:cNvSpPr txBox="1"/>
      </xdr:nvSpPr>
      <xdr:spPr>
        <a:xfrm>
          <a:off x="8267700" y="38686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182</xdr:row>
      <xdr:rowOff>0</xdr:rowOff>
    </xdr:from>
    <xdr:ext cx="65" cy="172227"/>
    <xdr:sp macro="" textlink="">
      <xdr:nvSpPr>
        <xdr:cNvPr id="2035" name="TextBox 2034">
          <a:extLst>
            <a:ext uri="{FF2B5EF4-FFF2-40B4-BE49-F238E27FC236}">
              <a16:creationId xmlns:a16="http://schemas.microsoft.com/office/drawing/2014/main" id="{00000000-0008-0000-0000-000007000000}"/>
            </a:ext>
          </a:extLst>
        </xdr:cNvPr>
        <xdr:cNvSpPr txBox="1"/>
      </xdr:nvSpPr>
      <xdr:spPr>
        <a:xfrm>
          <a:off x="8267700" y="38686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2036" name="TextBox 2035">
          <a:extLst>
            <a:ext uri="{FF2B5EF4-FFF2-40B4-BE49-F238E27FC236}">
              <a16:creationId xmlns:a16="http://schemas.microsoft.com/office/drawing/2014/main" id="{00000000-0008-0000-0000-000007000000}"/>
            </a:ext>
          </a:extLst>
        </xdr:cNvPr>
        <xdr:cNvSpPr txBox="1"/>
      </xdr:nvSpPr>
      <xdr:spPr>
        <a:xfrm>
          <a:off x="8267700" y="39418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2037" name="TextBox 2036">
          <a:extLst>
            <a:ext uri="{FF2B5EF4-FFF2-40B4-BE49-F238E27FC236}">
              <a16:creationId xmlns:a16="http://schemas.microsoft.com/office/drawing/2014/main" id="{00000000-0008-0000-0000-000007000000}"/>
            </a:ext>
          </a:extLst>
        </xdr:cNvPr>
        <xdr:cNvSpPr txBox="1"/>
      </xdr:nvSpPr>
      <xdr:spPr>
        <a:xfrm>
          <a:off x="8267700" y="39418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2038" name="TextBox 2037">
          <a:extLst>
            <a:ext uri="{FF2B5EF4-FFF2-40B4-BE49-F238E27FC236}">
              <a16:creationId xmlns:a16="http://schemas.microsoft.com/office/drawing/2014/main" id="{00000000-0008-0000-0000-000007000000}"/>
            </a:ext>
          </a:extLst>
        </xdr:cNvPr>
        <xdr:cNvSpPr txBox="1"/>
      </xdr:nvSpPr>
      <xdr:spPr>
        <a:xfrm>
          <a:off x="8267700" y="39418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2039" name="TextBox 2038">
          <a:extLst>
            <a:ext uri="{FF2B5EF4-FFF2-40B4-BE49-F238E27FC236}">
              <a16:creationId xmlns:a16="http://schemas.microsoft.com/office/drawing/2014/main" id="{00000000-0008-0000-0000-000007000000}"/>
            </a:ext>
          </a:extLst>
        </xdr:cNvPr>
        <xdr:cNvSpPr txBox="1"/>
      </xdr:nvSpPr>
      <xdr:spPr>
        <a:xfrm>
          <a:off x="8267700" y="39418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2040" name="TextBox 2039">
          <a:extLst>
            <a:ext uri="{FF2B5EF4-FFF2-40B4-BE49-F238E27FC236}">
              <a16:creationId xmlns:a16="http://schemas.microsoft.com/office/drawing/2014/main" id="{00000000-0008-0000-0000-000007000000}"/>
            </a:ext>
          </a:extLst>
        </xdr:cNvPr>
        <xdr:cNvSpPr txBox="1"/>
      </xdr:nvSpPr>
      <xdr:spPr>
        <a:xfrm>
          <a:off x="8267700" y="39418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2041" name="TextBox 2040">
          <a:extLst>
            <a:ext uri="{FF2B5EF4-FFF2-40B4-BE49-F238E27FC236}">
              <a16:creationId xmlns:a16="http://schemas.microsoft.com/office/drawing/2014/main" id="{00000000-0008-0000-0000-000007000000}"/>
            </a:ext>
          </a:extLst>
        </xdr:cNvPr>
        <xdr:cNvSpPr txBox="1"/>
      </xdr:nvSpPr>
      <xdr:spPr>
        <a:xfrm>
          <a:off x="8267700" y="39418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2042" name="TextBox 2041">
          <a:extLst>
            <a:ext uri="{FF2B5EF4-FFF2-40B4-BE49-F238E27FC236}">
              <a16:creationId xmlns:a16="http://schemas.microsoft.com/office/drawing/2014/main" id="{00000000-0008-0000-0000-000007000000}"/>
            </a:ext>
          </a:extLst>
        </xdr:cNvPr>
        <xdr:cNvSpPr txBox="1"/>
      </xdr:nvSpPr>
      <xdr:spPr>
        <a:xfrm>
          <a:off x="8267700" y="39418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2043" name="TextBox 2042">
          <a:extLst>
            <a:ext uri="{FF2B5EF4-FFF2-40B4-BE49-F238E27FC236}">
              <a16:creationId xmlns:a16="http://schemas.microsoft.com/office/drawing/2014/main" id="{00000000-0008-0000-0000-000007000000}"/>
            </a:ext>
          </a:extLst>
        </xdr:cNvPr>
        <xdr:cNvSpPr txBox="1"/>
      </xdr:nvSpPr>
      <xdr:spPr>
        <a:xfrm>
          <a:off x="8267700" y="39418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2044" name="TextBox 2043">
          <a:extLst>
            <a:ext uri="{FF2B5EF4-FFF2-40B4-BE49-F238E27FC236}">
              <a16:creationId xmlns:a16="http://schemas.microsoft.com/office/drawing/2014/main" id="{00000000-0008-0000-0000-000007000000}"/>
            </a:ext>
          </a:extLst>
        </xdr:cNvPr>
        <xdr:cNvSpPr txBox="1"/>
      </xdr:nvSpPr>
      <xdr:spPr>
        <a:xfrm>
          <a:off x="8267700" y="39418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2045" name="TextBox 2044">
          <a:extLst>
            <a:ext uri="{FF2B5EF4-FFF2-40B4-BE49-F238E27FC236}">
              <a16:creationId xmlns:a16="http://schemas.microsoft.com/office/drawing/2014/main" id="{00000000-0008-0000-0000-000007000000}"/>
            </a:ext>
          </a:extLst>
        </xdr:cNvPr>
        <xdr:cNvSpPr txBox="1"/>
      </xdr:nvSpPr>
      <xdr:spPr>
        <a:xfrm>
          <a:off x="8267700" y="39418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2046" name="TextBox 2045">
          <a:extLst>
            <a:ext uri="{FF2B5EF4-FFF2-40B4-BE49-F238E27FC236}">
              <a16:creationId xmlns:a16="http://schemas.microsoft.com/office/drawing/2014/main" id="{00000000-0008-0000-0000-000007000000}"/>
            </a:ext>
          </a:extLst>
        </xdr:cNvPr>
        <xdr:cNvSpPr txBox="1"/>
      </xdr:nvSpPr>
      <xdr:spPr>
        <a:xfrm>
          <a:off x="8267700" y="39418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2047" name="TextBox 2046">
          <a:extLst>
            <a:ext uri="{FF2B5EF4-FFF2-40B4-BE49-F238E27FC236}">
              <a16:creationId xmlns:a16="http://schemas.microsoft.com/office/drawing/2014/main" id="{00000000-0008-0000-0000-000007000000}"/>
            </a:ext>
          </a:extLst>
        </xdr:cNvPr>
        <xdr:cNvSpPr txBox="1"/>
      </xdr:nvSpPr>
      <xdr:spPr>
        <a:xfrm>
          <a:off x="8267700" y="39418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2048" name="TextBox 2047">
          <a:extLst>
            <a:ext uri="{FF2B5EF4-FFF2-40B4-BE49-F238E27FC236}">
              <a16:creationId xmlns:a16="http://schemas.microsoft.com/office/drawing/2014/main" id="{00000000-0008-0000-0000-000007000000}"/>
            </a:ext>
          </a:extLst>
        </xdr:cNvPr>
        <xdr:cNvSpPr txBox="1"/>
      </xdr:nvSpPr>
      <xdr:spPr>
        <a:xfrm>
          <a:off x="8267700" y="39418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2049" name="TextBox 2048">
          <a:extLst>
            <a:ext uri="{FF2B5EF4-FFF2-40B4-BE49-F238E27FC236}">
              <a16:creationId xmlns:a16="http://schemas.microsoft.com/office/drawing/2014/main" id="{00000000-0008-0000-0000-000007000000}"/>
            </a:ext>
          </a:extLst>
        </xdr:cNvPr>
        <xdr:cNvSpPr txBox="1"/>
      </xdr:nvSpPr>
      <xdr:spPr>
        <a:xfrm>
          <a:off x="8267700" y="39418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2050" name="TextBox 2049">
          <a:extLst>
            <a:ext uri="{FF2B5EF4-FFF2-40B4-BE49-F238E27FC236}">
              <a16:creationId xmlns:a16="http://schemas.microsoft.com/office/drawing/2014/main" id="{00000000-0008-0000-0000-000007000000}"/>
            </a:ext>
          </a:extLst>
        </xdr:cNvPr>
        <xdr:cNvSpPr txBox="1"/>
      </xdr:nvSpPr>
      <xdr:spPr>
        <a:xfrm>
          <a:off x="8267700" y="39418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2051" name="TextBox 2050">
          <a:extLst>
            <a:ext uri="{FF2B5EF4-FFF2-40B4-BE49-F238E27FC236}">
              <a16:creationId xmlns:a16="http://schemas.microsoft.com/office/drawing/2014/main" id="{00000000-0008-0000-0000-000007000000}"/>
            </a:ext>
          </a:extLst>
        </xdr:cNvPr>
        <xdr:cNvSpPr txBox="1"/>
      </xdr:nvSpPr>
      <xdr:spPr>
        <a:xfrm>
          <a:off x="8267700" y="39418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2052" name="TextBox 2051">
          <a:extLst>
            <a:ext uri="{FF2B5EF4-FFF2-40B4-BE49-F238E27FC236}">
              <a16:creationId xmlns:a16="http://schemas.microsoft.com/office/drawing/2014/main" id="{00000000-0008-0000-0000-000007000000}"/>
            </a:ext>
          </a:extLst>
        </xdr:cNvPr>
        <xdr:cNvSpPr txBox="1"/>
      </xdr:nvSpPr>
      <xdr:spPr>
        <a:xfrm>
          <a:off x="8267700" y="39418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2053" name="TextBox 2052">
          <a:extLst>
            <a:ext uri="{FF2B5EF4-FFF2-40B4-BE49-F238E27FC236}">
              <a16:creationId xmlns:a16="http://schemas.microsoft.com/office/drawing/2014/main" id="{00000000-0008-0000-0000-000007000000}"/>
            </a:ext>
          </a:extLst>
        </xdr:cNvPr>
        <xdr:cNvSpPr txBox="1"/>
      </xdr:nvSpPr>
      <xdr:spPr>
        <a:xfrm>
          <a:off x="8267700" y="39418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2054" name="TextBox 2053">
          <a:extLst>
            <a:ext uri="{FF2B5EF4-FFF2-40B4-BE49-F238E27FC236}">
              <a16:creationId xmlns:a16="http://schemas.microsoft.com/office/drawing/2014/main" id="{00000000-0008-0000-0000-000007000000}"/>
            </a:ext>
          </a:extLst>
        </xdr:cNvPr>
        <xdr:cNvSpPr txBox="1"/>
      </xdr:nvSpPr>
      <xdr:spPr>
        <a:xfrm>
          <a:off x="8267700" y="39418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2055" name="TextBox 2054">
          <a:extLst>
            <a:ext uri="{FF2B5EF4-FFF2-40B4-BE49-F238E27FC236}">
              <a16:creationId xmlns:a16="http://schemas.microsoft.com/office/drawing/2014/main" id="{00000000-0008-0000-0000-000007000000}"/>
            </a:ext>
          </a:extLst>
        </xdr:cNvPr>
        <xdr:cNvSpPr txBox="1"/>
      </xdr:nvSpPr>
      <xdr:spPr>
        <a:xfrm>
          <a:off x="8267700" y="39418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056" name="TextBox 2055">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057" name="TextBox 2056">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058" name="TextBox 2057">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059" name="TextBox 2058">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060" name="TextBox 2059">
          <a:extLst>
            <a:ext uri="{FF2B5EF4-FFF2-40B4-BE49-F238E27FC236}">
              <a16:creationId xmlns:a16="http://schemas.microsoft.com/office/drawing/2014/main" id="{00000000-0008-0000-0000-000007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061" name="TextBox 2060">
          <a:extLst>
            <a:ext uri="{FF2B5EF4-FFF2-40B4-BE49-F238E27FC236}">
              <a16:creationId xmlns:a16="http://schemas.microsoft.com/office/drawing/2014/main" id="{00000000-0008-0000-0000-000007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062" name="TextBox 2061">
          <a:extLst>
            <a:ext uri="{FF2B5EF4-FFF2-40B4-BE49-F238E27FC236}">
              <a16:creationId xmlns:a16="http://schemas.microsoft.com/office/drawing/2014/main" id="{00000000-0008-0000-0000-000007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063" name="TextBox 2062">
          <a:extLst>
            <a:ext uri="{FF2B5EF4-FFF2-40B4-BE49-F238E27FC236}">
              <a16:creationId xmlns:a16="http://schemas.microsoft.com/office/drawing/2014/main" id="{00000000-0008-0000-0000-000007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2064" name="TextBox 2063">
          <a:extLst>
            <a:ext uri="{FF2B5EF4-FFF2-40B4-BE49-F238E27FC236}">
              <a16:creationId xmlns:a16="http://schemas.microsoft.com/office/drawing/2014/main" id="{00000000-0008-0000-0000-000007000000}"/>
            </a:ext>
          </a:extLst>
        </xdr:cNvPr>
        <xdr:cNvSpPr txBox="1"/>
      </xdr:nvSpPr>
      <xdr:spPr>
        <a:xfrm>
          <a:off x="8267700" y="33474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2065" name="TextBox 2064">
          <a:extLst>
            <a:ext uri="{FF2B5EF4-FFF2-40B4-BE49-F238E27FC236}">
              <a16:creationId xmlns:a16="http://schemas.microsoft.com/office/drawing/2014/main" id="{00000000-0008-0000-0000-000007000000}"/>
            </a:ext>
          </a:extLst>
        </xdr:cNvPr>
        <xdr:cNvSpPr txBox="1"/>
      </xdr:nvSpPr>
      <xdr:spPr>
        <a:xfrm>
          <a:off x="8267700" y="33474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066" name="TextBox 2065">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067" name="TextBox 2066">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068" name="TextBox 2067">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069" name="TextBox 2068">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070" name="TextBox 2069">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071" name="TextBox 2070">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072" name="TextBox 2071">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073" name="TextBox 2072">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074" name="TextBox 2073">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075" name="TextBox 2074">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076" name="TextBox 2075">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077" name="TextBox 2076">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2078" name="TextBox 2077">
          <a:extLst>
            <a:ext uri="{FF2B5EF4-FFF2-40B4-BE49-F238E27FC236}">
              <a16:creationId xmlns:a16="http://schemas.microsoft.com/office/drawing/2014/main" id="{00000000-0008-0000-0000-000007000000}"/>
            </a:ext>
          </a:extLst>
        </xdr:cNvPr>
        <xdr:cNvSpPr txBox="1"/>
      </xdr:nvSpPr>
      <xdr:spPr>
        <a:xfrm>
          <a:off x="8267700" y="33474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2079" name="TextBox 2078">
          <a:extLst>
            <a:ext uri="{FF2B5EF4-FFF2-40B4-BE49-F238E27FC236}">
              <a16:creationId xmlns:a16="http://schemas.microsoft.com/office/drawing/2014/main" id="{00000000-0008-0000-0000-000007000000}"/>
            </a:ext>
          </a:extLst>
        </xdr:cNvPr>
        <xdr:cNvSpPr txBox="1"/>
      </xdr:nvSpPr>
      <xdr:spPr>
        <a:xfrm>
          <a:off x="8267700" y="33474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2080" name="TextBox 2079">
          <a:extLst>
            <a:ext uri="{FF2B5EF4-FFF2-40B4-BE49-F238E27FC236}">
              <a16:creationId xmlns:a16="http://schemas.microsoft.com/office/drawing/2014/main" id="{00000000-0008-0000-0000-000007000000}"/>
            </a:ext>
          </a:extLst>
        </xdr:cNvPr>
        <xdr:cNvSpPr txBox="1"/>
      </xdr:nvSpPr>
      <xdr:spPr>
        <a:xfrm>
          <a:off x="8267700" y="33474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2081" name="TextBox 2080">
          <a:extLst>
            <a:ext uri="{FF2B5EF4-FFF2-40B4-BE49-F238E27FC236}">
              <a16:creationId xmlns:a16="http://schemas.microsoft.com/office/drawing/2014/main" id="{00000000-0008-0000-0000-000007000000}"/>
            </a:ext>
          </a:extLst>
        </xdr:cNvPr>
        <xdr:cNvSpPr txBox="1"/>
      </xdr:nvSpPr>
      <xdr:spPr>
        <a:xfrm>
          <a:off x="8267700" y="33474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082" name="TextBox 2081">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083" name="TextBox 2082">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084" name="TextBox 2083">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085" name="TextBox 2084">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086" name="TextBox 2085">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087" name="TextBox 2086">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088" name="TextBox 2087">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089" name="TextBox 2088">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090" name="TextBox 2089">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091" name="TextBox 2090">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092" name="TextBox 2091">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093" name="TextBox 2092">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094" name="TextBox 2093">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095" name="TextBox 2094">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096" name="TextBox 2095">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097" name="TextBox 2096">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098" name="TextBox 2097">
          <a:extLst>
            <a:ext uri="{FF2B5EF4-FFF2-40B4-BE49-F238E27FC236}">
              <a16:creationId xmlns:a16="http://schemas.microsoft.com/office/drawing/2014/main" id="{00000000-0008-0000-0000-000007000000}"/>
            </a:ext>
          </a:extLst>
        </xdr:cNvPr>
        <xdr:cNvSpPr txBox="1"/>
      </xdr:nvSpPr>
      <xdr:spPr>
        <a:xfrm>
          <a:off x="1213866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099" name="TextBox 2098">
          <a:extLst>
            <a:ext uri="{FF2B5EF4-FFF2-40B4-BE49-F238E27FC236}">
              <a16:creationId xmlns:a16="http://schemas.microsoft.com/office/drawing/2014/main" id="{00000000-0008-0000-0000-000007000000}"/>
            </a:ext>
          </a:extLst>
        </xdr:cNvPr>
        <xdr:cNvSpPr txBox="1"/>
      </xdr:nvSpPr>
      <xdr:spPr>
        <a:xfrm>
          <a:off x="1213866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100" name="TextBox 2099">
          <a:extLst>
            <a:ext uri="{FF2B5EF4-FFF2-40B4-BE49-F238E27FC236}">
              <a16:creationId xmlns:a16="http://schemas.microsoft.com/office/drawing/2014/main" id="{00000000-0008-0000-0000-000007000000}"/>
            </a:ext>
          </a:extLst>
        </xdr:cNvPr>
        <xdr:cNvSpPr txBox="1"/>
      </xdr:nvSpPr>
      <xdr:spPr>
        <a:xfrm>
          <a:off x="1213866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101" name="TextBox 2100">
          <a:extLst>
            <a:ext uri="{FF2B5EF4-FFF2-40B4-BE49-F238E27FC236}">
              <a16:creationId xmlns:a16="http://schemas.microsoft.com/office/drawing/2014/main" id="{00000000-0008-0000-0000-000007000000}"/>
            </a:ext>
          </a:extLst>
        </xdr:cNvPr>
        <xdr:cNvSpPr txBox="1"/>
      </xdr:nvSpPr>
      <xdr:spPr>
        <a:xfrm>
          <a:off x="1213866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102" name="TextBox 2101">
          <a:extLst>
            <a:ext uri="{FF2B5EF4-FFF2-40B4-BE49-F238E27FC236}">
              <a16:creationId xmlns:a16="http://schemas.microsoft.com/office/drawing/2014/main" id="{00000000-0008-0000-0000-000007000000}"/>
            </a:ext>
          </a:extLst>
        </xdr:cNvPr>
        <xdr:cNvSpPr txBox="1"/>
      </xdr:nvSpPr>
      <xdr:spPr>
        <a:xfrm>
          <a:off x="1213866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103" name="TextBox 2102">
          <a:extLst>
            <a:ext uri="{FF2B5EF4-FFF2-40B4-BE49-F238E27FC236}">
              <a16:creationId xmlns:a16="http://schemas.microsoft.com/office/drawing/2014/main" id="{00000000-0008-0000-0000-000007000000}"/>
            </a:ext>
          </a:extLst>
        </xdr:cNvPr>
        <xdr:cNvSpPr txBox="1"/>
      </xdr:nvSpPr>
      <xdr:spPr>
        <a:xfrm>
          <a:off x="1213866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104" name="TextBox 2103">
          <a:extLst>
            <a:ext uri="{FF2B5EF4-FFF2-40B4-BE49-F238E27FC236}">
              <a16:creationId xmlns:a16="http://schemas.microsoft.com/office/drawing/2014/main" id="{00000000-0008-0000-0000-000007000000}"/>
            </a:ext>
          </a:extLst>
        </xdr:cNvPr>
        <xdr:cNvSpPr txBox="1"/>
      </xdr:nvSpPr>
      <xdr:spPr>
        <a:xfrm>
          <a:off x="1213866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105" name="TextBox 2104">
          <a:extLst>
            <a:ext uri="{FF2B5EF4-FFF2-40B4-BE49-F238E27FC236}">
              <a16:creationId xmlns:a16="http://schemas.microsoft.com/office/drawing/2014/main" id="{00000000-0008-0000-0000-000007000000}"/>
            </a:ext>
          </a:extLst>
        </xdr:cNvPr>
        <xdr:cNvSpPr txBox="1"/>
      </xdr:nvSpPr>
      <xdr:spPr>
        <a:xfrm>
          <a:off x="1213866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2106" name="TextBox 2105">
          <a:extLst>
            <a:ext uri="{FF2B5EF4-FFF2-40B4-BE49-F238E27FC236}">
              <a16:creationId xmlns:a16="http://schemas.microsoft.com/office/drawing/2014/main" id="{00000000-0008-0000-0000-000007000000}"/>
            </a:ext>
          </a:extLst>
        </xdr:cNvPr>
        <xdr:cNvSpPr txBox="1"/>
      </xdr:nvSpPr>
      <xdr:spPr>
        <a:xfrm>
          <a:off x="8267700" y="33474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2107" name="TextBox 2106">
          <a:extLst>
            <a:ext uri="{FF2B5EF4-FFF2-40B4-BE49-F238E27FC236}">
              <a16:creationId xmlns:a16="http://schemas.microsoft.com/office/drawing/2014/main" id="{00000000-0008-0000-0000-000007000000}"/>
            </a:ext>
          </a:extLst>
        </xdr:cNvPr>
        <xdr:cNvSpPr txBox="1"/>
      </xdr:nvSpPr>
      <xdr:spPr>
        <a:xfrm>
          <a:off x="8267700" y="33474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2108" name="TextBox 2107">
          <a:extLst>
            <a:ext uri="{FF2B5EF4-FFF2-40B4-BE49-F238E27FC236}">
              <a16:creationId xmlns:a16="http://schemas.microsoft.com/office/drawing/2014/main" id="{00000000-0008-0000-0000-000007000000}"/>
            </a:ext>
          </a:extLst>
        </xdr:cNvPr>
        <xdr:cNvSpPr txBox="1"/>
      </xdr:nvSpPr>
      <xdr:spPr>
        <a:xfrm>
          <a:off x="8267700" y="33474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2109" name="TextBox 2108">
          <a:extLst>
            <a:ext uri="{FF2B5EF4-FFF2-40B4-BE49-F238E27FC236}">
              <a16:creationId xmlns:a16="http://schemas.microsoft.com/office/drawing/2014/main" id="{00000000-0008-0000-0000-000007000000}"/>
            </a:ext>
          </a:extLst>
        </xdr:cNvPr>
        <xdr:cNvSpPr txBox="1"/>
      </xdr:nvSpPr>
      <xdr:spPr>
        <a:xfrm>
          <a:off x="8267700" y="33474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110" name="TextBox 2109">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111" name="TextBox 2110">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112" name="TextBox 2111">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113" name="TextBox 2112">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114" name="TextBox 2113">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115" name="TextBox 2114">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116" name="TextBox 2115">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117" name="TextBox 2116">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118" name="TextBox 2117">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119" name="TextBox 2118">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120" name="TextBox 2119">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121" name="TextBox 2120">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122" name="TextBox 2121">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123" name="TextBox 2122">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124" name="TextBox 2123">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125" name="TextBox 2124">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126" name="TextBox 2125">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127" name="TextBox 2126">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128" name="TextBox 2127">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129" name="TextBox 2128">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130" name="TextBox 2129">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131" name="TextBox 2130">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132" name="TextBox 2131">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133" name="TextBox 2132">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134" name="TextBox 2133">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135" name="TextBox 2134">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136" name="TextBox 2135">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137" name="TextBox 2136">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138" name="TextBox 2137">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139" name="TextBox 2138">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140" name="TextBox 2139">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141" name="TextBox 2140">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142" name="TextBox 2141">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143" name="TextBox 2142">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144" name="TextBox 2143">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145" name="TextBox 2144">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146" name="TextBox 2145">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147" name="TextBox 2146">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148" name="TextBox 2147">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149" name="TextBox 2148">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150" name="TextBox 2149">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151" name="TextBox 2150">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152" name="TextBox 2151">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153" name="TextBox 2152">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154" name="TextBox 2153">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155" name="TextBox 2154">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156" name="TextBox 2155">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157" name="TextBox 2156">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158" name="TextBox 2157">
          <a:extLst>
            <a:ext uri="{FF2B5EF4-FFF2-40B4-BE49-F238E27FC236}">
              <a16:creationId xmlns:a16="http://schemas.microsoft.com/office/drawing/2014/main" id="{00000000-0008-0000-0000-000007000000}"/>
            </a:ext>
          </a:extLst>
        </xdr:cNvPr>
        <xdr:cNvSpPr txBox="1"/>
      </xdr:nvSpPr>
      <xdr:spPr>
        <a:xfrm>
          <a:off x="1213866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159" name="TextBox 2158">
          <a:extLst>
            <a:ext uri="{FF2B5EF4-FFF2-40B4-BE49-F238E27FC236}">
              <a16:creationId xmlns:a16="http://schemas.microsoft.com/office/drawing/2014/main" id="{00000000-0008-0000-0000-000007000000}"/>
            </a:ext>
          </a:extLst>
        </xdr:cNvPr>
        <xdr:cNvSpPr txBox="1"/>
      </xdr:nvSpPr>
      <xdr:spPr>
        <a:xfrm>
          <a:off x="1213866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160" name="TextBox 2159">
          <a:extLst>
            <a:ext uri="{FF2B5EF4-FFF2-40B4-BE49-F238E27FC236}">
              <a16:creationId xmlns:a16="http://schemas.microsoft.com/office/drawing/2014/main" id="{00000000-0008-0000-0000-000007000000}"/>
            </a:ext>
          </a:extLst>
        </xdr:cNvPr>
        <xdr:cNvSpPr txBox="1"/>
      </xdr:nvSpPr>
      <xdr:spPr>
        <a:xfrm>
          <a:off x="1213866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161" name="TextBox 2160">
          <a:extLst>
            <a:ext uri="{FF2B5EF4-FFF2-40B4-BE49-F238E27FC236}">
              <a16:creationId xmlns:a16="http://schemas.microsoft.com/office/drawing/2014/main" id="{00000000-0008-0000-0000-000007000000}"/>
            </a:ext>
          </a:extLst>
        </xdr:cNvPr>
        <xdr:cNvSpPr txBox="1"/>
      </xdr:nvSpPr>
      <xdr:spPr>
        <a:xfrm>
          <a:off x="1213866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162" name="TextBox 2161">
          <a:extLst>
            <a:ext uri="{FF2B5EF4-FFF2-40B4-BE49-F238E27FC236}">
              <a16:creationId xmlns:a16="http://schemas.microsoft.com/office/drawing/2014/main" id="{00000000-0008-0000-0000-000007000000}"/>
            </a:ext>
          </a:extLst>
        </xdr:cNvPr>
        <xdr:cNvSpPr txBox="1"/>
      </xdr:nvSpPr>
      <xdr:spPr>
        <a:xfrm>
          <a:off x="1213866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163" name="TextBox 2162">
          <a:extLst>
            <a:ext uri="{FF2B5EF4-FFF2-40B4-BE49-F238E27FC236}">
              <a16:creationId xmlns:a16="http://schemas.microsoft.com/office/drawing/2014/main" id="{00000000-0008-0000-0000-000007000000}"/>
            </a:ext>
          </a:extLst>
        </xdr:cNvPr>
        <xdr:cNvSpPr txBox="1"/>
      </xdr:nvSpPr>
      <xdr:spPr>
        <a:xfrm>
          <a:off x="1213866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164" name="TextBox 2163">
          <a:extLst>
            <a:ext uri="{FF2B5EF4-FFF2-40B4-BE49-F238E27FC236}">
              <a16:creationId xmlns:a16="http://schemas.microsoft.com/office/drawing/2014/main" id="{00000000-0008-0000-0000-000007000000}"/>
            </a:ext>
          </a:extLst>
        </xdr:cNvPr>
        <xdr:cNvSpPr txBox="1"/>
      </xdr:nvSpPr>
      <xdr:spPr>
        <a:xfrm>
          <a:off x="1213866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165" name="TextBox 2164">
          <a:extLst>
            <a:ext uri="{FF2B5EF4-FFF2-40B4-BE49-F238E27FC236}">
              <a16:creationId xmlns:a16="http://schemas.microsoft.com/office/drawing/2014/main" id="{00000000-0008-0000-0000-000007000000}"/>
            </a:ext>
          </a:extLst>
        </xdr:cNvPr>
        <xdr:cNvSpPr txBox="1"/>
      </xdr:nvSpPr>
      <xdr:spPr>
        <a:xfrm>
          <a:off x="1213866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166" name="TextBox 2165">
          <a:extLst>
            <a:ext uri="{FF2B5EF4-FFF2-40B4-BE49-F238E27FC236}">
              <a16:creationId xmlns:a16="http://schemas.microsoft.com/office/drawing/2014/main" id="{00000000-0008-0000-0000-000007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167" name="TextBox 2166">
          <a:extLst>
            <a:ext uri="{FF2B5EF4-FFF2-40B4-BE49-F238E27FC236}">
              <a16:creationId xmlns:a16="http://schemas.microsoft.com/office/drawing/2014/main" id="{00000000-0008-0000-0000-000007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168" name="TextBox 2167">
          <a:extLst>
            <a:ext uri="{FF2B5EF4-FFF2-40B4-BE49-F238E27FC236}">
              <a16:creationId xmlns:a16="http://schemas.microsoft.com/office/drawing/2014/main" id="{00000000-0008-0000-0000-000007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169" name="TextBox 2168">
          <a:extLst>
            <a:ext uri="{FF2B5EF4-FFF2-40B4-BE49-F238E27FC236}">
              <a16:creationId xmlns:a16="http://schemas.microsoft.com/office/drawing/2014/main" id="{00000000-0008-0000-0000-000007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170" name="TextBox 2169">
          <a:extLst>
            <a:ext uri="{FF2B5EF4-FFF2-40B4-BE49-F238E27FC236}">
              <a16:creationId xmlns:a16="http://schemas.microsoft.com/office/drawing/2014/main" id="{00000000-0008-0000-0000-000007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171" name="TextBox 2170">
          <a:extLst>
            <a:ext uri="{FF2B5EF4-FFF2-40B4-BE49-F238E27FC236}">
              <a16:creationId xmlns:a16="http://schemas.microsoft.com/office/drawing/2014/main" id="{00000000-0008-0000-0000-000007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172" name="TextBox 2171">
          <a:extLst>
            <a:ext uri="{FF2B5EF4-FFF2-40B4-BE49-F238E27FC236}">
              <a16:creationId xmlns:a16="http://schemas.microsoft.com/office/drawing/2014/main" id="{00000000-0008-0000-0000-000007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173" name="TextBox 2172">
          <a:extLst>
            <a:ext uri="{FF2B5EF4-FFF2-40B4-BE49-F238E27FC236}">
              <a16:creationId xmlns:a16="http://schemas.microsoft.com/office/drawing/2014/main" id="{00000000-0008-0000-0000-000007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174" name="TextBox 2173">
          <a:extLst>
            <a:ext uri="{FF2B5EF4-FFF2-40B4-BE49-F238E27FC236}">
              <a16:creationId xmlns:a16="http://schemas.microsoft.com/office/drawing/2014/main" id="{00000000-0008-0000-0000-000007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175" name="TextBox 2174">
          <a:extLst>
            <a:ext uri="{FF2B5EF4-FFF2-40B4-BE49-F238E27FC236}">
              <a16:creationId xmlns:a16="http://schemas.microsoft.com/office/drawing/2014/main" id="{00000000-0008-0000-0000-000007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176" name="TextBox 2175">
          <a:extLst>
            <a:ext uri="{FF2B5EF4-FFF2-40B4-BE49-F238E27FC236}">
              <a16:creationId xmlns:a16="http://schemas.microsoft.com/office/drawing/2014/main" id="{00000000-0008-0000-0000-000007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177" name="TextBox 2176">
          <a:extLst>
            <a:ext uri="{FF2B5EF4-FFF2-40B4-BE49-F238E27FC236}">
              <a16:creationId xmlns:a16="http://schemas.microsoft.com/office/drawing/2014/main" id="{00000000-0008-0000-0000-000007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178" name="TextBox 2177">
          <a:extLst>
            <a:ext uri="{FF2B5EF4-FFF2-40B4-BE49-F238E27FC236}">
              <a16:creationId xmlns:a16="http://schemas.microsoft.com/office/drawing/2014/main" id="{00000000-0008-0000-0000-000007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179" name="TextBox 2178">
          <a:extLst>
            <a:ext uri="{FF2B5EF4-FFF2-40B4-BE49-F238E27FC236}">
              <a16:creationId xmlns:a16="http://schemas.microsoft.com/office/drawing/2014/main" id="{00000000-0008-0000-0000-000007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180" name="TextBox 2179">
          <a:extLst>
            <a:ext uri="{FF2B5EF4-FFF2-40B4-BE49-F238E27FC236}">
              <a16:creationId xmlns:a16="http://schemas.microsoft.com/office/drawing/2014/main" id="{00000000-0008-0000-0000-000007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181" name="TextBox 2180">
          <a:extLst>
            <a:ext uri="{FF2B5EF4-FFF2-40B4-BE49-F238E27FC236}">
              <a16:creationId xmlns:a16="http://schemas.microsoft.com/office/drawing/2014/main" id="{00000000-0008-0000-0000-000007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182" name="TextBox 2181">
          <a:extLst>
            <a:ext uri="{FF2B5EF4-FFF2-40B4-BE49-F238E27FC236}">
              <a16:creationId xmlns:a16="http://schemas.microsoft.com/office/drawing/2014/main" id="{00000000-0008-0000-0000-000007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183" name="TextBox 2182">
          <a:extLst>
            <a:ext uri="{FF2B5EF4-FFF2-40B4-BE49-F238E27FC236}">
              <a16:creationId xmlns:a16="http://schemas.microsoft.com/office/drawing/2014/main" id="{00000000-0008-0000-0000-000007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184" name="TextBox 2183">
          <a:extLst>
            <a:ext uri="{FF2B5EF4-FFF2-40B4-BE49-F238E27FC236}">
              <a16:creationId xmlns:a16="http://schemas.microsoft.com/office/drawing/2014/main" id="{00000000-0008-0000-0000-000007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185" name="TextBox 2184">
          <a:extLst>
            <a:ext uri="{FF2B5EF4-FFF2-40B4-BE49-F238E27FC236}">
              <a16:creationId xmlns:a16="http://schemas.microsoft.com/office/drawing/2014/main" id="{00000000-0008-0000-0000-000007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186" name="TextBox 2185">
          <a:extLst>
            <a:ext uri="{FF2B5EF4-FFF2-40B4-BE49-F238E27FC236}">
              <a16:creationId xmlns:a16="http://schemas.microsoft.com/office/drawing/2014/main" id="{00000000-0008-0000-0000-000007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187" name="TextBox 2186">
          <a:extLst>
            <a:ext uri="{FF2B5EF4-FFF2-40B4-BE49-F238E27FC236}">
              <a16:creationId xmlns:a16="http://schemas.microsoft.com/office/drawing/2014/main" id="{00000000-0008-0000-0000-000007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188" name="TextBox 2187">
          <a:extLst>
            <a:ext uri="{FF2B5EF4-FFF2-40B4-BE49-F238E27FC236}">
              <a16:creationId xmlns:a16="http://schemas.microsoft.com/office/drawing/2014/main" id="{00000000-0008-0000-0000-000007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189" name="TextBox 2188">
          <a:extLst>
            <a:ext uri="{FF2B5EF4-FFF2-40B4-BE49-F238E27FC236}">
              <a16:creationId xmlns:a16="http://schemas.microsoft.com/office/drawing/2014/main" id="{00000000-0008-0000-0000-000007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190" name="TextBox 2189">
          <a:extLst>
            <a:ext uri="{FF2B5EF4-FFF2-40B4-BE49-F238E27FC236}">
              <a16:creationId xmlns:a16="http://schemas.microsoft.com/office/drawing/2014/main" id="{00000000-0008-0000-0000-000007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191" name="TextBox 2190">
          <a:extLst>
            <a:ext uri="{FF2B5EF4-FFF2-40B4-BE49-F238E27FC236}">
              <a16:creationId xmlns:a16="http://schemas.microsoft.com/office/drawing/2014/main" id="{00000000-0008-0000-0000-000007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192" name="TextBox 2191">
          <a:extLst>
            <a:ext uri="{FF2B5EF4-FFF2-40B4-BE49-F238E27FC236}">
              <a16:creationId xmlns:a16="http://schemas.microsoft.com/office/drawing/2014/main" id="{00000000-0008-0000-0000-000007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193" name="TextBox 2192">
          <a:extLst>
            <a:ext uri="{FF2B5EF4-FFF2-40B4-BE49-F238E27FC236}">
              <a16:creationId xmlns:a16="http://schemas.microsoft.com/office/drawing/2014/main" id="{00000000-0008-0000-0000-000007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194" name="TextBox 2193">
          <a:extLst>
            <a:ext uri="{FF2B5EF4-FFF2-40B4-BE49-F238E27FC236}">
              <a16:creationId xmlns:a16="http://schemas.microsoft.com/office/drawing/2014/main" id="{00000000-0008-0000-0000-000007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195" name="TextBox 2194">
          <a:extLst>
            <a:ext uri="{FF2B5EF4-FFF2-40B4-BE49-F238E27FC236}">
              <a16:creationId xmlns:a16="http://schemas.microsoft.com/office/drawing/2014/main" id="{00000000-0008-0000-0000-000007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196" name="TextBox 2195">
          <a:extLst>
            <a:ext uri="{FF2B5EF4-FFF2-40B4-BE49-F238E27FC236}">
              <a16:creationId xmlns:a16="http://schemas.microsoft.com/office/drawing/2014/main" id="{00000000-0008-0000-0000-000007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197" name="TextBox 2196">
          <a:extLst>
            <a:ext uri="{FF2B5EF4-FFF2-40B4-BE49-F238E27FC236}">
              <a16:creationId xmlns:a16="http://schemas.microsoft.com/office/drawing/2014/main" id="{00000000-0008-0000-0000-000007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198" name="TextBox 2197">
          <a:extLst>
            <a:ext uri="{FF2B5EF4-FFF2-40B4-BE49-F238E27FC236}">
              <a16:creationId xmlns:a16="http://schemas.microsoft.com/office/drawing/2014/main" id="{00000000-0008-0000-0000-000007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199" name="TextBox 2198">
          <a:extLst>
            <a:ext uri="{FF2B5EF4-FFF2-40B4-BE49-F238E27FC236}">
              <a16:creationId xmlns:a16="http://schemas.microsoft.com/office/drawing/2014/main" id="{00000000-0008-0000-0000-000007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200" name="TextBox 2199">
          <a:extLst>
            <a:ext uri="{FF2B5EF4-FFF2-40B4-BE49-F238E27FC236}">
              <a16:creationId xmlns:a16="http://schemas.microsoft.com/office/drawing/2014/main" id="{00000000-0008-0000-0000-000007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201" name="TextBox 2200">
          <a:extLst>
            <a:ext uri="{FF2B5EF4-FFF2-40B4-BE49-F238E27FC236}">
              <a16:creationId xmlns:a16="http://schemas.microsoft.com/office/drawing/2014/main" id="{00000000-0008-0000-0000-000007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202" name="TextBox 2201">
          <a:extLst>
            <a:ext uri="{FF2B5EF4-FFF2-40B4-BE49-F238E27FC236}">
              <a16:creationId xmlns:a16="http://schemas.microsoft.com/office/drawing/2014/main" id="{00000000-0008-0000-0000-000007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203" name="TextBox 2202">
          <a:extLst>
            <a:ext uri="{FF2B5EF4-FFF2-40B4-BE49-F238E27FC236}">
              <a16:creationId xmlns:a16="http://schemas.microsoft.com/office/drawing/2014/main" id="{00000000-0008-0000-0000-000007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204" name="TextBox 2203">
          <a:extLst>
            <a:ext uri="{FF2B5EF4-FFF2-40B4-BE49-F238E27FC236}">
              <a16:creationId xmlns:a16="http://schemas.microsoft.com/office/drawing/2014/main" id="{00000000-0008-0000-0000-000007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205" name="TextBox 2204">
          <a:extLst>
            <a:ext uri="{FF2B5EF4-FFF2-40B4-BE49-F238E27FC236}">
              <a16:creationId xmlns:a16="http://schemas.microsoft.com/office/drawing/2014/main" id="{00000000-0008-0000-0000-000007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206" name="TextBox 2205">
          <a:extLst>
            <a:ext uri="{FF2B5EF4-FFF2-40B4-BE49-F238E27FC236}">
              <a16:creationId xmlns:a16="http://schemas.microsoft.com/office/drawing/2014/main" id="{00000000-0008-0000-0000-000007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207" name="TextBox 2206">
          <a:extLst>
            <a:ext uri="{FF2B5EF4-FFF2-40B4-BE49-F238E27FC236}">
              <a16:creationId xmlns:a16="http://schemas.microsoft.com/office/drawing/2014/main" id="{00000000-0008-0000-0000-000007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208" name="TextBox 2207">
          <a:extLst>
            <a:ext uri="{FF2B5EF4-FFF2-40B4-BE49-F238E27FC236}">
              <a16:creationId xmlns:a16="http://schemas.microsoft.com/office/drawing/2014/main" id="{00000000-0008-0000-0000-000007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209" name="TextBox 2208">
          <a:extLst>
            <a:ext uri="{FF2B5EF4-FFF2-40B4-BE49-F238E27FC236}">
              <a16:creationId xmlns:a16="http://schemas.microsoft.com/office/drawing/2014/main" id="{00000000-0008-0000-0000-000007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210" name="TextBox 2209">
          <a:extLst>
            <a:ext uri="{FF2B5EF4-FFF2-40B4-BE49-F238E27FC236}">
              <a16:creationId xmlns:a16="http://schemas.microsoft.com/office/drawing/2014/main" id="{00000000-0008-0000-0000-000007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211" name="TextBox 2210">
          <a:extLst>
            <a:ext uri="{FF2B5EF4-FFF2-40B4-BE49-F238E27FC236}">
              <a16:creationId xmlns:a16="http://schemas.microsoft.com/office/drawing/2014/main" id="{00000000-0008-0000-0000-000007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212" name="TextBox 2211">
          <a:extLst>
            <a:ext uri="{FF2B5EF4-FFF2-40B4-BE49-F238E27FC236}">
              <a16:creationId xmlns:a16="http://schemas.microsoft.com/office/drawing/2014/main" id="{00000000-0008-0000-0000-000007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213" name="TextBox 2212">
          <a:extLst>
            <a:ext uri="{FF2B5EF4-FFF2-40B4-BE49-F238E27FC236}">
              <a16:creationId xmlns:a16="http://schemas.microsoft.com/office/drawing/2014/main" id="{00000000-0008-0000-0000-000007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214" name="TextBox 2213">
          <a:extLst>
            <a:ext uri="{FF2B5EF4-FFF2-40B4-BE49-F238E27FC236}">
              <a16:creationId xmlns:a16="http://schemas.microsoft.com/office/drawing/2014/main" id="{00000000-0008-0000-0000-000007000000}"/>
            </a:ext>
          </a:extLst>
        </xdr:cNvPr>
        <xdr:cNvSpPr txBox="1"/>
      </xdr:nvSpPr>
      <xdr:spPr>
        <a:xfrm>
          <a:off x="1213866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215" name="TextBox 2214">
          <a:extLst>
            <a:ext uri="{FF2B5EF4-FFF2-40B4-BE49-F238E27FC236}">
              <a16:creationId xmlns:a16="http://schemas.microsoft.com/office/drawing/2014/main" id="{00000000-0008-0000-0000-000007000000}"/>
            </a:ext>
          </a:extLst>
        </xdr:cNvPr>
        <xdr:cNvSpPr txBox="1"/>
      </xdr:nvSpPr>
      <xdr:spPr>
        <a:xfrm>
          <a:off x="1213866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216" name="TextBox 2215">
          <a:extLst>
            <a:ext uri="{FF2B5EF4-FFF2-40B4-BE49-F238E27FC236}">
              <a16:creationId xmlns:a16="http://schemas.microsoft.com/office/drawing/2014/main" id="{00000000-0008-0000-0000-000007000000}"/>
            </a:ext>
          </a:extLst>
        </xdr:cNvPr>
        <xdr:cNvSpPr txBox="1"/>
      </xdr:nvSpPr>
      <xdr:spPr>
        <a:xfrm>
          <a:off x="1213866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217" name="TextBox 2216">
          <a:extLst>
            <a:ext uri="{FF2B5EF4-FFF2-40B4-BE49-F238E27FC236}">
              <a16:creationId xmlns:a16="http://schemas.microsoft.com/office/drawing/2014/main" id="{00000000-0008-0000-0000-000007000000}"/>
            </a:ext>
          </a:extLst>
        </xdr:cNvPr>
        <xdr:cNvSpPr txBox="1"/>
      </xdr:nvSpPr>
      <xdr:spPr>
        <a:xfrm>
          <a:off x="1213866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218" name="TextBox 2217">
          <a:extLst>
            <a:ext uri="{FF2B5EF4-FFF2-40B4-BE49-F238E27FC236}">
              <a16:creationId xmlns:a16="http://schemas.microsoft.com/office/drawing/2014/main" id="{00000000-0008-0000-0000-000007000000}"/>
            </a:ext>
          </a:extLst>
        </xdr:cNvPr>
        <xdr:cNvSpPr txBox="1"/>
      </xdr:nvSpPr>
      <xdr:spPr>
        <a:xfrm>
          <a:off x="1213866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219" name="TextBox 2218">
          <a:extLst>
            <a:ext uri="{FF2B5EF4-FFF2-40B4-BE49-F238E27FC236}">
              <a16:creationId xmlns:a16="http://schemas.microsoft.com/office/drawing/2014/main" id="{00000000-0008-0000-0000-000007000000}"/>
            </a:ext>
          </a:extLst>
        </xdr:cNvPr>
        <xdr:cNvSpPr txBox="1"/>
      </xdr:nvSpPr>
      <xdr:spPr>
        <a:xfrm>
          <a:off x="1213866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220" name="TextBox 2219">
          <a:extLst>
            <a:ext uri="{FF2B5EF4-FFF2-40B4-BE49-F238E27FC236}">
              <a16:creationId xmlns:a16="http://schemas.microsoft.com/office/drawing/2014/main" id="{00000000-0008-0000-0000-000007000000}"/>
            </a:ext>
          </a:extLst>
        </xdr:cNvPr>
        <xdr:cNvSpPr txBox="1"/>
      </xdr:nvSpPr>
      <xdr:spPr>
        <a:xfrm>
          <a:off x="1213866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221" name="TextBox 2220">
          <a:extLst>
            <a:ext uri="{FF2B5EF4-FFF2-40B4-BE49-F238E27FC236}">
              <a16:creationId xmlns:a16="http://schemas.microsoft.com/office/drawing/2014/main" id="{00000000-0008-0000-0000-000007000000}"/>
            </a:ext>
          </a:extLst>
        </xdr:cNvPr>
        <xdr:cNvSpPr txBox="1"/>
      </xdr:nvSpPr>
      <xdr:spPr>
        <a:xfrm>
          <a:off x="1213866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222" name="TextBox 2221">
          <a:extLst>
            <a:ext uri="{FF2B5EF4-FFF2-40B4-BE49-F238E27FC236}">
              <a16:creationId xmlns:a16="http://schemas.microsoft.com/office/drawing/2014/main" id="{00000000-0008-0000-0000-000007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223" name="TextBox 2222">
          <a:extLst>
            <a:ext uri="{FF2B5EF4-FFF2-40B4-BE49-F238E27FC236}">
              <a16:creationId xmlns:a16="http://schemas.microsoft.com/office/drawing/2014/main" id="{00000000-0008-0000-0000-000007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224" name="TextBox 2223">
          <a:extLst>
            <a:ext uri="{FF2B5EF4-FFF2-40B4-BE49-F238E27FC236}">
              <a16:creationId xmlns:a16="http://schemas.microsoft.com/office/drawing/2014/main" id="{00000000-0008-0000-0000-000007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225" name="TextBox 2224">
          <a:extLst>
            <a:ext uri="{FF2B5EF4-FFF2-40B4-BE49-F238E27FC236}">
              <a16:creationId xmlns:a16="http://schemas.microsoft.com/office/drawing/2014/main" id="{00000000-0008-0000-0000-000007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226" name="TextBox 2225">
          <a:extLst>
            <a:ext uri="{FF2B5EF4-FFF2-40B4-BE49-F238E27FC236}">
              <a16:creationId xmlns:a16="http://schemas.microsoft.com/office/drawing/2014/main" id="{00000000-0008-0000-0000-000007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227" name="TextBox 2226">
          <a:extLst>
            <a:ext uri="{FF2B5EF4-FFF2-40B4-BE49-F238E27FC236}">
              <a16:creationId xmlns:a16="http://schemas.microsoft.com/office/drawing/2014/main" id="{00000000-0008-0000-0000-000007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228" name="TextBox 2227">
          <a:extLst>
            <a:ext uri="{FF2B5EF4-FFF2-40B4-BE49-F238E27FC236}">
              <a16:creationId xmlns:a16="http://schemas.microsoft.com/office/drawing/2014/main" id="{00000000-0008-0000-0000-000007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229" name="TextBox 2228">
          <a:extLst>
            <a:ext uri="{FF2B5EF4-FFF2-40B4-BE49-F238E27FC236}">
              <a16:creationId xmlns:a16="http://schemas.microsoft.com/office/drawing/2014/main" id="{00000000-0008-0000-0000-000007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230" name="TextBox 2229">
          <a:extLst>
            <a:ext uri="{FF2B5EF4-FFF2-40B4-BE49-F238E27FC236}">
              <a16:creationId xmlns:a16="http://schemas.microsoft.com/office/drawing/2014/main" id="{00000000-0008-0000-0000-000007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231" name="TextBox 2230">
          <a:extLst>
            <a:ext uri="{FF2B5EF4-FFF2-40B4-BE49-F238E27FC236}">
              <a16:creationId xmlns:a16="http://schemas.microsoft.com/office/drawing/2014/main" id="{00000000-0008-0000-0000-000007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232" name="TextBox 2231">
          <a:extLst>
            <a:ext uri="{FF2B5EF4-FFF2-40B4-BE49-F238E27FC236}">
              <a16:creationId xmlns:a16="http://schemas.microsoft.com/office/drawing/2014/main" id="{00000000-0008-0000-0000-000007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233" name="TextBox 2232">
          <a:extLst>
            <a:ext uri="{FF2B5EF4-FFF2-40B4-BE49-F238E27FC236}">
              <a16:creationId xmlns:a16="http://schemas.microsoft.com/office/drawing/2014/main" id="{00000000-0008-0000-0000-000007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234" name="TextBox 2233">
          <a:extLst>
            <a:ext uri="{FF2B5EF4-FFF2-40B4-BE49-F238E27FC236}">
              <a16:creationId xmlns:a16="http://schemas.microsoft.com/office/drawing/2014/main" id="{00000000-0008-0000-0000-000007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235" name="TextBox 2234">
          <a:extLst>
            <a:ext uri="{FF2B5EF4-FFF2-40B4-BE49-F238E27FC236}">
              <a16:creationId xmlns:a16="http://schemas.microsoft.com/office/drawing/2014/main" id="{00000000-0008-0000-0000-000007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236" name="TextBox 2235">
          <a:extLst>
            <a:ext uri="{FF2B5EF4-FFF2-40B4-BE49-F238E27FC236}">
              <a16:creationId xmlns:a16="http://schemas.microsoft.com/office/drawing/2014/main" id="{00000000-0008-0000-0000-000007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237" name="TextBox 2236">
          <a:extLst>
            <a:ext uri="{FF2B5EF4-FFF2-40B4-BE49-F238E27FC236}">
              <a16:creationId xmlns:a16="http://schemas.microsoft.com/office/drawing/2014/main" id="{00000000-0008-0000-0000-000007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238" name="TextBox 2237">
          <a:extLst>
            <a:ext uri="{FF2B5EF4-FFF2-40B4-BE49-F238E27FC236}">
              <a16:creationId xmlns:a16="http://schemas.microsoft.com/office/drawing/2014/main" id="{00000000-0008-0000-0000-000007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239" name="TextBox 2238">
          <a:extLst>
            <a:ext uri="{FF2B5EF4-FFF2-40B4-BE49-F238E27FC236}">
              <a16:creationId xmlns:a16="http://schemas.microsoft.com/office/drawing/2014/main" id="{00000000-0008-0000-0000-000007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240" name="TextBox 2239">
          <a:extLst>
            <a:ext uri="{FF2B5EF4-FFF2-40B4-BE49-F238E27FC236}">
              <a16:creationId xmlns:a16="http://schemas.microsoft.com/office/drawing/2014/main" id="{00000000-0008-0000-0000-000007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241" name="TextBox 2240">
          <a:extLst>
            <a:ext uri="{FF2B5EF4-FFF2-40B4-BE49-F238E27FC236}">
              <a16:creationId xmlns:a16="http://schemas.microsoft.com/office/drawing/2014/main" id="{00000000-0008-0000-0000-000007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242" name="TextBox 2241">
          <a:extLst>
            <a:ext uri="{FF2B5EF4-FFF2-40B4-BE49-F238E27FC236}">
              <a16:creationId xmlns:a16="http://schemas.microsoft.com/office/drawing/2014/main" id="{00000000-0008-0000-0000-000007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243" name="TextBox 2242">
          <a:extLst>
            <a:ext uri="{FF2B5EF4-FFF2-40B4-BE49-F238E27FC236}">
              <a16:creationId xmlns:a16="http://schemas.microsoft.com/office/drawing/2014/main" id="{00000000-0008-0000-0000-000007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244" name="TextBox 2243">
          <a:extLst>
            <a:ext uri="{FF2B5EF4-FFF2-40B4-BE49-F238E27FC236}">
              <a16:creationId xmlns:a16="http://schemas.microsoft.com/office/drawing/2014/main" id="{00000000-0008-0000-0000-000007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245" name="TextBox 2244">
          <a:extLst>
            <a:ext uri="{FF2B5EF4-FFF2-40B4-BE49-F238E27FC236}">
              <a16:creationId xmlns:a16="http://schemas.microsoft.com/office/drawing/2014/main" id="{00000000-0008-0000-0000-000007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246" name="TextBox 2245">
          <a:extLst>
            <a:ext uri="{FF2B5EF4-FFF2-40B4-BE49-F238E27FC236}">
              <a16:creationId xmlns:a16="http://schemas.microsoft.com/office/drawing/2014/main" id="{00000000-0008-0000-0000-000007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247" name="TextBox 2246">
          <a:extLst>
            <a:ext uri="{FF2B5EF4-FFF2-40B4-BE49-F238E27FC236}">
              <a16:creationId xmlns:a16="http://schemas.microsoft.com/office/drawing/2014/main" id="{00000000-0008-0000-0000-000007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248" name="TextBox 2247">
          <a:extLst>
            <a:ext uri="{FF2B5EF4-FFF2-40B4-BE49-F238E27FC236}">
              <a16:creationId xmlns:a16="http://schemas.microsoft.com/office/drawing/2014/main" id="{00000000-0008-0000-0000-000007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249" name="TextBox 2248">
          <a:extLst>
            <a:ext uri="{FF2B5EF4-FFF2-40B4-BE49-F238E27FC236}">
              <a16:creationId xmlns:a16="http://schemas.microsoft.com/office/drawing/2014/main" id="{00000000-0008-0000-0000-000007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250" name="TextBox 2249">
          <a:extLst>
            <a:ext uri="{FF2B5EF4-FFF2-40B4-BE49-F238E27FC236}">
              <a16:creationId xmlns:a16="http://schemas.microsoft.com/office/drawing/2014/main" id="{00000000-0008-0000-0000-000007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251" name="TextBox 2250">
          <a:extLst>
            <a:ext uri="{FF2B5EF4-FFF2-40B4-BE49-F238E27FC236}">
              <a16:creationId xmlns:a16="http://schemas.microsoft.com/office/drawing/2014/main" id="{00000000-0008-0000-0000-000007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252" name="TextBox 2251">
          <a:extLst>
            <a:ext uri="{FF2B5EF4-FFF2-40B4-BE49-F238E27FC236}">
              <a16:creationId xmlns:a16="http://schemas.microsoft.com/office/drawing/2014/main" id="{00000000-0008-0000-0000-000007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253" name="TextBox 2252">
          <a:extLst>
            <a:ext uri="{FF2B5EF4-FFF2-40B4-BE49-F238E27FC236}">
              <a16:creationId xmlns:a16="http://schemas.microsoft.com/office/drawing/2014/main" id="{00000000-0008-0000-0000-000007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254" name="TextBox 2253">
          <a:extLst>
            <a:ext uri="{FF2B5EF4-FFF2-40B4-BE49-F238E27FC236}">
              <a16:creationId xmlns:a16="http://schemas.microsoft.com/office/drawing/2014/main" id="{00000000-0008-0000-0000-000007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255" name="TextBox 2254">
          <a:extLst>
            <a:ext uri="{FF2B5EF4-FFF2-40B4-BE49-F238E27FC236}">
              <a16:creationId xmlns:a16="http://schemas.microsoft.com/office/drawing/2014/main" id="{00000000-0008-0000-0000-000007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256" name="TextBox 2255">
          <a:extLst>
            <a:ext uri="{FF2B5EF4-FFF2-40B4-BE49-F238E27FC236}">
              <a16:creationId xmlns:a16="http://schemas.microsoft.com/office/drawing/2014/main" id="{00000000-0008-0000-0000-000007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257" name="TextBox 2256">
          <a:extLst>
            <a:ext uri="{FF2B5EF4-FFF2-40B4-BE49-F238E27FC236}">
              <a16:creationId xmlns:a16="http://schemas.microsoft.com/office/drawing/2014/main" id="{00000000-0008-0000-0000-000007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258" name="TextBox 2257">
          <a:extLst>
            <a:ext uri="{FF2B5EF4-FFF2-40B4-BE49-F238E27FC236}">
              <a16:creationId xmlns:a16="http://schemas.microsoft.com/office/drawing/2014/main" id="{00000000-0008-0000-0000-000007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259" name="TextBox 2258">
          <a:extLst>
            <a:ext uri="{FF2B5EF4-FFF2-40B4-BE49-F238E27FC236}">
              <a16:creationId xmlns:a16="http://schemas.microsoft.com/office/drawing/2014/main" id="{00000000-0008-0000-0000-000007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260" name="TextBox 2259">
          <a:extLst>
            <a:ext uri="{FF2B5EF4-FFF2-40B4-BE49-F238E27FC236}">
              <a16:creationId xmlns:a16="http://schemas.microsoft.com/office/drawing/2014/main" id="{00000000-0008-0000-0000-000007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261" name="TextBox 2260">
          <a:extLst>
            <a:ext uri="{FF2B5EF4-FFF2-40B4-BE49-F238E27FC236}">
              <a16:creationId xmlns:a16="http://schemas.microsoft.com/office/drawing/2014/main" id="{00000000-0008-0000-0000-000007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262" name="TextBox 2261">
          <a:extLst>
            <a:ext uri="{FF2B5EF4-FFF2-40B4-BE49-F238E27FC236}">
              <a16:creationId xmlns:a16="http://schemas.microsoft.com/office/drawing/2014/main" id="{00000000-0008-0000-0000-000007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263" name="TextBox 2262">
          <a:extLst>
            <a:ext uri="{FF2B5EF4-FFF2-40B4-BE49-F238E27FC236}">
              <a16:creationId xmlns:a16="http://schemas.microsoft.com/office/drawing/2014/main" id="{00000000-0008-0000-0000-000007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264" name="TextBox 2263">
          <a:extLst>
            <a:ext uri="{FF2B5EF4-FFF2-40B4-BE49-F238E27FC236}">
              <a16:creationId xmlns:a16="http://schemas.microsoft.com/office/drawing/2014/main" id="{00000000-0008-0000-0000-000007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265" name="TextBox 2264">
          <a:extLst>
            <a:ext uri="{FF2B5EF4-FFF2-40B4-BE49-F238E27FC236}">
              <a16:creationId xmlns:a16="http://schemas.microsoft.com/office/drawing/2014/main" id="{00000000-0008-0000-0000-000007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266" name="TextBox 2265">
          <a:extLst>
            <a:ext uri="{FF2B5EF4-FFF2-40B4-BE49-F238E27FC236}">
              <a16:creationId xmlns:a16="http://schemas.microsoft.com/office/drawing/2014/main" id="{00000000-0008-0000-0000-000007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267" name="TextBox 2266">
          <a:extLst>
            <a:ext uri="{FF2B5EF4-FFF2-40B4-BE49-F238E27FC236}">
              <a16:creationId xmlns:a16="http://schemas.microsoft.com/office/drawing/2014/main" id="{00000000-0008-0000-0000-000007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268" name="TextBox 2267">
          <a:extLst>
            <a:ext uri="{FF2B5EF4-FFF2-40B4-BE49-F238E27FC236}">
              <a16:creationId xmlns:a16="http://schemas.microsoft.com/office/drawing/2014/main" id="{00000000-0008-0000-0000-000007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269" name="TextBox 2268">
          <a:extLst>
            <a:ext uri="{FF2B5EF4-FFF2-40B4-BE49-F238E27FC236}">
              <a16:creationId xmlns:a16="http://schemas.microsoft.com/office/drawing/2014/main" id="{00000000-0008-0000-0000-000007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270" name="TextBox 2269">
          <a:extLst>
            <a:ext uri="{FF2B5EF4-FFF2-40B4-BE49-F238E27FC236}">
              <a16:creationId xmlns:a16="http://schemas.microsoft.com/office/drawing/2014/main" id="{00000000-0008-0000-0000-000007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271" name="TextBox 2270">
          <a:extLst>
            <a:ext uri="{FF2B5EF4-FFF2-40B4-BE49-F238E27FC236}">
              <a16:creationId xmlns:a16="http://schemas.microsoft.com/office/drawing/2014/main" id="{00000000-0008-0000-0000-000007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272" name="TextBox 2271">
          <a:extLst>
            <a:ext uri="{FF2B5EF4-FFF2-40B4-BE49-F238E27FC236}">
              <a16:creationId xmlns:a16="http://schemas.microsoft.com/office/drawing/2014/main" id="{00000000-0008-0000-0000-000007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273" name="TextBox 2272">
          <a:extLst>
            <a:ext uri="{FF2B5EF4-FFF2-40B4-BE49-F238E27FC236}">
              <a16:creationId xmlns:a16="http://schemas.microsoft.com/office/drawing/2014/main" id="{00000000-0008-0000-0000-000007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274" name="TextBox 2273">
          <a:extLst>
            <a:ext uri="{FF2B5EF4-FFF2-40B4-BE49-F238E27FC236}">
              <a16:creationId xmlns:a16="http://schemas.microsoft.com/office/drawing/2014/main" id="{00000000-0008-0000-0000-000007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275" name="TextBox 2274">
          <a:extLst>
            <a:ext uri="{FF2B5EF4-FFF2-40B4-BE49-F238E27FC236}">
              <a16:creationId xmlns:a16="http://schemas.microsoft.com/office/drawing/2014/main" id="{00000000-0008-0000-0000-000007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276" name="TextBox 2275">
          <a:extLst>
            <a:ext uri="{FF2B5EF4-FFF2-40B4-BE49-F238E27FC236}">
              <a16:creationId xmlns:a16="http://schemas.microsoft.com/office/drawing/2014/main" id="{00000000-0008-0000-0000-000007000000}"/>
            </a:ext>
          </a:extLst>
        </xdr:cNvPr>
        <xdr:cNvSpPr txBox="1"/>
      </xdr:nvSpPr>
      <xdr:spPr>
        <a:xfrm>
          <a:off x="1213866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277" name="TextBox 2276">
          <a:extLst>
            <a:ext uri="{FF2B5EF4-FFF2-40B4-BE49-F238E27FC236}">
              <a16:creationId xmlns:a16="http://schemas.microsoft.com/office/drawing/2014/main" id="{00000000-0008-0000-0000-000007000000}"/>
            </a:ext>
          </a:extLst>
        </xdr:cNvPr>
        <xdr:cNvSpPr txBox="1"/>
      </xdr:nvSpPr>
      <xdr:spPr>
        <a:xfrm>
          <a:off x="1213866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278" name="TextBox 2277">
          <a:extLst>
            <a:ext uri="{FF2B5EF4-FFF2-40B4-BE49-F238E27FC236}">
              <a16:creationId xmlns:a16="http://schemas.microsoft.com/office/drawing/2014/main" id="{00000000-0008-0000-0000-000007000000}"/>
            </a:ext>
          </a:extLst>
        </xdr:cNvPr>
        <xdr:cNvSpPr txBox="1"/>
      </xdr:nvSpPr>
      <xdr:spPr>
        <a:xfrm>
          <a:off x="1213866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279" name="TextBox 2278">
          <a:extLst>
            <a:ext uri="{FF2B5EF4-FFF2-40B4-BE49-F238E27FC236}">
              <a16:creationId xmlns:a16="http://schemas.microsoft.com/office/drawing/2014/main" id="{00000000-0008-0000-0000-000007000000}"/>
            </a:ext>
          </a:extLst>
        </xdr:cNvPr>
        <xdr:cNvSpPr txBox="1"/>
      </xdr:nvSpPr>
      <xdr:spPr>
        <a:xfrm>
          <a:off x="1213866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280" name="TextBox 2279">
          <a:extLst>
            <a:ext uri="{FF2B5EF4-FFF2-40B4-BE49-F238E27FC236}">
              <a16:creationId xmlns:a16="http://schemas.microsoft.com/office/drawing/2014/main" id="{00000000-0008-0000-0000-000007000000}"/>
            </a:ext>
          </a:extLst>
        </xdr:cNvPr>
        <xdr:cNvSpPr txBox="1"/>
      </xdr:nvSpPr>
      <xdr:spPr>
        <a:xfrm>
          <a:off x="1213866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281" name="TextBox 2280">
          <a:extLst>
            <a:ext uri="{FF2B5EF4-FFF2-40B4-BE49-F238E27FC236}">
              <a16:creationId xmlns:a16="http://schemas.microsoft.com/office/drawing/2014/main" id="{00000000-0008-0000-0000-000007000000}"/>
            </a:ext>
          </a:extLst>
        </xdr:cNvPr>
        <xdr:cNvSpPr txBox="1"/>
      </xdr:nvSpPr>
      <xdr:spPr>
        <a:xfrm>
          <a:off x="1213866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282" name="TextBox 2281">
          <a:extLst>
            <a:ext uri="{FF2B5EF4-FFF2-40B4-BE49-F238E27FC236}">
              <a16:creationId xmlns:a16="http://schemas.microsoft.com/office/drawing/2014/main" id="{00000000-0008-0000-0000-000007000000}"/>
            </a:ext>
          </a:extLst>
        </xdr:cNvPr>
        <xdr:cNvSpPr txBox="1"/>
      </xdr:nvSpPr>
      <xdr:spPr>
        <a:xfrm>
          <a:off x="1213866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283" name="TextBox 2282">
          <a:extLst>
            <a:ext uri="{FF2B5EF4-FFF2-40B4-BE49-F238E27FC236}">
              <a16:creationId xmlns:a16="http://schemas.microsoft.com/office/drawing/2014/main" id="{00000000-0008-0000-0000-000007000000}"/>
            </a:ext>
          </a:extLst>
        </xdr:cNvPr>
        <xdr:cNvSpPr txBox="1"/>
      </xdr:nvSpPr>
      <xdr:spPr>
        <a:xfrm>
          <a:off x="1213866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284" name="TextBox 2283">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285" name="TextBox 2284">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286" name="TextBox 2285">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287" name="TextBox 2286">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288" name="TextBox 2287">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289" name="TextBox 2288">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290" name="TextBox 2289">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291" name="TextBox 2290">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292" name="TextBox 2291">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293" name="TextBox 2292">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294" name="TextBox 2293">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295" name="TextBox 2294">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296" name="TextBox 2295">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297" name="TextBox 2296">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298" name="TextBox 2297">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299" name="TextBox 2298">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300" name="TextBox 2299">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301" name="TextBox 2300">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302" name="TextBox 2301">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303" name="TextBox 2302">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304" name="TextBox 2303">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305" name="TextBox 2304">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306" name="TextBox 2305">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307" name="TextBox 2306">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308" name="TextBox 2307">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309" name="TextBox 2308">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310" name="TextBox 2309">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311" name="TextBox 2310">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312" name="TextBox 2311">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313" name="TextBox 2312">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314" name="TextBox 2313">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315" name="TextBox 2314">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316" name="TextBox 2315">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317" name="TextBox 2316">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318" name="TextBox 2317">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319" name="TextBox 2318">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320" name="TextBox 2319">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321" name="TextBox 2320">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322" name="TextBox 2321">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323" name="TextBox 2322">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324" name="TextBox 2323">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325" name="TextBox 2324">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326" name="TextBox 2325">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327" name="TextBox 2326">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328" name="TextBox 2327">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329" name="TextBox 2328">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330" name="TextBox 2329">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331" name="TextBox 2330">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332" name="TextBox 2331">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333" name="TextBox 2332">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334" name="TextBox 2333">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335" name="TextBox 2334">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336" name="TextBox 2335">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337" name="TextBox 2336">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338" name="TextBox 2337">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339" name="TextBox 2338">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340" name="TextBox 2339">
          <a:extLst>
            <a:ext uri="{FF2B5EF4-FFF2-40B4-BE49-F238E27FC236}">
              <a16:creationId xmlns:a16="http://schemas.microsoft.com/office/drawing/2014/main" id="{00000000-0008-0000-0000-000007000000}"/>
            </a:ext>
          </a:extLst>
        </xdr:cNvPr>
        <xdr:cNvSpPr txBox="1"/>
      </xdr:nvSpPr>
      <xdr:spPr>
        <a:xfrm>
          <a:off x="1213866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341" name="TextBox 2340">
          <a:extLst>
            <a:ext uri="{FF2B5EF4-FFF2-40B4-BE49-F238E27FC236}">
              <a16:creationId xmlns:a16="http://schemas.microsoft.com/office/drawing/2014/main" id="{00000000-0008-0000-0000-000007000000}"/>
            </a:ext>
          </a:extLst>
        </xdr:cNvPr>
        <xdr:cNvSpPr txBox="1"/>
      </xdr:nvSpPr>
      <xdr:spPr>
        <a:xfrm>
          <a:off x="1213866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342" name="TextBox 2341">
          <a:extLst>
            <a:ext uri="{FF2B5EF4-FFF2-40B4-BE49-F238E27FC236}">
              <a16:creationId xmlns:a16="http://schemas.microsoft.com/office/drawing/2014/main" id="{00000000-0008-0000-0000-000007000000}"/>
            </a:ext>
          </a:extLst>
        </xdr:cNvPr>
        <xdr:cNvSpPr txBox="1"/>
      </xdr:nvSpPr>
      <xdr:spPr>
        <a:xfrm>
          <a:off x="1213866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343" name="TextBox 2342">
          <a:extLst>
            <a:ext uri="{FF2B5EF4-FFF2-40B4-BE49-F238E27FC236}">
              <a16:creationId xmlns:a16="http://schemas.microsoft.com/office/drawing/2014/main" id="{00000000-0008-0000-0000-000007000000}"/>
            </a:ext>
          </a:extLst>
        </xdr:cNvPr>
        <xdr:cNvSpPr txBox="1"/>
      </xdr:nvSpPr>
      <xdr:spPr>
        <a:xfrm>
          <a:off x="1213866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344" name="TextBox 2343">
          <a:extLst>
            <a:ext uri="{FF2B5EF4-FFF2-40B4-BE49-F238E27FC236}">
              <a16:creationId xmlns:a16="http://schemas.microsoft.com/office/drawing/2014/main" id="{00000000-0008-0000-0000-000007000000}"/>
            </a:ext>
          </a:extLst>
        </xdr:cNvPr>
        <xdr:cNvSpPr txBox="1"/>
      </xdr:nvSpPr>
      <xdr:spPr>
        <a:xfrm>
          <a:off x="1213866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345" name="TextBox 2344">
          <a:extLst>
            <a:ext uri="{FF2B5EF4-FFF2-40B4-BE49-F238E27FC236}">
              <a16:creationId xmlns:a16="http://schemas.microsoft.com/office/drawing/2014/main" id="{00000000-0008-0000-0000-000007000000}"/>
            </a:ext>
          </a:extLst>
        </xdr:cNvPr>
        <xdr:cNvSpPr txBox="1"/>
      </xdr:nvSpPr>
      <xdr:spPr>
        <a:xfrm>
          <a:off x="1213866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346" name="TextBox 2345">
          <a:extLst>
            <a:ext uri="{FF2B5EF4-FFF2-40B4-BE49-F238E27FC236}">
              <a16:creationId xmlns:a16="http://schemas.microsoft.com/office/drawing/2014/main" id="{00000000-0008-0000-0000-000007000000}"/>
            </a:ext>
          </a:extLst>
        </xdr:cNvPr>
        <xdr:cNvSpPr txBox="1"/>
      </xdr:nvSpPr>
      <xdr:spPr>
        <a:xfrm>
          <a:off x="1213866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347" name="TextBox 2346">
          <a:extLst>
            <a:ext uri="{FF2B5EF4-FFF2-40B4-BE49-F238E27FC236}">
              <a16:creationId xmlns:a16="http://schemas.microsoft.com/office/drawing/2014/main" id="{00000000-0008-0000-0000-000007000000}"/>
            </a:ext>
          </a:extLst>
        </xdr:cNvPr>
        <xdr:cNvSpPr txBox="1"/>
      </xdr:nvSpPr>
      <xdr:spPr>
        <a:xfrm>
          <a:off x="1213866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348" name="TextBox 2347">
          <a:extLst>
            <a:ext uri="{FF2B5EF4-FFF2-40B4-BE49-F238E27FC236}">
              <a16:creationId xmlns:a16="http://schemas.microsoft.com/office/drawing/2014/main" id="{00000000-0008-0000-0000-000007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349" name="TextBox 2348">
          <a:extLst>
            <a:ext uri="{FF2B5EF4-FFF2-40B4-BE49-F238E27FC236}">
              <a16:creationId xmlns:a16="http://schemas.microsoft.com/office/drawing/2014/main" id="{00000000-0008-0000-0000-000007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350" name="TextBox 2349">
          <a:extLst>
            <a:ext uri="{FF2B5EF4-FFF2-40B4-BE49-F238E27FC236}">
              <a16:creationId xmlns:a16="http://schemas.microsoft.com/office/drawing/2014/main" id="{00000000-0008-0000-0000-000007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351" name="TextBox 2350">
          <a:extLst>
            <a:ext uri="{FF2B5EF4-FFF2-40B4-BE49-F238E27FC236}">
              <a16:creationId xmlns:a16="http://schemas.microsoft.com/office/drawing/2014/main" id="{00000000-0008-0000-0000-000007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352" name="TextBox 2351">
          <a:extLst>
            <a:ext uri="{FF2B5EF4-FFF2-40B4-BE49-F238E27FC236}">
              <a16:creationId xmlns:a16="http://schemas.microsoft.com/office/drawing/2014/main" id="{00000000-0008-0000-0000-000007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353" name="TextBox 2352">
          <a:extLst>
            <a:ext uri="{FF2B5EF4-FFF2-40B4-BE49-F238E27FC236}">
              <a16:creationId xmlns:a16="http://schemas.microsoft.com/office/drawing/2014/main" id="{00000000-0008-0000-0000-000007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354" name="TextBox 2353">
          <a:extLst>
            <a:ext uri="{FF2B5EF4-FFF2-40B4-BE49-F238E27FC236}">
              <a16:creationId xmlns:a16="http://schemas.microsoft.com/office/drawing/2014/main" id="{00000000-0008-0000-0000-000007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355" name="TextBox 2354">
          <a:extLst>
            <a:ext uri="{FF2B5EF4-FFF2-40B4-BE49-F238E27FC236}">
              <a16:creationId xmlns:a16="http://schemas.microsoft.com/office/drawing/2014/main" id="{00000000-0008-0000-0000-000007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356" name="TextBox 2355">
          <a:extLst>
            <a:ext uri="{FF2B5EF4-FFF2-40B4-BE49-F238E27FC236}">
              <a16:creationId xmlns:a16="http://schemas.microsoft.com/office/drawing/2014/main" id="{00000000-0008-0000-0000-000007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357" name="TextBox 2356">
          <a:extLst>
            <a:ext uri="{FF2B5EF4-FFF2-40B4-BE49-F238E27FC236}">
              <a16:creationId xmlns:a16="http://schemas.microsoft.com/office/drawing/2014/main" id="{00000000-0008-0000-0000-000007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358" name="TextBox 2357">
          <a:extLst>
            <a:ext uri="{FF2B5EF4-FFF2-40B4-BE49-F238E27FC236}">
              <a16:creationId xmlns:a16="http://schemas.microsoft.com/office/drawing/2014/main" id="{00000000-0008-0000-0000-000007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359" name="TextBox 2358">
          <a:extLst>
            <a:ext uri="{FF2B5EF4-FFF2-40B4-BE49-F238E27FC236}">
              <a16:creationId xmlns:a16="http://schemas.microsoft.com/office/drawing/2014/main" id="{00000000-0008-0000-0000-000007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360" name="TextBox 2359">
          <a:extLst>
            <a:ext uri="{FF2B5EF4-FFF2-40B4-BE49-F238E27FC236}">
              <a16:creationId xmlns:a16="http://schemas.microsoft.com/office/drawing/2014/main" id="{00000000-0008-0000-0000-000007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361" name="TextBox 2360">
          <a:extLst>
            <a:ext uri="{FF2B5EF4-FFF2-40B4-BE49-F238E27FC236}">
              <a16:creationId xmlns:a16="http://schemas.microsoft.com/office/drawing/2014/main" id="{00000000-0008-0000-0000-000007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362" name="TextBox 2361">
          <a:extLst>
            <a:ext uri="{FF2B5EF4-FFF2-40B4-BE49-F238E27FC236}">
              <a16:creationId xmlns:a16="http://schemas.microsoft.com/office/drawing/2014/main" id="{00000000-0008-0000-0000-000007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363" name="TextBox 2362">
          <a:extLst>
            <a:ext uri="{FF2B5EF4-FFF2-40B4-BE49-F238E27FC236}">
              <a16:creationId xmlns:a16="http://schemas.microsoft.com/office/drawing/2014/main" id="{00000000-0008-0000-0000-000007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364" name="TextBox 2363">
          <a:extLst>
            <a:ext uri="{FF2B5EF4-FFF2-40B4-BE49-F238E27FC236}">
              <a16:creationId xmlns:a16="http://schemas.microsoft.com/office/drawing/2014/main" id="{00000000-0008-0000-0000-000007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365" name="TextBox 2364">
          <a:extLst>
            <a:ext uri="{FF2B5EF4-FFF2-40B4-BE49-F238E27FC236}">
              <a16:creationId xmlns:a16="http://schemas.microsoft.com/office/drawing/2014/main" id="{00000000-0008-0000-0000-000007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366" name="TextBox 2365">
          <a:extLst>
            <a:ext uri="{FF2B5EF4-FFF2-40B4-BE49-F238E27FC236}">
              <a16:creationId xmlns:a16="http://schemas.microsoft.com/office/drawing/2014/main" id="{00000000-0008-0000-0000-000007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367" name="TextBox 2366">
          <a:extLst>
            <a:ext uri="{FF2B5EF4-FFF2-40B4-BE49-F238E27FC236}">
              <a16:creationId xmlns:a16="http://schemas.microsoft.com/office/drawing/2014/main" id="{00000000-0008-0000-0000-000007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368" name="TextBox 2367">
          <a:extLst>
            <a:ext uri="{FF2B5EF4-FFF2-40B4-BE49-F238E27FC236}">
              <a16:creationId xmlns:a16="http://schemas.microsoft.com/office/drawing/2014/main" id="{00000000-0008-0000-0000-000007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369" name="TextBox 2368">
          <a:extLst>
            <a:ext uri="{FF2B5EF4-FFF2-40B4-BE49-F238E27FC236}">
              <a16:creationId xmlns:a16="http://schemas.microsoft.com/office/drawing/2014/main" id="{00000000-0008-0000-0000-000007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370" name="TextBox 2369">
          <a:extLst>
            <a:ext uri="{FF2B5EF4-FFF2-40B4-BE49-F238E27FC236}">
              <a16:creationId xmlns:a16="http://schemas.microsoft.com/office/drawing/2014/main" id="{00000000-0008-0000-0000-000007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371" name="TextBox 2370">
          <a:extLst>
            <a:ext uri="{FF2B5EF4-FFF2-40B4-BE49-F238E27FC236}">
              <a16:creationId xmlns:a16="http://schemas.microsoft.com/office/drawing/2014/main" id="{00000000-0008-0000-0000-000007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372" name="TextBox 2371">
          <a:extLst>
            <a:ext uri="{FF2B5EF4-FFF2-40B4-BE49-F238E27FC236}">
              <a16:creationId xmlns:a16="http://schemas.microsoft.com/office/drawing/2014/main" id="{00000000-0008-0000-0000-000007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373" name="TextBox 2372">
          <a:extLst>
            <a:ext uri="{FF2B5EF4-FFF2-40B4-BE49-F238E27FC236}">
              <a16:creationId xmlns:a16="http://schemas.microsoft.com/office/drawing/2014/main" id="{00000000-0008-0000-0000-000007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374" name="TextBox 2373">
          <a:extLst>
            <a:ext uri="{FF2B5EF4-FFF2-40B4-BE49-F238E27FC236}">
              <a16:creationId xmlns:a16="http://schemas.microsoft.com/office/drawing/2014/main" id="{00000000-0008-0000-0000-000007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375" name="TextBox 2374">
          <a:extLst>
            <a:ext uri="{FF2B5EF4-FFF2-40B4-BE49-F238E27FC236}">
              <a16:creationId xmlns:a16="http://schemas.microsoft.com/office/drawing/2014/main" id="{00000000-0008-0000-0000-000007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376" name="TextBox 2375">
          <a:extLst>
            <a:ext uri="{FF2B5EF4-FFF2-40B4-BE49-F238E27FC236}">
              <a16:creationId xmlns:a16="http://schemas.microsoft.com/office/drawing/2014/main" id="{00000000-0008-0000-0000-000007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377" name="TextBox 2376">
          <a:extLst>
            <a:ext uri="{FF2B5EF4-FFF2-40B4-BE49-F238E27FC236}">
              <a16:creationId xmlns:a16="http://schemas.microsoft.com/office/drawing/2014/main" id="{00000000-0008-0000-0000-000007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378" name="TextBox 2377">
          <a:extLst>
            <a:ext uri="{FF2B5EF4-FFF2-40B4-BE49-F238E27FC236}">
              <a16:creationId xmlns:a16="http://schemas.microsoft.com/office/drawing/2014/main" id="{00000000-0008-0000-0000-000007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379" name="TextBox 2378">
          <a:extLst>
            <a:ext uri="{FF2B5EF4-FFF2-40B4-BE49-F238E27FC236}">
              <a16:creationId xmlns:a16="http://schemas.microsoft.com/office/drawing/2014/main" id="{00000000-0008-0000-0000-000007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380" name="TextBox 2379">
          <a:extLst>
            <a:ext uri="{FF2B5EF4-FFF2-40B4-BE49-F238E27FC236}">
              <a16:creationId xmlns:a16="http://schemas.microsoft.com/office/drawing/2014/main" id="{00000000-0008-0000-0000-000007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381" name="TextBox 2380">
          <a:extLst>
            <a:ext uri="{FF2B5EF4-FFF2-40B4-BE49-F238E27FC236}">
              <a16:creationId xmlns:a16="http://schemas.microsoft.com/office/drawing/2014/main" id="{00000000-0008-0000-0000-000007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382" name="TextBox 2381">
          <a:extLst>
            <a:ext uri="{FF2B5EF4-FFF2-40B4-BE49-F238E27FC236}">
              <a16:creationId xmlns:a16="http://schemas.microsoft.com/office/drawing/2014/main" id="{00000000-0008-0000-0000-000007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383" name="TextBox 2382">
          <a:extLst>
            <a:ext uri="{FF2B5EF4-FFF2-40B4-BE49-F238E27FC236}">
              <a16:creationId xmlns:a16="http://schemas.microsoft.com/office/drawing/2014/main" id="{00000000-0008-0000-0000-000007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384" name="TextBox 2383">
          <a:extLst>
            <a:ext uri="{FF2B5EF4-FFF2-40B4-BE49-F238E27FC236}">
              <a16:creationId xmlns:a16="http://schemas.microsoft.com/office/drawing/2014/main" id="{00000000-0008-0000-0000-000007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385" name="TextBox 2384">
          <a:extLst>
            <a:ext uri="{FF2B5EF4-FFF2-40B4-BE49-F238E27FC236}">
              <a16:creationId xmlns:a16="http://schemas.microsoft.com/office/drawing/2014/main" id="{00000000-0008-0000-0000-000007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386" name="TextBox 2385">
          <a:extLst>
            <a:ext uri="{FF2B5EF4-FFF2-40B4-BE49-F238E27FC236}">
              <a16:creationId xmlns:a16="http://schemas.microsoft.com/office/drawing/2014/main" id="{00000000-0008-0000-0000-000007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387" name="TextBox 2386">
          <a:extLst>
            <a:ext uri="{FF2B5EF4-FFF2-40B4-BE49-F238E27FC236}">
              <a16:creationId xmlns:a16="http://schemas.microsoft.com/office/drawing/2014/main" id="{00000000-0008-0000-0000-000007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388" name="TextBox 2387">
          <a:extLst>
            <a:ext uri="{FF2B5EF4-FFF2-40B4-BE49-F238E27FC236}">
              <a16:creationId xmlns:a16="http://schemas.microsoft.com/office/drawing/2014/main" id="{00000000-0008-0000-0000-000007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389" name="TextBox 2388">
          <a:extLst>
            <a:ext uri="{FF2B5EF4-FFF2-40B4-BE49-F238E27FC236}">
              <a16:creationId xmlns:a16="http://schemas.microsoft.com/office/drawing/2014/main" id="{00000000-0008-0000-0000-000007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390" name="TextBox 2389">
          <a:extLst>
            <a:ext uri="{FF2B5EF4-FFF2-40B4-BE49-F238E27FC236}">
              <a16:creationId xmlns:a16="http://schemas.microsoft.com/office/drawing/2014/main" id="{00000000-0008-0000-0000-000007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391" name="TextBox 2390">
          <a:extLst>
            <a:ext uri="{FF2B5EF4-FFF2-40B4-BE49-F238E27FC236}">
              <a16:creationId xmlns:a16="http://schemas.microsoft.com/office/drawing/2014/main" id="{00000000-0008-0000-0000-000007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392" name="TextBox 2391">
          <a:extLst>
            <a:ext uri="{FF2B5EF4-FFF2-40B4-BE49-F238E27FC236}">
              <a16:creationId xmlns:a16="http://schemas.microsoft.com/office/drawing/2014/main" id="{00000000-0008-0000-0000-000007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393" name="TextBox 2392">
          <a:extLst>
            <a:ext uri="{FF2B5EF4-FFF2-40B4-BE49-F238E27FC236}">
              <a16:creationId xmlns:a16="http://schemas.microsoft.com/office/drawing/2014/main" id="{00000000-0008-0000-0000-000007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394" name="TextBox 2393">
          <a:extLst>
            <a:ext uri="{FF2B5EF4-FFF2-40B4-BE49-F238E27FC236}">
              <a16:creationId xmlns:a16="http://schemas.microsoft.com/office/drawing/2014/main" id="{00000000-0008-0000-0000-000007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395" name="TextBox 2394">
          <a:extLst>
            <a:ext uri="{FF2B5EF4-FFF2-40B4-BE49-F238E27FC236}">
              <a16:creationId xmlns:a16="http://schemas.microsoft.com/office/drawing/2014/main" id="{00000000-0008-0000-0000-000007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396" name="TextBox 2395">
          <a:extLst>
            <a:ext uri="{FF2B5EF4-FFF2-40B4-BE49-F238E27FC236}">
              <a16:creationId xmlns:a16="http://schemas.microsoft.com/office/drawing/2014/main" id="{00000000-0008-0000-0000-000007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397" name="TextBox 2396">
          <a:extLst>
            <a:ext uri="{FF2B5EF4-FFF2-40B4-BE49-F238E27FC236}">
              <a16:creationId xmlns:a16="http://schemas.microsoft.com/office/drawing/2014/main" id="{00000000-0008-0000-0000-000007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398" name="TextBox 2397">
          <a:extLst>
            <a:ext uri="{FF2B5EF4-FFF2-40B4-BE49-F238E27FC236}">
              <a16:creationId xmlns:a16="http://schemas.microsoft.com/office/drawing/2014/main" id="{00000000-0008-0000-0000-000007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399" name="TextBox 2398">
          <a:extLst>
            <a:ext uri="{FF2B5EF4-FFF2-40B4-BE49-F238E27FC236}">
              <a16:creationId xmlns:a16="http://schemas.microsoft.com/office/drawing/2014/main" id="{00000000-0008-0000-0000-000007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400" name="TextBox 2399">
          <a:extLst>
            <a:ext uri="{FF2B5EF4-FFF2-40B4-BE49-F238E27FC236}">
              <a16:creationId xmlns:a16="http://schemas.microsoft.com/office/drawing/2014/main" id="{00000000-0008-0000-0000-000007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401" name="TextBox 2400">
          <a:extLst>
            <a:ext uri="{FF2B5EF4-FFF2-40B4-BE49-F238E27FC236}">
              <a16:creationId xmlns:a16="http://schemas.microsoft.com/office/drawing/2014/main" id="{00000000-0008-0000-0000-000007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402" name="TextBox 2401">
          <a:extLst>
            <a:ext uri="{FF2B5EF4-FFF2-40B4-BE49-F238E27FC236}">
              <a16:creationId xmlns:a16="http://schemas.microsoft.com/office/drawing/2014/main" id="{00000000-0008-0000-0000-000007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403" name="TextBox 2402">
          <a:extLst>
            <a:ext uri="{FF2B5EF4-FFF2-40B4-BE49-F238E27FC236}">
              <a16:creationId xmlns:a16="http://schemas.microsoft.com/office/drawing/2014/main" id="{00000000-0008-0000-0000-000007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404" name="TextBox 2403">
          <a:extLst>
            <a:ext uri="{FF2B5EF4-FFF2-40B4-BE49-F238E27FC236}">
              <a16:creationId xmlns:a16="http://schemas.microsoft.com/office/drawing/2014/main" id="{00000000-0008-0000-0000-000007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405" name="TextBox 2404">
          <a:extLst>
            <a:ext uri="{FF2B5EF4-FFF2-40B4-BE49-F238E27FC236}">
              <a16:creationId xmlns:a16="http://schemas.microsoft.com/office/drawing/2014/main" id="{00000000-0008-0000-0000-000007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406" name="TextBox 2405">
          <a:extLst>
            <a:ext uri="{FF2B5EF4-FFF2-40B4-BE49-F238E27FC236}">
              <a16:creationId xmlns:a16="http://schemas.microsoft.com/office/drawing/2014/main" id="{00000000-0008-0000-0000-000007000000}"/>
            </a:ext>
          </a:extLst>
        </xdr:cNvPr>
        <xdr:cNvSpPr txBox="1"/>
      </xdr:nvSpPr>
      <xdr:spPr>
        <a:xfrm>
          <a:off x="1213866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407" name="TextBox 2406">
          <a:extLst>
            <a:ext uri="{FF2B5EF4-FFF2-40B4-BE49-F238E27FC236}">
              <a16:creationId xmlns:a16="http://schemas.microsoft.com/office/drawing/2014/main" id="{00000000-0008-0000-0000-000007000000}"/>
            </a:ext>
          </a:extLst>
        </xdr:cNvPr>
        <xdr:cNvSpPr txBox="1"/>
      </xdr:nvSpPr>
      <xdr:spPr>
        <a:xfrm>
          <a:off x="1213866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408" name="TextBox 2407">
          <a:extLst>
            <a:ext uri="{FF2B5EF4-FFF2-40B4-BE49-F238E27FC236}">
              <a16:creationId xmlns:a16="http://schemas.microsoft.com/office/drawing/2014/main" id="{00000000-0008-0000-0000-000007000000}"/>
            </a:ext>
          </a:extLst>
        </xdr:cNvPr>
        <xdr:cNvSpPr txBox="1"/>
      </xdr:nvSpPr>
      <xdr:spPr>
        <a:xfrm>
          <a:off x="1213866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409" name="TextBox 2408">
          <a:extLst>
            <a:ext uri="{FF2B5EF4-FFF2-40B4-BE49-F238E27FC236}">
              <a16:creationId xmlns:a16="http://schemas.microsoft.com/office/drawing/2014/main" id="{00000000-0008-0000-0000-000007000000}"/>
            </a:ext>
          </a:extLst>
        </xdr:cNvPr>
        <xdr:cNvSpPr txBox="1"/>
      </xdr:nvSpPr>
      <xdr:spPr>
        <a:xfrm>
          <a:off x="1213866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410" name="TextBox 2409">
          <a:extLst>
            <a:ext uri="{FF2B5EF4-FFF2-40B4-BE49-F238E27FC236}">
              <a16:creationId xmlns:a16="http://schemas.microsoft.com/office/drawing/2014/main" id="{00000000-0008-0000-0000-000007000000}"/>
            </a:ext>
          </a:extLst>
        </xdr:cNvPr>
        <xdr:cNvSpPr txBox="1"/>
      </xdr:nvSpPr>
      <xdr:spPr>
        <a:xfrm>
          <a:off x="1213866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411" name="TextBox 2410">
          <a:extLst>
            <a:ext uri="{FF2B5EF4-FFF2-40B4-BE49-F238E27FC236}">
              <a16:creationId xmlns:a16="http://schemas.microsoft.com/office/drawing/2014/main" id="{00000000-0008-0000-0000-000007000000}"/>
            </a:ext>
          </a:extLst>
        </xdr:cNvPr>
        <xdr:cNvSpPr txBox="1"/>
      </xdr:nvSpPr>
      <xdr:spPr>
        <a:xfrm>
          <a:off x="1213866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412" name="TextBox 2411">
          <a:extLst>
            <a:ext uri="{FF2B5EF4-FFF2-40B4-BE49-F238E27FC236}">
              <a16:creationId xmlns:a16="http://schemas.microsoft.com/office/drawing/2014/main" id="{00000000-0008-0000-0000-000007000000}"/>
            </a:ext>
          </a:extLst>
        </xdr:cNvPr>
        <xdr:cNvSpPr txBox="1"/>
      </xdr:nvSpPr>
      <xdr:spPr>
        <a:xfrm>
          <a:off x="1213866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413" name="TextBox 2412">
          <a:extLst>
            <a:ext uri="{FF2B5EF4-FFF2-40B4-BE49-F238E27FC236}">
              <a16:creationId xmlns:a16="http://schemas.microsoft.com/office/drawing/2014/main" id="{00000000-0008-0000-0000-000007000000}"/>
            </a:ext>
          </a:extLst>
        </xdr:cNvPr>
        <xdr:cNvSpPr txBox="1"/>
      </xdr:nvSpPr>
      <xdr:spPr>
        <a:xfrm>
          <a:off x="1213866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2414" name="TextBox 2413">
          <a:extLst>
            <a:ext uri="{FF2B5EF4-FFF2-40B4-BE49-F238E27FC236}">
              <a16:creationId xmlns:a16="http://schemas.microsoft.com/office/drawing/2014/main" id="{00000000-0008-0000-0000-000007000000}"/>
            </a:ext>
          </a:extLst>
        </xdr:cNvPr>
        <xdr:cNvSpPr txBox="1"/>
      </xdr:nvSpPr>
      <xdr:spPr>
        <a:xfrm>
          <a:off x="8267700" y="33474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2415" name="TextBox 2414">
          <a:extLst>
            <a:ext uri="{FF2B5EF4-FFF2-40B4-BE49-F238E27FC236}">
              <a16:creationId xmlns:a16="http://schemas.microsoft.com/office/drawing/2014/main" id="{00000000-0008-0000-0000-000007000000}"/>
            </a:ext>
          </a:extLst>
        </xdr:cNvPr>
        <xdr:cNvSpPr txBox="1"/>
      </xdr:nvSpPr>
      <xdr:spPr>
        <a:xfrm>
          <a:off x="8267700" y="33474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416" name="TextBox 2415">
          <a:extLst>
            <a:ext uri="{FF2B5EF4-FFF2-40B4-BE49-F238E27FC236}">
              <a16:creationId xmlns:a16="http://schemas.microsoft.com/office/drawing/2014/main" id="{00000000-0008-0000-0000-000007000000}"/>
            </a:ext>
          </a:extLst>
        </xdr:cNvPr>
        <xdr:cNvSpPr txBox="1"/>
      </xdr:nvSpPr>
      <xdr:spPr>
        <a:xfrm>
          <a:off x="1213866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417" name="TextBox 2416">
          <a:extLst>
            <a:ext uri="{FF2B5EF4-FFF2-40B4-BE49-F238E27FC236}">
              <a16:creationId xmlns:a16="http://schemas.microsoft.com/office/drawing/2014/main" id="{00000000-0008-0000-0000-000007000000}"/>
            </a:ext>
          </a:extLst>
        </xdr:cNvPr>
        <xdr:cNvSpPr txBox="1"/>
      </xdr:nvSpPr>
      <xdr:spPr>
        <a:xfrm>
          <a:off x="1213866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418" name="TextBox 2417">
          <a:extLst>
            <a:ext uri="{FF2B5EF4-FFF2-40B4-BE49-F238E27FC236}">
              <a16:creationId xmlns:a16="http://schemas.microsoft.com/office/drawing/2014/main" id="{00000000-0008-0000-0000-000007000000}"/>
            </a:ext>
          </a:extLst>
        </xdr:cNvPr>
        <xdr:cNvSpPr txBox="1"/>
      </xdr:nvSpPr>
      <xdr:spPr>
        <a:xfrm>
          <a:off x="1213866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419" name="TextBox 2418">
          <a:extLst>
            <a:ext uri="{FF2B5EF4-FFF2-40B4-BE49-F238E27FC236}">
              <a16:creationId xmlns:a16="http://schemas.microsoft.com/office/drawing/2014/main" id="{00000000-0008-0000-0000-000007000000}"/>
            </a:ext>
          </a:extLst>
        </xdr:cNvPr>
        <xdr:cNvSpPr txBox="1"/>
      </xdr:nvSpPr>
      <xdr:spPr>
        <a:xfrm>
          <a:off x="1213866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420" name="TextBox 2419">
          <a:extLst>
            <a:ext uri="{FF2B5EF4-FFF2-40B4-BE49-F238E27FC236}">
              <a16:creationId xmlns:a16="http://schemas.microsoft.com/office/drawing/2014/main" id="{00000000-0008-0000-0000-000007000000}"/>
            </a:ext>
          </a:extLst>
        </xdr:cNvPr>
        <xdr:cNvSpPr txBox="1"/>
      </xdr:nvSpPr>
      <xdr:spPr>
        <a:xfrm>
          <a:off x="1213866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421" name="TextBox 2420">
          <a:extLst>
            <a:ext uri="{FF2B5EF4-FFF2-40B4-BE49-F238E27FC236}">
              <a16:creationId xmlns:a16="http://schemas.microsoft.com/office/drawing/2014/main" id="{00000000-0008-0000-0000-000007000000}"/>
            </a:ext>
          </a:extLst>
        </xdr:cNvPr>
        <xdr:cNvSpPr txBox="1"/>
      </xdr:nvSpPr>
      <xdr:spPr>
        <a:xfrm>
          <a:off x="1213866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422" name="TextBox 2421">
          <a:extLst>
            <a:ext uri="{FF2B5EF4-FFF2-40B4-BE49-F238E27FC236}">
              <a16:creationId xmlns:a16="http://schemas.microsoft.com/office/drawing/2014/main" id="{00000000-0008-0000-0000-000007000000}"/>
            </a:ext>
          </a:extLst>
        </xdr:cNvPr>
        <xdr:cNvSpPr txBox="1"/>
      </xdr:nvSpPr>
      <xdr:spPr>
        <a:xfrm>
          <a:off x="1213866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423" name="TextBox 2422">
          <a:extLst>
            <a:ext uri="{FF2B5EF4-FFF2-40B4-BE49-F238E27FC236}">
              <a16:creationId xmlns:a16="http://schemas.microsoft.com/office/drawing/2014/main" id="{00000000-0008-0000-0000-000007000000}"/>
            </a:ext>
          </a:extLst>
        </xdr:cNvPr>
        <xdr:cNvSpPr txBox="1"/>
      </xdr:nvSpPr>
      <xdr:spPr>
        <a:xfrm>
          <a:off x="1213866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424" name="TextBox 2423">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425" name="TextBox 2424">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426" name="TextBox 2425">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427" name="TextBox 2426">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428" name="TextBox 2427">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429" name="TextBox 2428">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430" name="TextBox 2429">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431" name="TextBox 2430">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432" name="TextBox 2431">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433" name="TextBox 2432">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434" name="TextBox 2433">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435" name="TextBox 2434">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436" name="TextBox 2435">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437" name="TextBox 2436">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438" name="TextBox 2437">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439" name="TextBox 2438">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440" name="TextBox 2439">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441" name="TextBox 2440">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442" name="TextBox 2441">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443" name="TextBox 2442">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444" name="TextBox 2443">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445" name="TextBox 2444">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446" name="TextBox 2445">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447" name="TextBox 2446">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448" name="TextBox 2447">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449" name="TextBox 2448">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450" name="TextBox 2449">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451" name="TextBox 2450">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452" name="TextBox 2451">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453" name="TextBox 2452">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454" name="TextBox 2453">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455" name="TextBox 2454">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456" name="TextBox 2455">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457" name="TextBox 2456">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458" name="TextBox 2457">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459" name="TextBox 2458">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460" name="TextBox 2459">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461" name="TextBox 2460">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462" name="TextBox 2461">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463" name="TextBox 2462">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464" name="TextBox 2463">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465" name="TextBox 2464">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466" name="TextBox 2465">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467" name="TextBox 2466">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468" name="TextBox 2467">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469" name="TextBox 2468">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470" name="TextBox 2469">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471" name="TextBox 2470">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472" name="TextBox 2471">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473" name="TextBox 2472">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474" name="TextBox 2473">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475" name="TextBox 2474">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476" name="TextBox 2475">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477" name="TextBox 2476">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478" name="TextBox 2477">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479" name="TextBox 2478">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480" name="TextBox 2479">
          <a:extLst>
            <a:ext uri="{FF2B5EF4-FFF2-40B4-BE49-F238E27FC236}">
              <a16:creationId xmlns:a16="http://schemas.microsoft.com/office/drawing/2014/main" id="{00000000-0008-0000-0000-000007000000}"/>
            </a:ext>
          </a:extLst>
        </xdr:cNvPr>
        <xdr:cNvSpPr txBox="1"/>
      </xdr:nvSpPr>
      <xdr:spPr>
        <a:xfrm>
          <a:off x="1213866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481" name="TextBox 2480">
          <a:extLst>
            <a:ext uri="{FF2B5EF4-FFF2-40B4-BE49-F238E27FC236}">
              <a16:creationId xmlns:a16="http://schemas.microsoft.com/office/drawing/2014/main" id="{00000000-0008-0000-0000-000007000000}"/>
            </a:ext>
          </a:extLst>
        </xdr:cNvPr>
        <xdr:cNvSpPr txBox="1"/>
      </xdr:nvSpPr>
      <xdr:spPr>
        <a:xfrm>
          <a:off x="1213866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482" name="TextBox 2481">
          <a:extLst>
            <a:ext uri="{FF2B5EF4-FFF2-40B4-BE49-F238E27FC236}">
              <a16:creationId xmlns:a16="http://schemas.microsoft.com/office/drawing/2014/main" id="{00000000-0008-0000-0000-000007000000}"/>
            </a:ext>
          </a:extLst>
        </xdr:cNvPr>
        <xdr:cNvSpPr txBox="1"/>
      </xdr:nvSpPr>
      <xdr:spPr>
        <a:xfrm>
          <a:off x="1213866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483" name="TextBox 2482">
          <a:extLst>
            <a:ext uri="{FF2B5EF4-FFF2-40B4-BE49-F238E27FC236}">
              <a16:creationId xmlns:a16="http://schemas.microsoft.com/office/drawing/2014/main" id="{00000000-0008-0000-0000-000007000000}"/>
            </a:ext>
          </a:extLst>
        </xdr:cNvPr>
        <xdr:cNvSpPr txBox="1"/>
      </xdr:nvSpPr>
      <xdr:spPr>
        <a:xfrm>
          <a:off x="1213866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484" name="TextBox 2483">
          <a:extLst>
            <a:ext uri="{FF2B5EF4-FFF2-40B4-BE49-F238E27FC236}">
              <a16:creationId xmlns:a16="http://schemas.microsoft.com/office/drawing/2014/main" id="{00000000-0008-0000-0000-000007000000}"/>
            </a:ext>
          </a:extLst>
        </xdr:cNvPr>
        <xdr:cNvSpPr txBox="1"/>
      </xdr:nvSpPr>
      <xdr:spPr>
        <a:xfrm>
          <a:off x="1213866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485" name="TextBox 2484">
          <a:extLst>
            <a:ext uri="{FF2B5EF4-FFF2-40B4-BE49-F238E27FC236}">
              <a16:creationId xmlns:a16="http://schemas.microsoft.com/office/drawing/2014/main" id="{00000000-0008-0000-0000-000007000000}"/>
            </a:ext>
          </a:extLst>
        </xdr:cNvPr>
        <xdr:cNvSpPr txBox="1"/>
      </xdr:nvSpPr>
      <xdr:spPr>
        <a:xfrm>
          <a:off x="1213866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486" name="TextBox 2485">
          <a:extLst>
            <a:ext uri="{FF2B5EF4-FFF2-40B4-BE49-F238E27FC236}">
              <a16:creationId xmlns:a16="http://schemas.microsoft.com/office/drawing/2014/main" id="{00000000-0008-0000-0000-000007000000}"/>
            </a:ext>
          </a:extLst>
        </xdr:cNvPr>
        <xdr:cNvSpPr txBox="1"/>
      </xdr:nvSpPr>
      <xdr:spPr>
        <a:xfrm>
          <a:off x="1213866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487" name="TextBox 2486">
          <a:extLst>
            <a:ext uri="{FF2B5EF4-FFF2-40B4-BE49-F238E27FC236}">
              <a16:creationId xmlns:a16="http://schemas.microsoft.com/office/drawing/2014/main" id="{00000000-0008-0000-0000-000007000000}"/>
            </a:ext>
          </a:extLst>
        </xdr:cNvPr>
        <xdr:cNvSpPr txBox="1"/>
      </xdr:nvSpPr>
      <xdr:spPr>
        <a:xfrm>
          <a:off x="1213866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153</xdr:row>
      <xdr:rowOff>0</xdr:rowOff>
    </xdr:from>
    <xdr:ext cx="65" cy="172227"/>
    <xdr:sp macro="" textlink="">
      <xdr:nvSpPr>
        <xdr:cNvPr id="2491" name="TextBox 2490">
          <a:extLst>
            <a:ext uri="{FF2B5EF4-FFF2-40B4-BE49-F238E27FC236}">
              <a16:creationId xmlns:a16="http://schemas.microsoft.com/office/drawing/2014/main" id="{00000000-0008-0000-0000-000007000000}"/>
            </a:ext>
          </a:extLst>
        </xdr:cNvPr>
        <xdr:cNvSpPr txBox="1"/>
      </xdr:nvSpPr>
      <xdr:spPr>
        <a:xfrm>
          <a:off x="8267700" y="33093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153</xdr:row>
      <xdr:rowOff>0</xdr:rowOff>
    </xdr:from>
    <xdr:ext cx="65" cy="172227"/>
    <xdr:sp macro="" textlink="">
      <xdr:nvSpPr>
        <xdr:cNvPr id="2495" name="TextBox 2494">
          <a:extLst>
            <a:ext uri="{FF2B5EF4-FFF2-40B4-BE49-F238E27FC236}">
              <a16:creationId xmlns:a16="http://schemas.microsoft.com/office/drawing/2014/main" id="{00000000-0008-0000-0000-000007000000}"/>
            </a:ext>
          </a:extLst>
        </xdr:cNvPr>
        <xdr:cNvSpPr txBox="1"/>
      </xdr:nvSpPr>
      <xdr:spPr>
        <a:xfrm>
          <a:off x="8267700" y="33093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2496" name="TextBox 2495">
          <a:extLst>
            <a:ext uri="{FF2B5EF4-FFF2-40B4-BE49-F238E27FC236}">
              <a16:creationId xmlns:a16="http://schemas.microsoft.com/office/drawing/2014/main" id="{00000000-0008-0000-0000-000007000000}"/>
            </a:ext>
          </a:extLst>
        </xdr:cNvPr>
        <xdr:cNvSpPr txBox="1"/>
      </xdr:nvSpPr>
      <xdr:spPr>
        <a:xfrm>
          <a:off x="8267700" y="33291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2497" name="TextBox 2496">
          <a:extLst>
            <a:ext uri="{FF2B5EF4-FFF2-40B4-BE49-F238E27FC236}">
              <a16:creationId xmlns:a16="http://schemas.microsoft.com/office/drawing/2014/main" id="{00000000-0008-0000-0000-000007000000}"/>
            </a:ext>
          </a:extLst>
        </xdr:cNvPr>
        <xdr:cNvSpPr txBox="1"/>
      </xdr:nvSpPr>
      <xdr:spPr>
        <a:xfrm>
          <a:off x="8267700" y="33291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498" name="TextBox 2497">
          <a:extLst>
            <a:ext uri="{FF2B5EF4-FFF2-40B4-BE49-F238E27FC236}">
              <a16:creationId xmlns:a16="http://schemas.microsoft.com/office/drawing/2014/main" id="{00000000-0008-0000-0000-000007000000}"/>
            </a:ext>
          </a:extLst>
        </xdr:cNvPr>
        <xdr:cNvSpPr txBox="1"/>
      </xdr:nvSpPr>
      <xdr:spPr>
        <a:xfrm>
          <a:off x="826770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499" name="TextBox 2498">
          <a:extLst>
            <a:ext uri="{FF2B5EF4-FFF2-40B4-BE49-F238E27FC236}">
              <a16:creationId xmlns:a16="http://schemas.microsoft.com/office/drawing/2014/main" id="{00000000-0008-0000-0000-000007000000}"/>
            </a:ext>
          </a:extLst>
        </xdr:cNvPr>
        <xdr:cNvSpPr txBox="1"/>
      </xdr:nvSpPr>
      <xdr:spPr>
        <a:xfrm>
          <a:off x="826770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500" name="TextBox 2499">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501" name="TextBox 2500">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502" name="TextBox 2501">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503" name="TextBox 2502">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504" name="TextBox 2503">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505" name="TextBox 2504">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506" name="TextBox 2505">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507" name="TextBox 2506">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508" name="TextBox 2507">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509" name="TextBox 2508">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161</xdr:row>
      <xdr:rowOff>0</xdr:rowOff>
    </xdr:from>
    <xdr:ext cx="65" cy="172227"/>
    <xdr:sp macro="" textlink="">
      <xdr:nvSpPr>
        <xdr:cNvPr id="2510" name="TextBox 2509">
          <a:extLst>
            <a:ext uri="{FF2B5EF4-FFF2-40B4-BE49-F238E27FC236}">
              <a16:creationId xmlns:a16="http://schemas.microsoft.com/office/drawing/2014/main" id="{00000000-0008-0000-0000-000007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161</xdr:row>
      <xdr:rowOff>0</xdr:rowOff>
    </xdr:from>
    <xdr:ext cx="65" cy="172227"/>
    <xdr:sp macro="" textlink="">
      <xdr:nvSpPr>
        <xdr:cNvPr id="2511" name="TextBox 2510">
          <a:extLst>
            <a:ext uri="{FF2B5EF4-FFF2-40B4-BE49-F238E27FC236}">
              <a16:creationId xmlns:a16="http://schemas.microsoft.com/office/drawing/2014/main" id="{00000000-0008-0000-0000-000007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162</xdr:row>
      <xdr:rowOff>0</xdr:rowOff>
    </xdr:from>
    <xdr:ext cx="65" cy="172227"/>
    <xdr:sp macro="" textlink="">
      <xdr:nvSpPr>
        <xdr:cNvPr id="2512" name="TextBox 2511">
          <a:extLst>
            <a:ext uri="{FF2B5EF4-FFF2-40B4-BE49-F238E27FC236}">
              <a16:creationId xmlns:a16="http://schemas.microsoft.com/office/drawing/2014/main" id="{00000000-0008-0000-0000-000007000000}"/>
            </a:ext>
          </a:extLst>
        </xdr:cNvPr>
        <xdr:cNvSpPr txBox="1"/>
      </xdr:nvSpPr>
      <xdr:spPr>
        <a:xfrm>
          <a:off x="8267700" y="34846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162</xdr:row>
      <xdr:rowOff>0</xdr:rowOff>
    </xdr:from>
    <xdr:ext cx="65" cy="172227"/>
    <xdr:sp macro="" textlink="">
      <xdr:nvSpPr>
        <xdr:cNvPr id="2513" name="TextBox 2512">
          <a:extLst>
            <a:ext uri="{FF2B5EF4-FFF2-40B4-BE49-F238E27FC236}">
              <a16:creationId xmlns:a16="http://schemas.microsoft.com/office/drawing/2014/main" id="{00000000-0008-0000-0000-000007000000}"/>
            </a:ext>
          </a:extLst>
        </xdr:cNvPr>
        <xdr:cNvSpPr txBox="1"/>
      </xdr:nvSpPr>
      <xdr:spPr>
        <a:xfrm>
          <a:off x="8267700" y="34846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2514" name="TextBox 2513">
          <a:extLst>
            <a:ext uri="{FF2B5EF4-FFF2-40B4-BE49-F238E27FC236}">
              <a16:creationId xmlns:a16="http://schemas.microsoft.com/office/drawing/2014/main" id="{00000000-0008-0000-0000-000007000000}"/>
            </a:ext>
          </a:extLst>
        </xdr:cNvPr>
        <xdr:cNvSpPr txBox="1"/>
      </xdr:nvSpPr>
      <xdr:spPr>
        <a:xfrm>
          <a:off x="8267700" y="35943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2515" name="TextBox 2514">
          <a:extLst>
            <a:ext uri="{FF2B5EF4-FFF2-40B4-BE49-F238E27FC236}">
              <a16:creationId xmlns:a16="http://schemas.microsoft.com/office/drawing/2014/main" id="{00000000-0008-0000-0000-000007000000}"/>
            </a:ext>
          </a:extLst>
        </xdr:cNvPr>
        <xdr:cNvSpPr txBox="1"/>
      </xdr:nvSpPr>
      <xdr:spPr>
        <a:xfrm>
          <a:off x="8267700" y="35943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2516" name="TextBox 2515">
          <a:extLst>
            <a:ext uri="{FF2B5EF4-FFF2-40B4-BE49-F238E27FC236}">
              <a16:creationId xmlns:a16="http://schemas.microsoft.com/office/drawing/2014/main" id="{00000000-0008-0000-0000-000007000000}"/>
            </a:ext>
          </a:extLst>
        </xdr:cNvPr>
        <xdr:cNvSpPr txBox="1"/>
      </xdr:nvSpPr>
      <xdr:spPr>
        <a:xfrm>
          <a:off x="8267700" y="36126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2517" name="TextBox 2516">
          <a:extLst>
            <a:ext uri="{FF2B5EF4-FFF2-40B4-BE49-F238E27FC236}">
              <a16:creationId xmlns:a16="http://schemas.microsoft.com/office/drawing/2014/main" id="{00000000-0008-0000-0000-000007000000}"/>
            </a:ext>
          </a:extLst>
        </xdr:cNvPr>
        <xdr:cNvSpPr txBox="1"/>
      </xdr:nvSpPr>
      <xdr:spPr>
        <a:xfrm>
          <a:off x="8267700" y="36126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2518" name="TextBox 2517">
          <a:extLst>
            <a:ext uri="{FF2B5EF4-FFF2-40B4-BE49-F238E27FC236}">
              <a16:creationId xmlns:a16="http://schemas.microsoft.com/office/drawing/2014/main" id="{00000000-0008-0000-0000-000007000000}"/>
            </a:ext>
          </a:extLst>
        </xdr:cNvPr>
        <xdr:cNvSpPr txBox="1"/>
      </xdr:nvSpPr>
      <xdr:spPr>
        <a:xfrm>
          <a:off x="8267700" y="36309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2519" name="TextBox 2518">
          <a:extLst>
            <a:ext uri="{FF2B5EF4-FFF2-40B4-BE49-F238E27FC236}">
              <a16:creationId xmlns:a16="http://schemas.microsoft.com/office/drawing/2014/main" id="{00000000-0008-0000-0000-000007000000}"/>
            </a:ext>
          </a:extLst>
        </xdr:cNvPr>
        <xdr:cNvSpPr txBox="1"/>
      </xdr:nvSpPr>
      <xdr:spPr>
        <a:xfrm>
          <a:off x="8267700" y="36309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2520" name="TextBox 2519">
          <a:extLst>
            <a:ext uri="{FF2B5EF4-FFF2-40B4-BE49-F238E27FC236}">
              <a16:creationId xmlns:a16="http://schemas.microsoft.com/office/drawing/2014/main" id="{00000000-0008-0000-0000-000007000000}"/>
            </a:ext>
          </a:extLst>
        </xdr:cNvPr>
        <xdr:cNvSpPr txBox="1"/>
      </xdr:nvSpPr>
      <xdr:spPr>
        <a:xfrm>
          <a:off x="8267700" y="36492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2521" name="TextBox 2520">
          <a:extLst>
            <a:ext uri="{FF2B5EF4-FFF2-40B4-BE49-F238E27FC236}">
              <a16:creationId xmlns:a16="http://schemas.microsoft.com/office/drawing/2014/main" id="{00000000-0008-0000-0000-000007000000}"/>
            </a:ext>
          </a:extLst>
        </xdr:cNvPr>
        <xdr:cNvSpPr txBox="1"/>
      </xdr:nvSpPr>
      <xdr:spPr>
        <a:xfrm>
          <a:off x="8267700" y="36492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172</xdr:row>
      <xdr:rowOff>0</xdr:rowOff>
    </xdr:from>
    <xdr:ext cx="65" cy="172227"/>
    <xdr:sp macro="" textlink="">
      <xdr:nvSpPr>
        <xdr:cNvPr id="2522" name="TextBox 2521">
          <a:extLst>
            <a:ext uri="{FF2B5EF4-FFF2-40B4-BE49-F238E27FC236}">
              <a16:creationId xmlns:a16="http://schemas.microsoft.com/office/drawing/2014/main" id="{00000000-0008-0000-0000-000007000000}"/>
            </a:ext>
          </a:extLst>
        </xdr:cNvPr>
        <xdr:cNvSpPr txBox="1"/>
      </xdr:nvSpPr>
      <xdr:spPr>
        <a:xfrm>
          <a:off x="8267700" y="36675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172</xdr:row>
      <xdr:rowOff>0</xdr:rowOff>
    </xdr:from>
    <xdr:ext cx="65" cy="172227"/>
    <xdr:sp macro="" textlink="">
      <xdr:nvSpPr>
        <xdr:cNvPr id="2523" name="TextBox 2522">
          <a:extLst>
            <a:ext uri="{FF2B5EF4-FFF2-40B4-BE49-F238E27FC236}">
              <a16:creationId xmlns:a16="http://schemas.microsoft.com/office/drawing/2014/main" id="{00000000-0008-0000-0000-000007000000}"/>
            </a:ext>
          </a:extLst>
        </xdr:cNvPr>
        <xdr:cNvSpPr txBox="1"/>
      </xdr:nvSpPr>
      <xdr:spPr>
        <a:xfrm>
          <a:off x="8267700" y="36675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178</xdr:row>
      <xdr:rowOff>0</xdr:rowOff>
    </xdr:from>
    <xdr:ext cx="65" cy="172227"/>
    <xdr:sp macro="" textlink="">
      <xdr:nvSpPr>
        <xdr:cNvPr id="2524" name="TextBox 2523">
          <a:extLst>
            <a:ext uri="{FF2B5EF4-FFF2-40B4-BE49-F238E27FC236}">
              <a16:creationId xmlns:a16="http://schemas.microsoft.com/office/drawing/2014/main" id="{00000000-0008-0000-0000-000007000000}"/>
            </a:ext>
          </a:extLst>
        </xdr:cNvPr>
        <xdr:cNvSpPr txBox="1"/>
      </xdr:nvSpPr>
      <xdr:spPr>
        <a:xfrm>
          <a:off x="8267700" y="3777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178</xdr:row>
      <xdr:rowOff>0</xdr:rowOff>
    </xdr:from>
    <xdr:ext cx="65" cy="172227"/>
    <xdr:sp macro="" textlink="">
      <xdr:nvSpPr>
        <xdr:cNvPr id="2525" name="TextBox 2524">
          <a:extLst>
            <a:ext uri="{FF2B5EF4-FFF2-40B4-BE49-F238E27FC236}">
              <a16:creationId xmlns:a16="http://schemas.microsoft.com/office/drawing/2014/main" id="{00000000-0008-0000-0000-000007000000}"/>
            </a:ext>
          </a:extLst>
        </xdr:cNvPr>
        <xdr:cNvSpPr txBox="1"/>
      </xdr:nvSpPr>
      <xdr:spPr>
        <a:xfrm>
          <a:off x="8267700" y="3777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179</xdr:row>
      <xdr:rowOff>0</xdr:rowOff>
    </xdr:from>
    <xdr:ext cx="65" cy="172227"/>
    <xdr:sp macro="" textlink="">
      <xdr:nvSpPr>
        <xdr:cNvPr id="2526" name="TextBox 2525">
          <a:extLst>
            <a:ext uri="{FF2B5EF4-FFF2-40B4-BE49-F238E27FC236}">
              <a16:creationId xmlns:a16="http://schemas.microsoft.com/office/drawing/2014/main" id="{00000000-0008-0000-0000-000007000000}"/>
            </a:ext>
          </a:extLst>
        </xdr:cNvPr>
        <xdr:cNvSpPr txBox="1"/>
      </xdr:nvSpPr>
      <xdr:spPr>
        <a:xfrm>
          <a:off x="8267700" y="37955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179</xdr:row>
      <xdr:rowOff>0</xdr:rowOff>
    </xdr:from>
    <xdr:ext cx="65" cy="172227"/>
    <xdr:sp macro="" textlink="">
      <xdr:nvSpPr>
        <xdr:cNvPr id="2527" name="TextBox 2526">
          <a:extLst>
            <a:ext uri="{FF2B5EF4-FFF2-40B4-BE49-F238E27FC236}">
              <a16:creationId xmlns:a16="http://schemas.microsoft.com/office/drawing/2014/main" id="{00000000-0008-0000-0000-000007000000}"/>
            </a:ext>
          </a:extLst>
        </xdr:cNvPr>
        <xdr:cNvSpPr txBox="1"/>
      </xdr:nvSpPr>
      <xdr:spPr>
        <a:xfrm>
          <a:off x="8267700" y="37955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180</xdr:row>
      <xdr:rowOff>0</xdr:rowOff>
    </xdr:from>
    <xdr:ext cx="65" cy="172227"/>
    <xdr:sp macro="" textlink="">
      <xdr:nvSpPr>
        <xdr:cNvPr id="2528" name="TextBox 2527">
          <a:extLst>
            <a:ext uri="{FF2B5EF4-FFF2-40B4-BE49-F238E27FC236}">
              <a16:creationId xmlns:a16="http://schemas.microsoft.com/office/drawing/2014/main" id="{00000000-0008-0000-0000-000007000000}"/>
            </a:ext>
          </a:extLst>
        </xdr:cNvPr>
        <xdr:cNvSpPr txBox="1"/>
      </xdr:nvSpPr>
      <xdr:spPr>
        <a:xfrm>
          <a:off x="8267700" y="38138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180</xdr:row>
      <xdr:rowOff>0</xdr:rowOff>
    </xdr:from>
    <xdr:ext cx="65" cy="172227"/>
    <xdr:sp macro="" textlink="">
      <xdr:nvSpPr>
        <xdr:cNvPr id="2529" name="TextBox 2528">
          <a:extLst>
            <a:ext uri="{FF2B5EF4-FFF2-40B4-BE49-F238E27FC236}">
              <a16:creationId xmlns:a16="http://schemas.microsoft.com/office/drawing/2014/main" id="{00000000-0008-0000-0000-000007000000}"/>
            </a:ext>
          </a:extLst>
        </xdr:cNvPr>
        <xdr:cNvSpPr txBox="1"/>
      </xdr:nvSpPr>
      <xdr:spPr>
        <a:xfrm>
          <a:off x="8267700" y="38138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181</xdr:row>
      <xdr:rowOff>0</xdr:rowOff>
    </xdr:from>
    <xdr:ext cx="65" cy="172227"/>
    <xdr:sp macro="" textlink="">
      <xdr:nvSpPr>
        <xdr:cNvPr id="2530" name="TextBox 2529">
          <a:extLst>
            <a:ext uri="{FF2B5EF4-FFF2-40B4-BE49-F238E27FC236}">
              <a16:creationId xmlns:a16="http://schemas.microsoft.com/office/drawing/2014/main" id="{00000000-0008-0000-0000-000007000000}"/>
            </a:ext>
          </a:extLst>
        </xdr:cNvPr>
        <xdr:cNvSpPr txBox="1"/>
      </xdr:nvSpPr>
      <xdr:spPr>
        <a:xfrm>
          <a:off x="8267700" y="38320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181</xdr:row>
      <xdr:rowOff>0</xdr:rowOff>
    </xdr:from>
    <xdr:ext cx="65" cy="172227"/>
    <xdr:sp macro="" textlink="">
      <xdr:nvSpPr>
        <xdr:cNvPr id="2531" name="TextBox 2530">
          <a:extLst>
            <a:ext uri="{FF2B5EF4-FFF2-40B4-BE49-F238E27FC236}">
              <a16:creationId xmlns:a16="http://schemas.microsoft.com/office/drawing/2014/main" id="{00000000-0008-0000-0000-000007000000}"/>
            </a:ext>
          </a:extLst>
        </xdr:cNvPr>
        <xdr:cNvSpPr txBox="1"/>
      </xdr:nvSpPr>
      <xdr:spPr>
        <a:xfrm>
          <a:off x="8267700" y="38320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182</xdr:row>
      <xdr:rowOff>0</xdr:rowOff>
    </xdr:from>
    <xdr:ext cx="65" cy="172227"/>
    <xdr:sp macro="" textlink="">
      <xdr:nvSpPr>
        <xdr:cNvPr id="2532" name="TextBox 2531">
          <a:extLst>
            <a:ext uri="{FF2B5EF4-FFF2-40B4-BE49-F238E27FC236}">
              <a16:creationId xmlns:a16="http://schemas.microsoft.com/office/drawing/2014/main" id="{00000000-0008-0000-0000-000007000000}"/>
            </a:ext>
          </a:extLst>
        </xdr:cNvPr>
        <xdr:cNvSpPr txBox="1"/>
      </xdr:nvSpPr>
      <xdr:spPr>
        <a:xfrm>
          <a:off x="8267700" y="38503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182</xdr:row>
      <xdr:rowOff>0</xdr:rowOff>
    </xdr:from>
    <xdr:ext cx="65" cy="172227"/>
    <xdr:sp macro="" textlink="">
      <xdr:nvSpPr>
        <xdr:cNvPr id="2533" name="TextBox 2532">
          <a:extLst>
            <a:ext uri="{FF2B5EF4-FFF2-40B4-BE49-F238E27FC236}">
              <a16:creationId xmlns:a16="http://schemas.microsoft.com/office/drawing/2014/main" id="{00000000-0008-0000-0000-000007000000}"/>
            </a:ext>
          </a:extLst>
        </xdr:cNvPr>
        <xdr:cNvSpPr txBox="1"/>
      </xdr:nvSpPr>
      <xdr:spPr>
        <a:xfrm>
          <a:off x="8267700" y="38503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2534" name="TextBox 2533">
          <a:extLst>
            <a:ext uri="{FF2B5EF4-FFF2-40B4-BE49-F238E27FC236}">
              <a16:creationId xmlns:a16="http://schemas.microsoft.com/office/drawing/2014/main" id="{00000000-0008-0000-0000-000007000000}"/>
            </a:ext>
          </a:extLst>
        </xdr:cNvPr>
        <xdr:cNvSpPr txBox="1"/>
      </xdr:nvSpPr>
      <xdr:spPr>
        <a:xfrm>
          <a:off x="8267700" y="39235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2535" name="TextBox 2534">
          <a:extLst>
            <a:ext uri="{FF2B5EF4-FFF2-40B4-BE49-F238E27FC236}">
              <a16:creationId xmlns:a16="http://schemas.microsoft.com/office/drawing/2014/main" id="{00000000-0008-0000-0000-000007000000}"/>
            </a:ext>
          </a:extLst>
        </xdr:cNvPr>
        <xdr:cNvSpPr txBox="1"/>
      </xdr:nvSpPr>
      <xdr:spPr>
        <a:xfrm>
          <a:off x="8267700" y="39235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2536" name="TextBox 2535">
          <a:extLst>
            <a:ext uri="{FF2B5EF4-FFF2-40B4-BE49-F238E27FC236}">
              <a16:creationId xmlns:a16="http://schemas.microsoft.com/office/drawing/2014/main" id="{00000000-0008-0000-0000-000007000000}"/>
            </a:ext>
          </a:extLst>
        </xdr:cNvPr>
        <xdr:cNvSpPr txBox="1"/>
      </xdr:nvSpPr>
      <xdr:spPr>
        <a:xfrm>
          <a:off x="8267700" y="39235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2537" name="TextBox 2536">
          <a:extLst>
            <a:ext uri="{FF2B5EF4-FFF2-40B4-BE49-F238E27FC236}">
              <a16:creationId xmlns:a16="http://schemas.microsoft.com/office/drawing/2014/main" id="{00000000-0008-0000-0000-000007000000}"/>
            </a:ext>
          </a:extLst>
        </xdr:cNvPr>
        <xdr:cNvSpPr txBox="1"/>
      </xdr:nvSpPr>
      <xdr:spPr>
        <a:xfrm>
          <a:off x="8267700" y="39235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2538" name="TextBox 2537">
          <a:extLst>
            <a:ext uri="{FF2B5EF4-FFF2-40B4-BE49-F238E27FC236}">
              <a16:creationId xmlns:a16="http://schemas.microsoft.com/office/drawing/2014/main" id="{00000000-0008-0000-0000-000007000000}"/>
            </a:ext>
          </a:extLst>
        </xdr:cNvPr>
        <xdr:cNvSpPr txBox="1"/>
      </xdr:nvSpPr>
      <xdr:spPr>
        <a:xfrm>
          <a:off x="8267700" y="39235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2539" name="TextBox 2538">
          <a:extLst>
            <a:ext uri="{FF2B5EF4-FFF2-40B4-BE49-F238E27FC236}">
              <a16:creationId xmlns:a16="http://schemas.microsoft.com/office/drawing/2014/main" id="{00000000-0008-0000-0000-000007000000}"/>
            </a:ext>
          </a:extLst>
        </xdr:cNvPr>
        <xdr:cNvSpPr txBox="1"/>
      </xdr:nvSpPr>
      <xdr:spPr>
        <a:xfrm>
          <a:off x="8267700" y="39235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2540" name="TextBox 2539">
          <a:extLst>
            <a:ext uri="{FF2B5EF4-FFF2-40B4-BE49-F238E27FC236}">
              <a16:creationId xmlns:a16="http://schemas.microsoft.com/office/drawing/2014/main" id="{00000000-0008-0000-0000-000007000000}"/>
            </a:ext>
          </a:extLst>
        </xdr:cNvPr>
        <xdr:cNvSpPr txBox="1"/>
      </xdr:nvSpPr>
      <xdr:spPr>
        <a:xfrm>
          <a:off x="8267700" y="39235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2541" name="TextBox 2540">
          <a:extLst>
            <a:ext uri="{FF2B5EF4-FFF2-40B4-BE49-F238E27FC236}">
              <a16:creationId xmlns:a16="http://schemas.microsoft.com/office/drawing/2014/main" id="{00000000-0008-0000-0000-000007000000}"/>
            </a:ext>
          </a:extLst>
        </xdr:cNvPr>
        <xdr:cNvSpPr txBox="1"/>
      </xdr:nvSpPr>
      <xdr:spPr>
        <a:xfrm>
          <a:off x="8267700" y="39235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2542" name="TextBox 2541">
          <a:extLst>
            <a:ext uri="{FF2B5EF4-FFF2-40B4-BE49-F238E27FC236}">
              <a16:creationId xmlns:a16="http://schemas.microsoft.com/office/drawing/2014/main" id="{00000000-0008-0000-0000-000007000000}"/>
            </a:ext>
          </a:extLst>
        </xdr:cNvPr>
        <xdr:cNvSpPr txBox="1"/>
      </xdr:nvSpPr>
      <xdr:spPr>
        <a:xfrm>
          <a:off x="8267700" y="39235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2543" name="TextBox 2542">
          <a:extLst>
            <a:ext uri="{FF2B5EF4-FFF2-40B4-BE49-F238E27FC236}">
              <a16:creationId xmlns:a16="http://schemas.microsoft.com/office/drawing/2014/main" id="{00000000-0008-0000-0000-000007000000}"/>
            </a:ext>
          </a:extLst>
        </xdr:cNvPr>
        <xdr:cNvSpPr txBox="1"/>
      </xdr:nvSpPr>
      <xdr:spPr>
        <a:xfrm>
          <a:off x="8267700" y="39235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2544" name="TextBox 2543">
          <a:extLst>
            <a:ext uri="{FF2B5EF4-FFF2-40B4-BE49-F238E27FC236}">
              <a16:creationId xmlns:a16="http://schemas.microsoft.com/office/drawing/2014/main" id="{00000000-0008-0000-0000-000007000000}"/>
            </a:ext>
          </a:extLst>
        </xdr:cNvPr>
        <xdr:cNvSpPr txBox="1"/>
      </xdr:nvSpPr>
      <xdr:spPr>
        <a:xfrm>
          <a:off x="8267700" y="39235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2545" name="TextBox 2544">
          <a:extLst>
            <a:ext uri="{FF2B5EF4-FFF2-40B4-BE49-F238E27FC236}">
              <a16:creationId xmlns:a16="http://schemas.microsoft.com/office/drawing/2014/main" id="{00000000-0008-0000-0000-000007000000}"/>
            </a:ext>
          </a:extLst>
        </xdr:cNvPr>
        <xdr:cNvSpPr txBox="1"/>
      </xdr:nvSpPr>
      <xdr:spPr>
        <a:xfrm>
          <a:off x="8267700" y="39235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2546" name="TextBox 2545">
          <a:extLst>
            <a:ext uri="{FF2B5EF4-FFF2-40B4-BE49-F238E27FC236}">
              <a16:creationId xmlns:a16="http://schemas.microsoft.com/office/drawing/2014/main" id="{00000000-0008-0000-0000-000007000000}"/>
            </a:ext>
          </a:extLst>
        </xdr:cNvPr>
        <xdr:cNvSpPr txBox="1"/>
      </xdr:nvSpPr>
      <xdr:spPr>
        <a:xfrm>
          <a:off x="8267700" y="39235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2547" name="TextBox 2546">
          <a:extLst>
            <a:ext uri="{FF2B5EF4-FFF2-40B4-BE49-F238E27FC236}">
              <a16:creationId xmlns:a16="http://schemas.microsoft.com/office/drawing/2014/main" id="{00000000-0008-0000-0000-000007000000}"/>
            </a:ext>
          </a:extLst>
        </xdr:cNvPr>
        <xdr:cNvSpPr txBox="1"/>
      </xdr:nvSpPr>
      <xdr:spPr>
        <a:xfrm>
          <a:off x="8267700" y="39235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2548" name="TextBox 2547">
          <a:extLst>
            <a:ext uri="{FF2B5EF4-FFF2-40B4-BE49-F238E27FC236}">
              <a16:creationId xmlns:a16="http://schemas.microsoft.com/office/drawing/2014/main" id="{00000000-0008-0000-0000-000007000000}"/>
            </a:ext>
          </a:extLst>
        </xdr:cNvPr>
        <xdr:cNvSpPr txBox="1"/>
      </xdr:nvSpPr>
      <xdr:spPr>
        <a:xfrm>
          <a:off x="8267700" y="39235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2549" name="TextBox 2548">
          <a:extLst>
            <a:ext uri="{FF2B5EF4-FFF2-40B4-BE49-F238E27FC236}">
              <a16:creationId xmlns:a16="http://schemas.microsoft.com/office/drawing/2014/main" id="{00000000-0008-0000-0000-000007000000}"/>
            </a:ext>
          </a:extLst>
        </xdr:cNvPr>
        <xdr:cNvSpPr txBox="1"/>
      </xdr:nvSpPr>
      <xdr:spPr>
        <a:xfrm>
          <a:off x="8267700" y="39235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2550" name="TextBox 2549">
          <a:extLst>
            <a:ext uri="{FF2B5EF4-FFF2-40B4-BE49-F238E27FC236}">
              <a16:creationId xmlns:a16="http://schemas.microsoft.com/office/drawing/2014/main" id="{00000000-0008-0000-0000-000007000000}"/>
            </a:ext>
          </a:extLst>
        </xdr:cNvPr>
        <xdr:cNvSpPr txBox="1"/>
      </xdr:nvSpPr>
      <xdr:spPr>
        <a:xfrm>
          <a:off x="8267700" y="39235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2551" name="TextBox 2550">
          <a:extLst>
            <a:ext uri="{FF2B5EF4-FFF2-40B4-BE49-F238E27FC236}">
              <a16:creationId xmlns:a16="http://schemas.microsoft.com/office/drawing/2014/main" id="{00000000-0008-0000-0000-000007000000}"/>
            </a:ext>
          </a:extLst>
        </xdr:cNvPr>
        <xdr:cNvSpPr txBox="1"/>
      </xdr:nvSpPr>
      <xdr:spPr>
        <a:xfrm>
          <a:off x="8267700" y="39235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2552" name="TextBox 2551">
          <a:extLst>
            <a:ext uri="{FF2B5EF4-FFF2-40B4-BE49-F238E27FC236}">
              <a16:creationId xmlns:a16="http://schemas.microsoft.com/office/drawing/2014/main" id="{00000000-0008-0000-0000-000007000000}"/>
            </a:ext>
          </a:extLst>
        </xdr:cNvPr>
        <xdr:cNvSpPr txBox="1"/>
      </xdr:nvSpPr>
      <xdr:spPr>
        <a:xfrm>
          <a:off x="8267700" y="39235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2553" name="TextBox 2552">
          <a:extLst>
            <a:ext uri="{FF2B5EF4-FFF2-40B4-BE49-F238E27FC236}">
              <a16:creationId xmlns:a16="http://schemas.microsoft.com/office/drawing/2014/main" id="{00000000-0008-0000-0000-000007000000}"/>
            </a:ext>
          </a:extLst>
        </xdr:cNvPr>
        <xdr:cNvSpPr txBox="1"/>
      </xdr:nvSpPr>
      <xdr:spPr>
        <a:xfrm>
          <a:off x="8267700" y="39235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554" name="TextBox 2553">
          <a:extLst>
            <a:ext uri="{FF2B5EF4-FFF2-40B4-BE49-F238E27FC236}">
              <a16:creationId xmlns:a16="http://schemas.microsoft.com/office/drawing/2014/main" id="{00000000-0008-0000-0000-000007000000}"/>
            </a:ext>
          </a:extLst>
        </xdr:cNvPr>
        <xdr:cNvSpPr txBox="1"/>
      </xdr:nvSpPr>
      <xdr:spPr>
        <a:xfrm>
          <a:off x="826770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555" name="TextBox 2554">
          <a:extLst>
            <a:ext uri="{FF2B5EF4-FFF2-40B4-BE49-F238E27FC236}">
              <a16:creationId xmlns:a16="http://schemas.microsoft.com/office/drawing/2014/main" id="{00000000-0008-0000-0000-000007000000}"/>
            </a:ext>
          </a:extLst>
        </xdr:cNvPr>
        <xdr:cNvSpPr txBox="1"/>
      </xdr:nvSpPr>
      <xdr:spPr>
        <a:xfrm>
          <a:off x="826770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556" name="TextBox 2555">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557" name="TextBox 2556">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558" name="TextBox 2557">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559" name="TextBox 2558">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560" name="TextBox 2559">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561" name="TextBox 2560">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2562" name="TextBox 2561">
          <a:extLst>
            <a:ext uri="{FF2B5EF4-FFF2-40B4-BE49-F238E27FC236}">
              <a16:creationId xmlns:a16="http://schemas.microsoft.com/office/drawing/2014/main" id="{00000000-0008-0000-0000-000007000000}"/>
            </a:ext>
          </a:extLst>
        </xdr:cNvPr>
        <xdr:cNvSpPr txBox="1"/>
      </xdr:nvSpPr>
      <xdr:spPr>
        <a:xfrm>
          <a:off x="8267700" y="33291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2563" name="TextBox 2562">
          <a:extLst>
            <a:ext uri="{FF2B5EF4-FFF2-40B4-BE49-F238E27FC236}">
              <a16:creationId xmlns:a16="http://schemas.microsoft.com/office/drawing/2014/main" id="{00000000-0008-0000-0000-000007000000}"/>
            </a:ext>
          </a:extLst>
        </xdr:cNvPr>
        <xdr:cNvSpPr txBox="1"/>
      </xdr:nvSpPr>
      <xdr:spPr>
        <a:xfrm>
          <a:off x="8267700" y="33291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564" name="TextBox 2563">
          <a:extLst>
            <a:ext uri="{FF2B5EF4-FFF2-40B4-BE49-F238E27FC236}">
              <a16:creationId xmlns:a16="http://schemas.microsoft.com/office/drawing/2014/main" id="{00000000-0008-0000-0000-000007000000}"/>
            </a:ext>
          </a:extLst>
        </xdr:cNvPr>
        <xdr:cNvSpPr txBox="1"/>
      </xdr:nvSpPr>
      <xdr:spPr>
        <a:xfrm>
          <a:off x="826770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565" name="TextBox 2564">
          <a:extLst>
            <a:ext uri="{FF2B5EF4-FFF2-40B4-BE49-F238E27FC236}">
              <a16:creationId xmlns:a16="http://schemas.microsoft.com/office/drawing/2014/main" id="{00000000-0008-0000-0000-000007000000}"/>
            </a:ext>
          </a:extLst>
        </xdr:cNvPr>
        <xdr:cNvSpPr txBox="1"/>
      </xdr:nvSpPr>
      <xdr:spPr>
        <a:xfrm>
          <a:off x="826770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566" name="TextBox 2565">
          <a:extLst>
            <a:ext uri="{FF2B5EF4-FFF2-40B4-BE49-F238E27FC236}">
              <a16:creationId xmlns:a16="http://schemas.microsoft.com/office/drawing/2014/main" id="{00000000-0008-0000-0000-000007000000}"/>
            </a:ext>
          </a:extLst>
        </xdr:cNvPr>
        <xdr:cNvSpPr txBox="1"/>
      </xdr:nvSpPr>
      <xdr:spPr>
        <a:xfrm>
          <a:off x="826770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567" name="TextBox 2566">
          <a:extLst>
            <a:ext uri="{FF2B5EF4-FFF2-40B4-BE49-F238E27FC236}">
              <a16:creationId xmlns:a16="http://schemas.microsoft.com/office/drawing/2014/main" id="{00000000-0008-0000-0000-000007000000}"/>
            </a:ext>
          </a:extLst>
        </xdr:cNvPr>
        <xdr:cNvSpPr txBox="1"/>
      </xdr:nvSpPr>
      <xdr:spPr>
        <a:xfrm>
          <a:off x="826770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568" name="TextBox 2567">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569" name="TextBox 2568">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570" name="TextBox 2569">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571" name="TextBox 2570">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572" name="TextBox 2571">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573" name="TextBox 2572">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574" name="TextBox 2573">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575" name="TextBox 2574">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2576" name="TextBox 2575">
          <a:extLst>
            <a:ext uri="{FF2B5EF4-FFF2-40B4-BE49-F238E27FC236}">
              <a16:creationId xmlns:a16="http://schemas.microsoft.com/office/drawing/2014/main" id="{00000000-0008-0000-0000-000007000000}"/>
            </a:ext>
          </a:extLst>
        </xdr:cNvPr>
        <xdr:cNvSpPr txBox="1"/>
      </xdr:nvSpPr>
      <xdr:spPr>
        <a:xfrm>
          <a:off x="8267700" y="33291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2577" name="TextBox 2576">
          <a:extLst>
            <a:ext uri="{FF2B5EF4-FFF2-40B4-BE49-F238E27FC236}">
              <a16:creationId xmlns:a16="http://schemas.microsoft.com/office/drawing/2014/main" id="{00000000-0008-0000-0000-000007000000}"/>
            </a:ext>
          </a:extLst>
        </xdr:cNvPr>
        <xdr:cNvSpPr txBox="1"/>
      </xdr:nvSpPr>
      <xdr:spPr>
        <a:xfrm>
          <a:off x="8267700" y="33291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2578" name="TextBox 2577">
          <a:extLst>
            <a:ext uri="{FF2B5EF4-FFF2-40B4-BE49-F238E27FC236}">
              <a16:creationId xmlns:a16="http://schemas.microsoft.com/office/drawing/2014/main" id="{00000000-0008-0000-0000-000007000000}"/>
            </a:ext>
          </a:extLst>
        </xdr:cNvPr>
        <xdr:cNvSpPr txBox="1"/>
      </xdr:nvSpPr>
      <xdr:spPr>
        <a:xfrm>
          <a:off x="8267700" y="33291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2579" name="TextBox 2578">
          <a:extLst>
            <a:ext uri="{FF2B5EF4-FFF2-40B4-BE49-F238E27FC236}">
              <a16:creationId xmlns:a16="http://schemas.microsoft.com/office/drawing/2014/main" id="{00000000-0008-0000-0000-000007000000}"/>
            </a:ext>
          </a:extLst>
        </xdr:cNvPr>
        <xdr:cNvSpPr txBox="1"/>
      </xdr:nvSpPr>
      <xdr:spPr>
        <a:xfrm>
          <a:off x="8267700" y="33291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580" name="TextBox 2579">
          <a:extLst>
            <a:ext uri="{FF2B5EF4-FFF2-40B4-BE49-F238E27FC236}">
              <a16:creationId xmlns:a16="http://schemas.microsoft.com/office/drawing/2014/main" id="{00000000-0008-0000-0000-000007000000}"/>
            </a:ext>
          </a:extLst>
        </xdr:cNvPr>
        <xdr:cNvSpPr txBox="1"/>
      </xdr:nvSpPr>
      <xdr:spPr>
        <a:xfrm>
          <a:off x="826770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581" name="TextBox 2580">
          <a:extLst>
            <a:ext uri="{FF2B5EF4-FFF2-40B4-BE49-F238E27FC236}">
              <a16:creationId xmlns:a16="http://schemas.microsoft.com/office/drawing/2014/main" id="{00000000-0008-0000-0000-000007000000}"/>
            </a:ext>
          </a:extLst>
        </xdr:cNvPr>
        <xdr:cNvSpPr txBox="1"/>
      </xdr:nvSpPr>
      <xdr:spPr>
        <a:xfrm>
          <a:off x="826770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582" name="TextBox 2581">
          <a:extLst>
            <a:ext uri="{FF2B5EF4-FFF2-40B4-BE49-F238E27FC236}">
              <a16:creationId xmlns:a16="http://schemas.microsoft.com/office/drawing/2014/main" id="{00000000-0008-0000-0000-000007000000}"/>
            </a:ext>
          </a:extLst>
        </xdr:cNvPr>
        <xdr:cNvSpPr txBox="1"/>
      </xdr:nvSpPr>
      <xdr:spPr>
        <a:xfrm>
          <a:off x="826770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583" name="TextBox 2582">
          <a:extLst>
            <a:ext uri="{FF2B5EF4-FFF2-40B4-BE49-F238E27FC236}">
              <a16:creationId xmlns:a16="http://schemas.microsoft.com/office/drawing/2014/main" id="{00000000-0008-0000-0000-000007000000}"/>
            </a:ext>
          </a:extLst>
        </xdr:cNvPr>
        <xdr:cNvSpPr txBox="1"/>
      </xdr:nvSpPr>
      <xdr:spPr>
        <a:xfrm>
          <a:off x="826770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584" name="TextBox 2583">
          <a:extLst>
            <a:ext uri="{FF2B5EF4-FFF2-40B4-BE49-F238E27FC236}">
              <a16:creationId xmlns:a16="http://schemas.microsoft.com/office/drawing/2014/main" id="{00000000-0008-0000-0000-000007000000}"/>
            </a:ext>
          </a:extLst>
        </xdr:cNvPr>
        <xdr:cNvSpPr txBox="1"/>
      </xdr:nvSpPr>
      <xdr:spPr>
        <a:xfrm>
          <a:off x="826770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585" name="TextBox 2584">
          <a:extLst>
            <a:ext uri="{FF2B5EF4-FFF2-40B4-BE49-F238E27FC236}">
              <a16:creationId xmlns:a16="http://schemas.microsoft.com/office/drawing/2014/main" id="{00000000-0008-0000-0000-000007000000}"/>
            </a:ext>
          </a:extLst>
        </xdr:cNvPr>
        <xdr:cNvSpPr txBox="1"/>
      </xdr:nvSpPr>
      <xdr:spPr>
        <a:xfrm>
          <a:off x="826770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586" name="TextBox 2585">
          <a:extLst>
            <a:ext uri="{FF2B5EF4-FFF2-40B4-BE49-F238E27FC236}">
              <a16:creationId xmlns:a16="http://schemas.microsoft.com/office/drawing/2014/main" id="{00000000-0008-0000-0000-000007000000}"/>
            </a:ext>
          </a:extLst>
        </xdr:cNvPr>
        <xdr:cNvSpPr txBox="1"/>
      </xdr:nvSpPr>
      <xdr:spPr>
        <a:xfrm>
          <a:off x="826770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587" name="TextBox 2586">
          <a:extLst>
            <a:ext uri="{FF2B5EF4-FFF2-40B4-BE49-F238E27FC236}">
              <a16:creationId xmlns:a16="http://schemas.microsoft.com/office/drawing/2014/main" id="{00000000-0008-0000-0000-000007000000}"/>
            </a:ext>
          </a:extLst>
        </xdr:cNvPr>
        <xdr:cNvSpPr txBox="1"/>
      </xdr:nvSpPr>
      <xdr:spPr>
        <a:xfrm>
          <a:off x="826770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588" name="TextBox 2587">
          <a:extLst>
            <a:ext uri="{FF2B5EF4-FFF2-40B4-BE49-F238E27FC236}">
              <a16:creationId xmlns:a16="http://schemas.microsoft.com/office/drawing/2014/main" id="{00000000-0008-0000-0000-000007000000}"/>
            </a:ext>
          </a:extLst>
        </xdr:cNvPr>
        <xdr:cNvSpPr txBox="1"/>
      </xdr:nvSpPr>
      <xdr:spPr>
        <a:xfrm>
          <a:off x="826770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589" name="TextBox 2588">
          <a:extLst>
            <a:ext uri="{FF2B5EF4-FFF2-40B4-BE49-F238E27FC236}">
              <a16:creationId xmlns:a16="http://schemas.microsoft.com/office/drawing/2014/main" id="{00000000-0008-0000-0000-000007000000}"/>
            </a:ext>
          </a:extLst>
        </xdr:cNvPr>
        <xdr:cNvSpPr txBox="1"/>
      </xdr:nvSpPr>
      <xdr:spPr>
        <a:xfrm>
          <a:off x="826770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590" name="TextBox 2589">
          <a:extLst>
            <a:ext uri="{FF2B5EF4-FFF2-40B4-BE49-F238E27FC236}">
              <a16:creationId xmlns:a16="http://schemas.microsoft.com/office/drawing/2014/main" id="{00000000-0008-0000-0000-000007000000}"/>
            </a:ext>
          </a:extLst>
        </xdr:cNvPr>
        <xdr:cNvSpPr txBox="1"/>
      </xdr:nvSpPr>
      <xdr:spPr>
        <a:xfrm>
          <a:off x="826770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591" name="TextBox 2590">
          <a:extLst>
            <a:ext uri="{FF2B5EF4-FFF2-40B4-BE49-F238E27FC236}">
              <a16:creationId xmlns:a16="http://schemas.microsoft.com/office/drawing/2014/main" id="{00000000-0008-0000-0000-000007000000}"/>
            </a:ext>
          </a:extLst>
        </xdr:cNvPr>
        <xdr:cNvSpPr txBox="1"/>
      </xdr:nvSpPr>
      <xdr:spPr>
        <a:xfrm>
          <a:off x="826770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592" name="TextBox 2591">
          <a:extLst>
            <a:ext uri="{FF2B5EF4-FFF2-40B4-BE49-F238E27FC236}">
              <a16:creationId xmlns:a16="http://schemas.microsoft.com/office/drawing/2014/main" id="{00000000-0008-0000-0000-000007000000}"/>
            </a:ext>
          </a:extLst>
        </xdr:cNvPr>
        <xdr:cNvSpPr txBox="1"/>
      </xdr:nvSpPr>
      <xdr:spPr>
        <a:xfrm>
          <a:off x="826770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593" name="TextBox 2592">
          <a:extLst>
            <a:ext uri="{FF2B5EF4-FFF2-40B4-BE49-F238E27FC236}">
              <a16:creationId xmlns:a16="http://schemas.microsoft.com/office/drawing/2014/main" id="{00000000-0008-0000-0000-000007000000}"/>
            </a:ext>
          </a:extLst>
        </xdr:cNvPr>
        <xdr:cNvSpPr txBox="1"/>
      </xdr:nvSpPr>
      <xdr:spPr>
        <a:xfrm>
          <a:off x="826770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594" name="TextBox 2593">
          <a:extLst>
            <a:ext uri="{FF2B5EF4-FFF2-40B4-BE49-F238E27FC236}">
              <a16:creationId xmlns:a16="http://schemas.microsoft.com/office/drawing/2014/main" id="{00000000-0008-0000-0000-000007000000}"/>
            </a:ext>
          </a:extLst>
        </xdr:cNvPr>
        <xdr:cNvSpPr txBox="1"/>
      </xdr:nvSpPr>
      <xdr:spPr>
        <a:xfrm>
          <a:off x="826770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595" name="TextBox 2594">
          <a:extLst>
            <a:ext uri="{FF2B5EF4-FFF2-40B4-BE49-F238E27FC236}">
              <a16:creationId xmlns:a16="http://schemas.microsoft.com/office/drawing/2014/main" id="{00000000-0008-0000-0000-000007000000}"/>
            </a:ext>
          </a:extLst>
        </xdr:cNvPr>
        <xdr:cNvSpPr txBox="1"/>
      </xdr:nvSpPr>
      <xdr:spPr>
        <a:xfrm>
          <a:off x="826770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596" name="TextBox 2595">
          <a:extLst>
            <a:ext uri="{FF2B5EF4-FFF2-40B4-BE49-F238E27FC236}">
              <a16:creationId xmlns:a16="http://schemas.microsoft.com/office/drawing/2014/main" id="{00000000-0008-0000-0000-000007000000}"/>
            </a:ext>
          </a:extLst>
        </xdr:cNvPr>
        <xdr:cNvSpPr txBox="1"/>
      </xdr:nvSpPr>
      <xdr:spPr>
        <a:xfrm>
          <a:off x="1213866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597" name="TextBox 2596">
          <a:extLst>
            <a:ext uri="{FF2B5EF4-FFF2-40B4-BE49-F238E27FC236}">
              <a16:creationId xmlns:a16="http://schemas.microsoft.com/office/drawing/2014/main" id="{00000000-0008-0000-0000-000007000000}"/>
            </a:ext>
          </a:extLst>
        </xdr:cNvPr>
        <xdr:cNvSpPr txBox="1"/>
      </xdr:nvSpPr>
      <xdr:spPr>
        <a:xfrm>
          <a:off x="1213866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598" name="TextBox 2597">
          <a:extLst>
            <a:ext uri="{FF2B5EF4-FFF2-40B4-BE49-F238E27FC236}">
              <a16:creationId xmlns:a16="http://schemas.microsoft.com/office/drawing/2014/main" id="{00000000-0008-0000-0000-000007000000}"/>
            </a:ext>
          </a:extLst>
        </xdr:cNvPr>
        <xdr:cNvSpPr txBox="1"/>
      </xdr:nvSpPr>
      <xdr:spPr>
        <a:xfrm>
          <a:off x="1213866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599" name="TextBox 2598">
          <a:extLst>
            <a:ext uri="{FF2B5EF4-FFF2-40B4-BE49-F238E27FC236}">
              <a16:creationId xmlns:a16="http://schemas.microsoft.com/office/drawing/2014/main" id="{00000000-0008-0000-0000-000007000000}"/>
            </a:ext>
          </a:extLst>
        </xdr:cNvPr>
        <xdr:cNvSpPr txBox="1"/>
      </xdr:nvSpPr>
      <xdr:spPr>
        <a:xfrm>
          <a:off x="1213866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600" name="TextBox 2599">
          <a:extLst>
            <a:ext uri="{FF2B5EF4-FFF2-40B4-BE49-F238E27FC236}">
              <a16:creationId xmlns:a16="http://schemas.microsoft.com/office/drawing/2014/main" id="{00000000-0008-0000-0000-000007000000}"/>
            </a:ext>
          </a:extLst>
        </xdr:cNvPr>
        <xdr:cNvSpPr txBox="1"/>
      </xdr:nvSpPr>
      <xdr:spPr>
        <a:xfrm>
          <a:off x="1213866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601" name="TextBox 2600">
          <a:extLst>
            <a:ext uri="{FF2B5EF4-FFF2-40B4-BE49-F238E27FC236}">
              <a16:creationId xmlns:a16="http://schemas.microsoft.com/office/drawing/2014/main" id="{00000000-0008-0000-0000-000007000000}"/>
            </a:ext>
          </a:extLst>
        </xdr:cNvPr>
        <xdr:cNvSpPr txBox="1"/>
      </xdr:nvSpPr>
      <xdr:spPr>
        <a:xfrm>
          <a:off x="1213866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602" name="TextBox 2601">
          <a:extLst>
            <a:ext uri="{FF2B5EF4-FFF2-40B4-BE49-F238E27FC236}">
              <a16:creationId xmlns:a16="http://schemas.microsoft.com/office/drawing/2014/main" id="{00000000-0008-0000-0000-000007000000}"/>
            </a:ext>
          </a:extLst>
        </xdr:cNvPr>
        <xdr:cNvSpPr txBox="1"/>
      </xdr:nvSpPr>
      <xdr:spPr>
        <a:xfrm>
          <a:off x="1213866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603" name="TextBox 2602">
          <a:extLst>
            <a:ext uri="{FF2B5EF4-FFF2-40B4-BE49-F238E27FC236}">
              <a16:creationId xmlns:a16="http://schemas.microsoft.com/office/drawing/2014/main" id="{00000000-0008-0000-0000-000007000000}"/>
            </a:ext>
          </a:extLst>
        </xdr:cNvPr>
        <xdr:cNvSpPr txBox="1"/>
      </xdr:nvSpPr>
      <xdr:spPr>
        <a:xfrm>
          <a:off x="1213866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2604" name="TextBox 2603">
          <a:extLst>
            <a:ext uri="{FF2B5EF4-FFF2-40B4-BE49-F238E27FC236}">
              <a16:creationId xmlns:a16="http://schemas.microsoft.com/office/drawing/2014/main" id="{00000000-0008-0000-0000-000007000000}"/>
            </a:ext>
          </a:extLst>
        </xdr:cNvPr>
        <xdr:cNvSpPr txBox="1"/>
      </xdr:nvSpPr>
      <xdr:spPr>
        <a:xfrm>
          <a:off x="8267700" y="33291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2605" name="TextBox 2604">
          <a:extLst>
            <a:ext uri="{FF2B5EF4-FFF2-40B4-BE49-F238E27FC236}">
              <a16:creationId xmlns:a16="http://schemas.microsoft.com/office/drawing/2014/main" id="{00000000-0008-0000-0000-000007000000}"/>
            </a:ext>
          </a:extLst>
        </xdr:cNvPr>
        <xdr:cNvSpPr txBox="1"/>
      </xdr:nvSpPr>
      <xdr:spPr>
        <a:xfrm>
          <a:off x="8267700" y="33291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2606" name="TextBox 2605">
          <a:extLst>
            <a:ext uri="{FF2B5EF4-FFF2-40B4-BE49-F238E27FC236}">
              <a16:creationId xmlns:a16="http://schemas.microsoft.com/office/drawing/2014/main" id="{00000000-0008-0000-0000-000007000000}"/>
            </a:ext>
          </a:extLst>
        </xdr:cNvPr>
        <xdr:cNvSpPr txBox="1"/>
      </xdr:nvSpPr>
      <xdr:spPr>
        <a:xfrm>
          <a:off x="8267700" y="33291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2607" name="TextBox 2606">
          <a:extLst>
            <a:ext uri="{FF2B5EF4-FFF2-40B4-BE49-F238E27FC236}">
              <a16:creationId xmlns:a16="http://schemas.microsoft.com/office/drawing/2014/main" id="{00000000-0008-0000-0000-000007000000}"/>
            </a:ext>
          </a:extLst>
        </xdr:cNvPr>
        <xdr:cNvSpPr txBox="1"/>
      </xdr:nvSpPr>
      <xdr:spPr>
        <a:xfrm>
          <a:off x="8267700" y="33291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608" name="TextBox 2607">
          <a:extLst>
            <a:ext uri="{FF2B5EF4-FFF2-40B4-BE49-F238E27FC236}">
              <a16:creationId xmlns:a16="http://schemas.microsoft.com/office/drawing/2014/main" id="{00000000-0008-0000-0000-000007000000}"/>
            </a:ext>
          </a:extLst>
        </xdr:cNvPr>
        <xdr:cNvSpPr txBox="1"/>
      </xdr:nvSpPr>
      <xdr:spPr>
        <a:xfrm>
          <a:off x="826770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609" name="TextBox 2608">
          <a:extLst>
            <a:ext uri="{FF2B5EF4-FFF2-40B4-BE49-F238E27FC236}">
              <a16:creationId xmlns:a16="http://schemas.microsoft.com/office/drawing/2014/main" id="{00000000-0008-0000-0000-000007000000}"/>
            </a:ext>
          </a:extLst>
        </xdr:cNvPr>
        <xdr:cNvSpPr txBox="1"/>
      </xdr:nvSpPr>
      <xdr:spPr>
        <a:xfrm>
          <a:off x="826770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610" name="TextBox 2609">
          <a:extLst>
            <a:ext uri="{FF2B5EF4-FFF2-40B4-BE49-F238E27FC236}">
              <a16:creationId xmlns:a16="http://schemas.microsoft.com/office/drawing/2014/main" id="{00000000-0008-0000-0000-000007000000}"/>
            </a:ext>
          </a:extLst>
        </xdr:cNvPr>
        <xdr:cNvSpPr txBox="1"/>
      </xdr:nvSpPr>
      <xdr:spPr>
        <a:xfrm>
          <a:off x="826770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611" name="TextBox 2610">
          <a:extLst>
            <a:ext uri="{FF2B5EF4-FFF2-40B4-BE49-F238E27FC236}">
              <a16:creationId xmlns:a16="http://schemas.microsoft.com/office/drawing/2014/main" id="{00000000-0008-0000-0000-000007000000}"/>
            </a:ext>
          </a:extLst>
        </xdr:cNvPr>
        <xdr:cNvSpPr txBox="1"/>
      </xdr:nvSpPr>
      <xdr:spPr>
        <a:xfrm>
          <a:off x="826770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612" name="TextBox 2611">
          <a:extLst>
            <a:ext uri="{FF2B5EF4-FFF2-40B4-BE49-F238E27FC236}">
              <a16:creationId xmlns:a16="http://schemas.microsoft.com/office/drawing/2014/main" id="{00000000-0008-0000-0000-000007000000}"/>
            </a:ext>
          </a:extLst>
        </xdr:cNvPr>
        <xdr:cNvSpPr txBox="1"/>
      </xdr:nvSpPr>
      <xdr:spPr>
        <a:xfrm>
          <a:off x="826770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613" name="TextBox 2612">
          <a:extLst>
            <a:ext uri="{FF2B5EF4-FFF2-40B4-BE49-F238E27FC236}">
              <a16:creationId xmlns:a16="http://schemas.microsoft.com/office/drawing/2014/main" id="{00000000-0008-0000-0000-000007000000}"/>
            </a:ext>
          </a:extLst>
        </xdr:cNvPr>
        <xdr:cNvSpPr txBox="1"/>
      </xdr:nvSpPr>
      <xdr:spPr>
        <a:xfrm>
          <a:off x="826770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614" name="TextBox 2613">
          <a:extLst>
            <a:ext uri="{FF2B5EF4-FFF2-40B4-BE49-F238E27FC236}">
              <a16:creationId xmlns:a16="http://schemas.microsoft.com/office/drawing/2014/main" id="{00000000-0008-0000-0000-000007000000}"/>
            </a:ext>
          </a:extLst>
        </xdr:cNvPr>
        <xdr:cNvSpPr txBox="1"/>
      </xdr:nvSpPr>
      <xdr:spPr>
        <a:xfrm>
          <a:off x="826770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615" name="TextBox 2614">
          <a:extLst>
            <a:ext uri="{FF2B5EF4-FFF2-40B4-BE49-F238E27FC236}">
              <a16:creationId xmlns:a16="http://schemas.microsoft.com/office/drawing/2014/main" id="{00000000-0008-0000-0000-000007000000}"/>
            </a:ext>
          </a:extLst>
        </xdr:cNvPr>
        <xdr:cNvSpPr txBox="1"/>
      </xdr:nvSpPr>
      <xdr:spPr>
        <a:xfrm>
          <a:off x="826770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616" name="TextBox 2615">
          <a:extLst>
            <a:ext uri="{FF2B5EF4-FFF2-40B4-BE49-F238E27FC236}">
              <a16:creationId xmlns:a16="http://schemas.microsoft.com/office/drawing/2014/main" id="{00000000-0008-0000-0000-000007000000}"/>
            </a:ext>
          </a:extLst>
        </xdr:cNvPr>
        <xdr:cNvSpPr txBox="1"/>
      </xdr:nvSpPr>
      <xdr:spPr>
        <a:xfrm>
          <a:off x="826770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617" name="TextBox 2616">
          <a:extLst>
            <a:ext uri="{FF2B5EF4-FFF2-40B4-BE49-F238E27FC236}">
              <a16:creationId xmlns:a16="http://schemas.microsoft.com/office/drawing/2014/main" id="{00000000-0008-0000-0000-000007000000}"/>
            </a:ext>
          </a:extLst>
        </xdr:cNvPr>
        <xdr:cNvSpPr txBox="1"/>
      </xdr:nvSpPr>
      <xdr:spPr>
        <a:xfrm>
          <a:off x="826770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618" name="TextBox 2617">
          <a:extLst>
            <a:ext uri="{FF2B5EF4-FFF2-40B4-BE49-F238E27FC236}">
              <a16:creationId xmlns:a16="http://schemas.microsoft.com/office/drawing/2014/main" id="{00000000-0008-0000-0000-000007000000}"/>
            </a:ext>
          </a:extLst>
        </xdr:cNvPr>
        <xdr:cNvSpPr txBox="1"/>
      </xdr:nvSpPr>
      <xdr:spPr>
        <a:xfrm>
          <a:off x="826770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619" name="TextBox 2618">
          <a:extLst>
            <a:ext uri="{FF2B5EF4-FFF2-40B4-BE49-F238E27FC236}">
              <a16:creationId xmlns:a16="http://schemas.microsoft.com/office/drawing/2014/main" id="{00000000-0008-0000-0000-000007000000}"/>
            </a:ext>
          </a:extLst>
        </xdr:cNvPr>
        <xdr:cNvSpPr txBox="1"/>
      </xdr:nvSpPr>
      <xdr:spPr>
        <a:xfrm>
          <a:off x="826770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620" name="TextBox 2619">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621" name="TextBox 2620">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622" name="TextBox 2621">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623" name="TextBox 2622">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624" name="TextBox 2623">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625" name="TextBox 2624">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626" name="TextBox 2625">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627" name="TextBox 2626">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628" name="TextBox 2627">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629" name="TextBox 2628">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630" name="TextBox 2629">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631" name="TextBox 2630">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632" name="TextBox 2631">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633" name="TextBox 2632">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634" name="TextBox 2633">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635" name="TextBox 2634">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636" name="TextBox 2635">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637" name="TextBox 2636">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638" name="TextBox 2637">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639" name="TextBox 2638">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640" name="TextBox 2639">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641" name="TextBox 2640">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642" name="TextBox 2641">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643" name="TextBox 2642">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644" name="TextBox 2643">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645" name="TextBox 2644">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646" name="TextBox 2645">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647" name="TextBox 2646">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648" name="TextBox 2647">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649" name="TextBox 2648">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650" name="TextBox 2649">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651" name="TextBox 2650">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652" name="TextBox 2651">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653" name="TextBox 2652">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654" name="TextBox 2653">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655" name="TextBox 2654">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656" name="TextBox 2655">
          <a:extLst>
            <a:ext uri="{FF2B5EF4-FFF2-40B4-BE49-F238E27FC236}">
              <a16:creationId xmlns:a16="http://schemas.microsoft.com/office/drawing/2014/main" id="{00000000-0008-0000-0000-000007000000}"/>
            </a:ext>
          </a:extLst>
        </xdr:cNvPr>
        <xdr:cNvSpPr txBox="1"/>
      </xdr:nvSpPr>
      <xdr:spPr>
        <a:xfrm>
          <a:off x="1213866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657" name="TextBox 2656">
          <a:extLst>
            <a:ext uri="{FF2B5EF4-FFF2-40B4-BE49-F238E27FC236}">
              <a16:creationId xmlns:a16="http://schemas.microsoft.com/office/drawing/2014/main" id="{00000000-0008-0000-0000-000007000000}"/>
            </a:ext>
          </a:extLst>
        </xdr:cNvPr>
        <xdr:cNvSpPr txBox="1"/>
      </xdr:nvSpPr>
      <xdr:spPr>
        <a:xfrm>
          <a:off x="1213866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658" name="TextBox 2657">
          <a:extLst>
            <a:ext uri="{FF2B5EF4-FFF2-40B4-BE49-F238E27FC236}">
              <a16:creationId xmlns:a16="http://schemas.microsoft.com/office/drawing/2014/main" id="{00000000-0008-0000-0000-000007000000}"/>
            </a:ext>
          </a:extLst>
        </xdr:cNvPr>
        <xdr:cNvSpPr txBox="1"/>
      </xdr:nvSpPr>
      <xdr:spPr>
        <a:xfrm>
          <a:off x="1213866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659" name="TextBox 2658">
          <a:extLst>
            <a:ext uri="{FF2B5EF4-FFF2-40B4-BE49-F238E27FC236}">
              <a16:creationId xmlns:a16="http://schemas.microsoft.com/office/drawing/2014/main" id="{00000000-0008-0000-0000-000007000000}"/>
            </a:ext>
          </a:extLst>
        </xdr:cNvPr>
        <xdr:cNvSpPr txBox="1"/>
      </xdr:nvSpPr>
      <xdr:spPr>
        <a:xfrm>
          <a:off x="1213866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660" name="TextBox 2659">
          <a:extLst>
            <a:ext uri="{FF2B5EF4-FFF2-40B4-BE49-F238E27FC236}">
              <a16:creationId xmlns:a16="http://schemas.microsoft.com/office/drawing/2014/main" id="{00000000-0008-0000-0000-000007000000}"/>
            </a:ext>
          </a:extLst>
        </xdr:cNvPr>
        <xdr:cNvSpPr txBox="1"/>
      </xdr:nvSpPr>
      <xdr:spPr>
        <a:xfrm>
          <a:off x="1213866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661" name="TextBox 2660">
          <a:extLst>
            <a:ext uri="{FF2B5EF4-FFF2-40B4-BE49-F238E27FC236}">
              <a16:creationId xmlns:a16="http://schemas.microsoft.com/office/drawing/2014/main" id="{00000000-0008-0000-0000-000007000000}"/>
            </a:ext>
          </a:extLst>
        </xdr:cNvPr>
        <xdr:cNvSpPr txBox="1"/>
      </xdr:nvSpPr>
      <xdr:spPr>
        <a:xfrm>
          <a:off x="1213866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662" name="TextBox 2661">
          <a:extLst>
            <a:ext uri="{FF2B5EF4-FFF2-40B4-BE49-F238E27FC236}">
              <a16:creationId xmlns:a16="http://schemas.microsoft.com/office/drawing/2014/main" id="{00000000-0008-0000-0000-000007000000}"/>
            </a:ext>
          </a:extLst>
        </xdr:cNvPr>
        <xdr:cNvSpPr txBox="1"/>
      </xdr:nvSpPr>
      <xdr:spPr>
        <a:xfrm>
          <a:off x="1213866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663" name="TextBox 2662">
          <a:extLst>
            <a:ext uri="{FF2B5EF4-FFF2-40B4-BE49-F238E27FC236}">
              <a16:creationId xmlns:a16="http://schemas.microsoft.com/office/drawing/2014/main" id="{00000000-0008-0000-0000-000007000000}"/>
            </a:ext>
          </a:extLst>
        </xdr:cNvPr>
        <xdr:cNvSpPr txBox="1"/>
      </xdr:nvSpPr>
      <xdr:spPr>
        <a:xfrm>
          <a:off x="1213866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664" name="TextBox 2663">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665" name="TextBox 2664">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666" name="TextBox 2665">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667" name="TextBox 2666">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668" name="TextBox 2667">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669" name="TextBox 2668">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670" name="TextBox 2669">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671" name="TextBox 2670">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672" name="TextBox 2671">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673" name="TextBox 2672">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674" name="TextBox 2673">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675" name="TextBox 2674">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676" name="TextBox 2675">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677" name="TextBox 2676">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678" name="TextBox 2677">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679" name="TextBox 2678">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680" name="TextBox 2679">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681" name="TextBox 2680">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682" name="TextBox 2681">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683" name="TextBox 2682">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684" name="TextBox 2683">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685" name="TextBox 2684">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686" name="TextBox 2685">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687" name="TextBox 2686">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688" name="TextBox 2687">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689" name="TextBox 2688">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690" name="TextBox 2689">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691" name="TextBox 2690">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692" name="TextBox 2691">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693" name="TextBox 2692">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694" name="TextBox 2693">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695" name="TextBox 2694">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696" name="TextBox 2695">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697" name="TextBox 2696">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698" name="TextBox 2697">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699" name="TextBox 2698">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700" name="TextBox 2699">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701" name="TextBox 2700">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702" name="TextBox 2701">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703" name="TextBox 2702">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704" name="TextBox 2703">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705" name="TextBox 2704">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706" name="TextBox 2705">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707" name="TextBox 2706">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708" name="TextBox 2707">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709" name="TextBox 2708">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710" name="TextBox 2709">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711" name="TextBox 2710">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712" name="TextBox 2711">
          <a:extLst>
            <a:ext uri="{FF2B5EF4-FFF2-40B4-BE49-F238E27FC236}">
              <a16:creationId xmlns:a16="http://schemas.microsoft.com/office/drawing/2014/main" id="{00000000-0008-0000-0000-000007000000}"/>
            </a:ext>
          </a:extLst>
        </xdr:cNvPr>
        <xdr:cNvSpPr txBox="1"/>
      </xdr:nvSpPr>
      <xdr:spPr>
        <a:xfrm>
          <a:off x="1213866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713" name="TextBox 2712">
          <a:extLst>
            <a:ext uri="{FF2B5EF4-FFF2-40B4-BE49-F238E27FC236}">
              <a16:creationId xmlns:a16="http://schemas.microsoft.com/office/drawing/2014/main" id="{00000000-0008-0000-0000-000007000000}"/>
            </a:ext>
          </a:extLst>
        </xdr:cNvPr>
        <xdr:cNvSpPr txBox="1"/>
      </xdr:nvSpPr>
      <xdr:spPr>
        <a:xfrm>
          <a:off x="1213866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714" name="TextBox 2713">
          <a:extLst>
            <a:ext uri="{FF2B5EF4-FFF2-40B4-BE49-F238E27FC236}">
              <a16:creationId xmlns:a16="http://schemas.microsoft.com/office/drawing/2014/main" id="{00000000-0008-0000-0000-000007000000}"/>
            </a:ext>
          </a:extLst>
        </xdr:cNvPr>
        <xdr:cNvSpPr txBox="1"/>
      </xdr:nvSpPr>
      <xdr:spPr>
        <a:xfrm>
          <a:off x="1213866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715" name="TextBox 2714">
          <a:extLst>
            <a:ext uri="{FF2B5EF4-FFF2-40B4-BE49-F238E27FC236}">
              <a16:creationId xmlns:a16="http://schemas.microsoft.com/office/drawing/2014/main" id="{00000000-0008-0000-0000-000007000000}"/>
            </a:ext>
          </a:extLst>
        </xdr:cNvPr>
        <xdr:cNvSpPr txBox="1"/>
      </xdr:nvSpPr>
      <xdr:spPr>
        <a:xfrm>
          <a:off x="1213866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716" name="TextBox 2715">
          <a:extLst>
            <a:ext uri="{FF2B5EF4-FFF2-40B4-BE49-F238E27FC236}">
              <a16:creationId xmlns:a16="http://schemas.microsoft.com/office/drawing/2014/main" id="{00000000-0008-0000-0000-000007000000}"/>
            </a:ext>
          </a:extLst>
        </xdr:cNvPr>
        <xdr:cNvSpPr txBox="1"/>
      </xdr:nvSpPr>
      <xdr:spPr>
        <a:xfrm>
          <a:off x="1213866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717" name="TextBox 2716">
          <a:extLst>
            <a:ext uri="{FF2B5EF4-FFF2-40B4-BE49-F238E27FC236}">
              <a16:creationId xmlns:a16="http://schemas.microsoft.com/office/drawing/2014/main" id="{00000000-0008-0000-0000-000007000000}"/>
            </a:ext>
          </a:extLst>
        </xdr:cNvPr>
        <xdr:cNvSpPr txBox="1"/>
      </xdr:nvSpPr>
      <xdr:spPr>
        <a:xfrm>
          <a:off x="1213866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718" name="TextBox 2717">
          <a:extLst>
            <a:ext uri="{FF2B5EF4-FFF2-40B4-BE49-F238E27FC236}">
              <a16:creationId xmlns:a16="http://schemas.microsoft.com/office/drawing/2014/main" id="{00000000-0008-0000-0000-000007000000}"/>
            </a:ext>
          </a:extLst>
        </xdr:cNvPr>
        <xdr:cNvSpPr txBox="1"/>
      </xdr:nvSpPr>
      <xdr:spPr>
        <a:xfrm>
          <a:off x="1213866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719" name="TextBox 2718">
          <a:extLst>
            <a:ext uri="{FF2B5EF4-FFF2-40B4-BE49-F238E27FC236}">
              <a16:creationId xmlns:a16="http://schemas.microsoft.com/office/drawing/2014/main" id="{00000000-0008-0000-0000-000007000000}"/>
            </a:ext>
          </a:extLst>
        </xdr:cNvPr>
        <xdr:cNvSpPr txBox="1"/>
      </xdr:nvSpPr>
      <xdr:spPr>
        <a:xfrm>
          <a:off x="1213866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720" name="TextBox 2719">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721" name="TextBox 2720">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722" name="TextBox 2721">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723" name="TextBox 2722">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724" name="TextBox 2723">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725" name="TextBox 2724">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726" name="TextBox 2725">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727" name="TextBox 2726">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728" name="TextBox 2727">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729" name="TextBox 2728">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730" name="TextBox 2729">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731" name="TextBox 2730">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732" name="TextBox 2731">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733" name="TextBox 2732">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734" name="TextBox 2733">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735" name="TextBox 2734">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736" name="TextBox 2735">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737" name="TextBox 2736">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738" name="TextBox 2737">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739" name="TextBox 2738">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740" name="TextBox 2739">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741" name="TextBox 2740">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742" name="TextBox 2741">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743" name="TextBox 2742">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744" name="TextBox 2743">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745" name="TextBox 2744">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746" name="TextBox 2745">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747" name="TextBox 2746">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748" name="TextBox 2747">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749" name="TextBox 2748">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750" name="TextBox 2749">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751" name="TextBox 2750">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752" name="TextBox 2751">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753" name="TextBox 2752">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754" name="TextBox 2753">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755" name="TextBox 2754">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756" name="TextBox 2755">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757" name="TextBox 2756">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758" name="TextBox 2757">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759" name="TextBox 2758">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760" name="TextBox 2759">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761" name="TextBox 2760">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762" name="TextBox 2761">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763" name="TextBox 2762">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764" name="TextBox 2763">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765" name="TextBox 2764">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766" name="TextBox 2765">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767" name="TextBox 2766">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768" name="TextBox 2767">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769" name="TextBox 2768">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770" name="TextBox 2769">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771" name="TextBox 2770">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772" name="TextBox 2771">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773" name="TextBox 2772">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774" name="TextBox 2773">
          <a:extLst>
            <a:ext uri="{FF2B5EF4-FFF2-40B4-BE49-F238E27FC236}">
              <a16:creationId xmlns:a16="http://schemas.microsoft.com/office/drawing/2014/main" id="{00000000-0008-0000-0000-000007000000}"/>
            </a:ext>
          </a:extLst>
        </xdr:cNvPr>
        <xdr:cNvSpPr txBox="1"/>
      </xdr:nvSpPr>
      <xdr:spPr>
        <a:xfrm>
          <a:off x="1213866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775" name="TextBox 2774">
          <a:extLst>
            <a:ext uri="{FF2B5EF4-FFF2-40B4-BE49-F238E27FC236}">
              <a16:creationId xmlns:a16="http://schemas.microsoft.com/office/drawing/2014/main" id="{00000000-0008-0000-0000-000007000000}"/>
            </a:ext>
          </a:extLst>
        </xdr:cNvPr>
        <xdr:cNvSpPr txBox="1"/>
      </xdr:nvSpPr>
      <xdr:spPr>
        <a:xfrm>
          <a:off x="1213866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776" name="TextBox 2775">
          <a:extLst>
            <a:ext uri="{FF2B5EF4-FFF2-40B4-BE49-F238E27FC236}">
              <a16:creationId xmlns:a16="http://schemas.microsoft.com/office/drawing/2014/main" id="{00000000-0008-0000-0000-000007000000}"/>
            </a:ext>
          </a:extLst>
        </xdr:cNvPr>
        <xdr:cNvSpPr txBox="1"/>
      </xdr:nvSpPr>
      <xdr:spPr>
        <a:xfrm>
          <a:off x="1213866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777" name="TextBox 2776">
          <a:extLst>
            <a:ext uri="{FF2B5EF4-FFF2-40B4-BE49-F238E27FC236}">
              <a16:creationId xmlns:a16="http://schemas.microsoft.com/office/drawing/2014/main" id="{00000000-0008-0000-0000-000007000000}"/>
            </a:ext>
          </a:extLst>
        </xdr:cNvPr>
        <xdr:cNvSpPr txBox="1"/>
      </xdr:nvSpPr>
      <xdr:spPr>
        <a:xfrm>
          <a:off x="1213866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778" name="TextBox 2777">
          <a:extLst>
            <a:ext uri="{FF2B5EF4-FFF2-40B4-BE49-F238E27FC236}">
              <a16:creationId xmlns:a16="http://schemas.microsoft.com/office/drawing/2014/main" id="{00000000-0008-0000-0000-000007000000}"/>
            </a:ext>
          </a:extLst>
        </xdr:cNvPr>
        <xdr:cNvSpPr txBox="1"/>
      </xdr:nvSpPr>
      <xdr:spPr>
        <a:xfrm>
          <a:off x="1213866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779" name="TextBox 2778">
          <a:extLst>
            <a:ext uri="{FF2B5EF4-FFF2-40B4-BE49-F238E27FC236}">
              <a16:creationId xmlns:a16="http://schemas.microsoft.com/office/drawing/2014/main" id="{00000000-0008-0000-0000-000007000000}"/>
            </a:ext>
          </a:extLst>
        </xdr:cNvPr>
        <xdr:cNvSpPr txBox="1"/>
      </xdr:nvSpPr>
      <xdr:spPr>
        <a:xfrm>
          <a:off x="1213866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780" name="TextBox 2779">
          <a:extLst>
            <a:ext uri="{FF2B5EF4-FFF2-40B4-BE49-F238E27FC236}">
              <a16:creationId xmlns:a16="http://schemas.microsoft.com/office/drawing/2014/main" id="{00000000-0008-0000-0000-000007000000}"/>
            </a:ext>
          </a:extLst>
        </xdr:cNvPr>
        <xdr:cNvSpPr txBox="1"/>
      </xdr:nvSpPr>
      <xdr:spPr>
        <a:xfrm>
          <a:off x="1213866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781" name="TextBox 2780">
          <a:extLst>
            <a:ext uri="{FF2B5EF4-FFF2-40B4-BE49-F238E27FC236}">
              <a16:creationId xmlns:a16="http://schemas.microsoft.com/office/drawing/2014/main" id="{00000000-0008-0000-0000-000007000000}"/>
            </a:ext>
          </a:extLst>
        </xdr:cNvPr>
        <xdr:cNvSpPr txBox="1"/>
      </xdr:nvSpPr>
      <xdr:spPr>
        <a:xfrm>
          <a:off x="1213866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782" name="TextBox 2781">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783" name="TextBox 2782">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784" name="TextBox 2783">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785" name="TextBox 2784">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786" name="TextBox 2785">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787" name="TextBox 2786">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788" name="TextBox 2787">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789" name="TextBox 2788">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790" name="TextBox 2789">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791" name="TextBox 2790">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792" name="TextBox 2791">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793" name="TextBox 2792">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794" name="TextBox 2793">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795" name="TextBox 2794">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796" name="TextBox 2795">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797" name="TextBox 2796">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798" name="TextBox 2797">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799" name="TextBox 2798">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800" name="TextBox 2799">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801" name="TextBox 2800">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802" name="TextBox 2801">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803" name="TextBox 2802">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804" name="TextBox 2803">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805" name="TextBox 2804">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806" name="TextBox 2805">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807" name="TextBox 2806">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808" name="TextBox 2807">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809" name="TextBox 2808">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810" name="TextBox 2809">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811" name="TextBox 2810">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812" name="TextBox 2811">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813" name="TextBox 2812">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814" name="TextBox 2813">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815" name="TextBox 2814">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816" name="TextBox 2815">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817" name="TextBox 2816">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818" name="TextBox 2817">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819" name="TextBox 2818">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820" name="TextBox 2819">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821" name="TextBox 2820">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822" name="TextBox 2821">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823" name="TextBox 2822">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824" name="TextBox 2823">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825" name="TextBox 2824">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826" name="TextBox 2825">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827" name="TextBox 2826">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828" name="TextBox 2827">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829" name="TextBox 2828">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830" name="TextBox 2829">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831" name="TextBox 2830">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832" name="TextBox 2831">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833" name="TextBox 2832">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834" name="TextBox 2833">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835" name="TextBox 2834">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836" name="TextBox 2835">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837" name="TextBox 2836">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838" name="TextBox 2837">
          <a:extLst>
            <a:ext uri="{FF2B5EF4-FFF2-40B4-BE49-F238E27FC236}">
              <a16:creationId xmlns:a16="http://schemas.microsoft.com/office/drawing/2014/main" id="{00000000-0008-0000-0000-000007000000}"/>
            </a:ext>
          </a:extLst>
        </xdr:cNvPr>
        <xdr:cNvSpPr txBox="1"/>
      </xdr:nvSpPr>
      <xdr:spPr>
        <a:xfrm>
          <a:off x="1213866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839" name="TextBox 2838">
          <a:extLst>
            <a:ext uri="{FF2B5EF4-FFF2-40B4-BE49-F238E27FC236}">
              <a16:creationId xmlns:a16="http://schemas.microsoft.com/office/drawing/2014/main" id="{00000000-0008-0000-0000-000007000000}"/>
            </a:ext>
          </a:extLst>
        </xdr:cNvPr>
        <xdr:cNvSpPr txBox="1"/>
      </xdr:nvSpPr>
      <xdr:spPr>
        <a:xfrm>
          <a:off x="1213866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840" name="TextBox 2839">
          <a:extLst>
            <a:ext uri="{FF2B5EF4-FFF2-40B4-BE49-F238E27FC236}">
              <a16:creationId xmlns:a16="http://schemas.microsoft.com/office/drawing/2014/main" id="{00000000-0008-0000-0000-000007000000}"/>
            </a:ext>
          </a:extLst>
        </xdr:cNvPr>
        <xdr:cNvSpPr txBox="1"/>
      </xdr:nvSpPr>
      <xdr:spPr>
        <a:xfrm>
          <a:off x="1213866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841" name="TextBox 2840">
          <a:extLst>
            <a:ext uri="{FF2B5EF4-FFF2-40B4-BE49-F238E27FC236}">
              <a16:creationId xmlns:a16="http://schemas.microsoft.com/office/drawing/2014/main" id="{00000000-0008-0000-0000-000007000000}"/>
            </a:ext>
          </a:extLst>
        </xdr:cNvPr>
        <xdr:cNvSpPr txBox="1"/>
      </xdr:nvSpPr>
      <xdr:spPr>
        <a:xfrm>
          <a:off x="1213866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842" name="TextBox 2841">
          <a:extLst>
            <a:ext uri="{FF2B5EF4-FFF2-40B4-BE49-F238E27FC236}">
              <a16:creationId xmlns:a16="http://schemas.microsoft.com/office/drawing/2014/main" id="{00000000-0008-0000-0000-000007000000}"/>
            </a:ext>
          </a:extLst>
        </xdr:cNvPr>
        <xdr:cNvSpPr txBox="1"/>
      </xdr:nvSpPr>
      <xdr:spPr>
        <a:xfrm>
          <a:off x="1213866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843" name="TextBox 2842">
          <a:extLst>
            <a:ext uri="{FF2B5EF4-FFF2-40B4-BE49-F238E27FC236}">
              <a16:creationId xmlns:a16="http://schemas.microsoft.com/office/drawing/2014/main" id="{00000000-0008-0000-0000-000007000000}"/>
            </a:ext>
          </a:extLst>
        </xdr:cNvPr>
        <xdr:cNvSpPr txBox="1"/>
      </xdr:nvSpPr>
      <xdr:spPr>
        <a:xfrm>
          <a:off x="1213866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844" name="TextBox 2843">
          <a:extLst>
            <a:ext uri="{FF2B5EF4-FFF2-40B4-BE49-F238E27FC236}">
              <a16:creationId xmlns:a16="http://schemas.microsoft.com/office/drawing/2014/main" id="{00000000-0008-0000-0000-000007000000}"/>
            </a:ext>
          </a:extLst>
        </xdr:cNvPr>
        <xdr:cNvSpPr txBox="1"/>
      </xdr:nvSpPr>
      <xdr:spPr>
        <a:xfrm>
          <a:off x="1213866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845" name="TextBox 2844">
          <a:extLst>
            <a:ext uri="{FF2B5EF4-FFF2-40B4-BE49-F238E27FC236}">
              <a16:creationId xmlns:a16="http://schemas.microsoft.com/office/drawing/2014/main" id="{00000000-0008-0000-0000-000007000000}"/>
            </a:ext>
          </a:extLst>
        </xdr:cNvPr>
        <xdr:cNvSpPr txBox="1"/>
      </xdr:nvSpPr>
      <xdr:spPr>
        <a:xfrm>
          <a:off x="1213866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846" name="TextBox 2845">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847" name="TextBox 2846">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848" name="TextBox 2847">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849" name="TextBox 2848">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850" name="TextBox 2849">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851" name="TextBox 2850">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852" name="TextBox 2851">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853" name="TextBox 2852">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854" name="TextBox 2853">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855" name="TextBox 2854">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856" name="TextBox 2855">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857" name="TextBox 2856">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858" name="TextBox 2857">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859" name="TextBox 2858">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860" name="TextBox 2859">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861" name="TextBox 2860">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862" name="TextBox 2861">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863" name="TextBox 2862">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864" name="TextBox 2863">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865" name="TextBox 2864">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866" name="TextBox 2865">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867" name="TextBox 2866">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868" name="TextBox 2867">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869" name="TextBox 2868">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870" name="TextBox 2869">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871" name="TextBox 2870">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872" name="TextBox 2871">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873" name="TextBox 2872">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874" name="TextBox 2873">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875" name="TextBox 2874">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876" name="TextBox 2875">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877" name="TextBox 2876">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878" name="TextBox 2877">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879" name="TextBox 2878">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880" name="TextBox 2879">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881" name="TextBox 2880">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882" name="TextBox 2881">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883" name="TextBox 2882">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884" name="TextBox 2883">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885" name="TextBox 2884">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886" name="TextBox 2885">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887" name="TextBox 2886">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888" name="TextBox 2887">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889" name="TextBox 2888">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890" name="TextBox 2889">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891" name="TextBox 2890">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892" name="TextBox 2891">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893" name="TextBox 2892">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894" name="TextBox 2893">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895" name="TextBox 2894">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896" name="TextBox 2895">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897" name="TextBox 2896">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898" name="TextBox 2897">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899" name="TextBox 2898">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900" name="TextBox 2899">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901" name="TextBox 2900">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902" name="TextBox 2901">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903" name="TextBox 2902">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904" name="TextBox 2903">
          <a:extLst>
            <a:ext uri="{FF2B5EF4-FFF2-40B4-BE49-F238E27FC236}">
              <a16:creationId xmlns:a16="http://schemas.microsoft.com/office/drawing/2014/main" id="{00000000-0008-0000-0000-000007000000}"/>
            </a:ext>
          </a:extLst>
        </xdr:cNvPr>
        <xdr:cNvSpPr txBox="1"/>
      </xdr:nvSpPr>
      <xdr:spPr>
        <a:xfrm>
          <a:off x="1213866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905" name="TextBox 2904">
          <a:extLst>
            <a:ext uri="{FF2B5EF4-FFF2-40B4-BE49-F238E27FC236}">
              <a16:creationId xmlns:a16="http://schemas.microsoft.com/office/drawing/2014/main" id="{00000000-0008-0000-0000-000007000000}"/>
            </a:ext>
          </a:extLst>
        </xdr:cNvPr>
        <xdr:cNvSpPr txBox="1"/>
      </xdr:nvSpPr>
      <xdr:spPr>
        <a:xfrm>
          <a:off x="1213866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906" name="TextBox 2905">
          <a:extLst>
            <a:ext uri="{FF2B5EF4-FFF2-40B4-BE49-F238E27FC236}">
              <a16:creationId xmlns:a16="http://schemas.microsoft.com/office/drawing/2014/main" id="{00000000-0008-0000-0000-000007000000}"/>
            </a:ext>
          </a:extLst>
        </xdr:cNvPr>
        <xdr:cNvSpPr txBox="1"/>
      </xdr:nvSpPr>
      <xdr:spPr>
        <a:xfrm>
          <a:off x="1213866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907" name="TextBox 2906">
          <a:extLst>
            <a:ext uri="{FF2B5EF4-FFF2-40B4-BE49-F238E27FC236}">
              <a16:creationId xmlns:a16="http://schemas.microsoft.com/office/drawing/2014/main" id="{00000000-0008-0000-0000-000007000000}"/>
            </a:ext>
          </a:extLst>
        </xdr:cNvPr>
        <xdr:cNvSpPr txBox="1"/>
      </xdr:nvSpPr>
      <xdr:spPr>
        <a:xfrm>
          <a:off x="1213866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908" name="TextBox 2907">
          <a:extLst>
            <a:ext uri="{FF2B5EF4-FFF2-40B4-BE49-F238E27FC236}">
              <a16:creationId xmlns:a16="http://schemas.microsoft.com/office/drawing/2014/main" id="{00000000-0008-0000-0000-000007000000}"/>
            </a:ext>
          </a:extLst>
        </xdr:cNvPr>
        <xdr:cNvSpPr txBox="1"/>
      </xdr:nvSpPr>
      <xdr:spPr>
        <a:xfrm>
          <a:off x="1213866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909" name="TextBox 2908">
          <a:extLst>
            <a:ext uri="{FF2B5EF4-FFF2-40B4-BE49-F238E27FC236}">
              <a16:creationId xmlns:a16="http://schemas.microsoft.com/office/drawing/2014/main" id="{00000000-0008-0000-0000-000007000000}"/>
            </a:ext>
          </a:extLst>
        </xdr:cNvPr>
        <xdr:cNvSpPr txBox="1"/>
      </xdr:nvSpPr>
      <xdr:spPr>
        <a:xfrm>
          <a:off x="1213866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910" name="TextBox 2909">
          <a:extLst>
            <a:ext uri="{FF2B5EF4-FFF2-40B4-BE49-F238E27FC236}">
              <a16:creationId xmlns:a16="http://schemas.microsoft.com/office/drawing/2014/main" id="{00000000-0008-0000-0000-000007000000}"/>
            </a:ext>
          </a:extLst>
        </xdr:cNvPr>
        <xdr:cNvSpPr txBox="1"/>
      </xdr:nvSpPr>
      <xdr:spPr>
        <a:xfrm>
          <a:off x="1213866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911" name="TextBox 2910">
          <a:extLst>
            <a:ext uri="{FF2B5EF4-FFF2-40B4-BE49-F238E27FC236}">
              <a16:creationId xmlns:a16="http://schemas.microsoft.com/office/drawing/2014/main" id="{00000000-0008-0000-0000-000007000000}"/>
            </a:ext>
          </a:extLst>
        </xdr:cNvPr>
        <xdr:cNvSpPr txBox="1"/>
      </xdr:nvSpPr>
      <xdr:spPr>
        <a:xfrm>
          <a:off x="1213866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2912" name="TextBox 2911">
          <a:extLst>
            <a:ext uri="{FF2B5EF4-FFF2-40B4-BE49-F238E27FC236}">
              <a16:creationId xmlns:a16="http://schemas.microsoft.com/office/drawing/2014/main" id="{00000000-0008-0000-0000-000007000000}"/>
            </a:ext>
          </a:extLst>
        </xdr:cNvPr>
        <xdr:cNvSpPr txBox="1"/>
      </xdr:nvSpPr>
      <xdr:spPr>
        <a:xfrm>
          <a:off x="8267700" y="33291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2913" name="TextBox 2912">
          <a:extLst>
            <a:ext uri="{FF2B5EF4-FFF2-40B4-BE49-F238E27FC236}">
              <a16:creationId xmlns:a16="http://schemas.microsoft.com/office/drawing/2014/main" id="{00000000-0008-0000-0000-000007000000}"/>
            </a:ext>
          </a:extLst>
        </xdr:cNvPr>
        <xdr:cNvSpPr txBox="1"/>
      </xdr:nvSpPr>
      <xdr:spPr>
        <a:xfrm>
          <a:off x="8267700" y="33291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914" name="TextBox 2913">
          <a:extLst>
            <a:ext uri="{FF2B5EF4-FFF2-40B4-BE49-F238E27FC236}">
              <a16:creationId xmlns:a16="http://schemas.microsoft.com/office/drawing/2014/main" id="{00000000-0008-0000-0000-000007000000}"/>
            </a:ext>
          </a:extLst>
        </xdr:cNvPr>
        <xdr:cNvSpPr txBox="1"/>
      </xdr:nvSpPr>
      <xdr:spPr>
        <a:xfrm>
          <a:off x="1213866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915" name="TextBox 2914">
          <a:extLst>
            <a:ext uri="{FF2B5EF4-FFF2-40B4-BE49-F238E27FC236}">
              <a16:creationId xmlns:a16="http://schemas.microsoft.com/office/drawing/2014/main" id="{00000000-0008-0000-0000-000007000000}"/>
            </a:ext>
          </a:extLst>
        </xdr:cNvPr>
        <xdr:cNvSpPr txBox="1"/>
      </xdr:nvSpPr>
      <xdr:spPr>
        <a:xfrm>
          <a:off x="1213866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916" name="TextBox 2915">
          <a:extLst>
            <a:ext uri="{FF2B5EF4-FFF2-40B4-BE49-F238E27FC236}">
              <a16:creationId xmlns:a16="http://schemas.microsoft.com/office/drawing/2014/main" id="{00000000-0008-0000-0000-000007000000}"/>
            </a:ext>
          </a:extLst>
        </xdr:cNvPr>
        <xdr:cNvSpPr txBox="1"/>
      </xdr:nvSpPr>
      <xdr:spPr>
        <a:xfrm>
          <a:off x="1213866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917" name="TextBox 2916">
          <a:extLst>
            <a:ext uri="{FF2B5EF4-FFF2-40B4-BE49-F238E27FC236}">
              <a16:creationId xmlns:a16="http://schemas.microsoft.com/office/drawing/2014/main" id="{00000000-0008-0000-0000-000007000000}"/>
            </a:ext>
          </a:extLst>
        </xdr:cNvPr>
        <xdr:cNvSpPr txBox="1"/>
      </xdr:nvSpPr>
      <xdr:spPr>
        <a:xfrm>
          <a:off x="1213866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918" name="TextBox 2917">
          <a:extLst>
            <a:ext uri="{FF2B5EF4-FFF2-40B4-BE49-F238E27FC236}">
              <a16:creationId xmlns:a16="http://schemas.microsoft.com/office/drawing/2014/main" id="{00000000-0008-0000-0000-000007000000}"/>
            </a:ext>
          </a:extLst>
        </xdr:cNvPr>
        <xdr:cNvSpPr txBox="1"/>
      </xdr:nvSpPr>
      <xdr:spPr>
        <a:xfrm>
          <a:off x="1213866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919" name="TextBox 2918">
          <a:extLst>
            <a:ext uri="{FF2B5EF4-FFF2-40B4-BE49-F238E27FC236}">
              <a16:creationId xmlns:a16="http://schemas.microsoft.com/office/drawing/2014/main" id="{00000000-0008-0000-0000-000007000000}"/>
            </a:ext>
          </a:extLst>
        </xdr:cNvPr>
        <xdr:cNvSpPr txBox="1"/>
      </xdr:nvSpPr>
      <xdr:spPr>
        <a:xfrm>
          <a:off x="1213866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920" name="TextBox 2919">
          <a:extLst>
            <a:ext uri="{FF2B5EF4-FFF2-40B4-BE49-F238E27FC236}">
              <a16:creationId xmlns:a16="http://schemas.microsoft.com/office/drawing/2014/main" id="{00000000-0008-0000-0000-000007000000}"/>
            </a:ext>
          </a:extLst>
        </xdr:cNvPr>
        <xdr:cNvSpPr txBox="1"/>
      </xdr:nvSpPr>
      <xdr:spPr>
        <a:xfrm>
          <a:off x="1213866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921" name="TextBox 2920">
          <a:extLst>
            <a:ext uri="{FF2B5EF4-FFF2-40B4-BE49-F238E27FC236}">
              <a16:creationId xmlns:a16="http://schemas.microsoft.com/office/drawing/2014/main" id="{00000000-0008-0000-0000-000007000000}"/>
            </a:ext>
          </a:extLst>
        </xdr:cNvPr>
        <xdr:cNvSpPr txBox="1"/>
      </xdr:nvSpPr>
      <xdr:spPr>
        <a:xfrm>
          <a:off x="1213866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922" name="TextBox 2921">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923" name="TextBox 2922">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924" name="TextBox 2923">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925" name="TextBox 2924">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926" name="TextBox 2925">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927" name="TextBox 2926">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928" name="TextBox 2927">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929" name="TextBox 2928">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930" name="TextBox 2929">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931" name="TextBox 2930">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932" name="TextBox 2931">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933" name="TextBox 2932">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934" name="TextBox 2933">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935" name="TextBox 2934">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936" name="TextBox 2935">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937" name="TextBox 2936">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938" name="TextBox 2937">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939" name="TextBox 2938">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940" name="TextBox 2939">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941" name="TextBox 2940">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942" name="TextBox 2941">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943" name="TextBox 2942">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944" name="TextBox 2943">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945" name="TextBox 2944">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946" name="TextBox 2945">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947" name="TextBox 2946">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948" name="TextBox 2947">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949" name="TextBox 2948">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950" name="TextBox 2949">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951" name="TextBox 2950">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952" name="TextBox 2951">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953" name="TextBox 2952">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954" name="TextBox 2953">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955" name="TextBox 2954">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956" name="TextBox 2955">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957" name="TextBox 2956">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958" name="TextBox 2957">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959" name="TextBox 2958">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960" name="TextBox 2959">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961" name="TextBox 2960">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962" name="TextBox 2961">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963" name="TextBox 2962">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964" name="TextBox 2963">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965" name="TextBox 2964">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966" name="TextBox 2965">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967" name="TextBox 2966">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968" name="TextBox 2967">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969" name="TextBox 2968">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970" name="TextBox 2969">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971" name="TextBox 2970">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972" name="TextBox 2971">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973" name="TextBox 2972">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974" name="TextBox 2973">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975" name="TextBox 2974">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976" name="TextBox 2975">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977" name="TextBox 2976">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978" name="TextBox 2977">
          <a:extLst>
            <a:ext uri="{FF2B5EF4-FFF2-40B4-BE49-F238E27FC236}">
              <a16:creationId xmlns:a16="http://schemas.microsoft.com/office/drawing/2014/main" id="{00000000-0008-0000-0000-000007000000}"/>
            </a:ext>
          </a:extLst>
        </xdr:cNvPr>
        <xdr:cNvSpPr txBox="1"/>
      </xdr:nvSpPr>
      <xdr:spPr>
        <a:xfrm>
          <a:off x="1213866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979" name="TextBox 2978">
          <a:extLst>
            <a:ext uri="{FF2B5EF4-FFF2-40B4-BE49-F238E27FC236}">
              <a16:creationId xmlns:a16="http://schemas.microsoft.com/office/drawing/2014/main" id="{00000000-0008-0000-0000-000007000000}"/>
            </a:ext>
          </a:extLst>
        </xdr:cNvPr>
        <xdr:cNvSpPr txBox="1"/>
      </xdr:nvSpPr>
      <xdr:spPr>
        <a:xfrm>
          <a:off x="1213866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980" name="TextBox 2979">
          <a:extLst>
            <a:ext uri="{FF2B5EF4-FFF2-40B4-BE49-F238E27FC236}">
              <a16:creationId xmlns:a16="http://schemas.microsoft.com/office/drawing/2014/main" id="{00000000-0008-0000-0000-000007000000}"/>
            </a:ext>
          </a:extLst>
        </xdr:cNvPr>
        <xdr:cNvSpPr txBox="1"/>
      </xdr:nvSpPr>
      <xdr:spPr>
        <a:xfrm>
          <a:off x="1213866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981" name="TextBox 2980">
          <a:extLst>
            <a:ext uri="{FF2B5EF4-FFF2-40B4-BE49-F238E27FC236}">
              <a16:creationId xmlns:a16="http://schemas.microsoft.com/office/drawing/2014/main" id="{00000000-0008-0000-0000-000007000000}"/>
            </a:ext>
          </a:extLst>
        </xdr:cNvPr>
        <xdr:cNvSpPr txBox="1"/>
      </xdr:nvSpPr>
      <xdr:spPr>
        <a:xfrm>
          <a:off x="1213866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982" name="TextBox 2981">
          <a:extLst>
            <a:ext uri="{FF2B5EF4-FFF2-40B4-BE49-F238E27FC236}">
              <a16:creationId xmlns:a16="http://schemas.microsoft.com/office/drawing/2014/main" id="{00000000-0008-0000-0000-000007000000}"/>
            </a:ext>
          </a:extLst>
        </xdr:cNvPr>
        <xdr:cNvSpPr txBox="1"/>
      </xdr:nvSpPr>
      <xdr:spPr>
        <a:xfrm>
          <a:off x="1213866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983" name="TextBox 2982">
          <a:extLst>
            <a:ext uri="{FF2B5EF4-FFF2-40B4-BE49-F238E27FC236}">
              <a16:creationId xmlns:a16="http://schemas.microsoft.com/office/drawing/2014/main" id="{00000000-0008-0000-0000-000007000000}"/>
            </a:ext>
          </a:extLst>
        </xdr:cNvPr>
        <xdr:cNvSpPr txBox="1"/>
      </xdr:nvSpPr>
      <xdr:spPr>
        <a:xfrm>
          <a:off x="1213866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984" name="TextBox 2983">
          <a:extLst>
            <a:ext uri="{FF2B5EF4-FFF2-40B4-BE49-F238E27FC236}">
              <a16:creationId xmlns:a16="http://schemas.microsoft.com/office/drawing/2014/main" id="{00000000-0008-0000-0000-000007000000}"/>
            </a:ext>
          </a:extLst>
        </xdr:cNvPr>
        <xdr:cNvSpPr txBox="1"/>
      </xdr:nvSpPr>
      <xdr:spPr>
        <a:xfrm>
          <a:off x="1213866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985" name="TextBox 2984">
          <a:extLst>
            <a:ext uri="{FF2B5EF4-FFF2-40B4-BE49-F238E27FC236}">
              <a16:creationId xmlns:a16="http://schemas.microsoft.com/office/drawing/2014/main" id="{00000000-0008-0000-0000-000007000000}"/>
            </a:ext>
          </a:extLst>
        </xdr:cNvPr>
        <xdr:cNvSpPr txBox="1"/>
      </xdr:nvSpPr>
      <xdr:spPr>
        <a:xfrm>
          <a:off x="1213866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153</xdr:row>
      <xdr:rowOff>0</xdr:rowOff>
    </xdr:from>
    <xdr:ext cx="65" cy="172227"/>
    <xdr:sp macro="" textlink="">
      <xdr:nvSpPr>
        <xdr:cNvPr id="2986" name="TextBox 2985">
          <a:extLst>
            <a:ext uri="{FF2B5EF4-FFF2-40B4-BE49-F238E27FC236}">
              <a16:creationId xmlns:a16="http://schemas.microsoft.com/office/drawing/2014/main" id="{00000000-0008-0000-0000-000007000000}"/>
            </a:ext>
          </a:extLst>
        </xdr:cNvPr>
        <xdr:cNvSpPr txBox="1"/>
      </xdr:nvSpPr>
      <xdr:spPr>
        <a:xfrm>
          <a:off x="0" y="37604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153</xdr:row>
      <xdr:rowOff>0</xdr:rowOff>
    </xdr:from>
    <xdr:ext cx="65" cy="172227"/>
    <xdr:sp macro="" textlink="">
      <xdr:nvSpPr>
        <xdr:cNvPr id="2987" name="TextBox 2986">
          <a:extLst>
            <a:ext uri="{FF2B5EF4-FFF2-40B4-BE49-F238E27FC236}">
              <a16:creationId xmlns:a16="http://schemas.microsoft.com/office/drawing/2014/main" id="{00000000-0008-0000-0000-000007000000}"/>
            </a:ext>
          </a:extLst>
        </xdr:cNvPr>
        <xdr:cNvSpPr txBox="1"/>
      </xdr:nvSpPr>
      <xdr:spPr>
        <a:xfrm>
          <a:off x="0" y="37604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2988" name="TextBox 2987">
          <a:extLst>
            <a:ext uri="{FF2B5EF4-FFF2-40B4-BE49-F238E27FC236}">
              <a16:creationId xmlns:a16="http://schemas.microsoft.com/office/drawing/2014/main" id="{00000000-0008-0000-0000-000007000000}"/>
            </a:ext>
          </a:extLst>
        </xdr:cNvPr>
        <xdr:cNvSpPr txBox="1"/>
      </xdr:nvSpPr>
      <xdr:spPr>
        <a:xfrm>
          <a:off x="0" y="3780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2989" name="TextBox 2988">
          <a:extLst>
            <a:ext uri="{FF2B5EF4-FFF2-40B4-BE49-F238E27FC236}">
              <a16:creationId xmlns:a16="http://schemas.microsoft.com/office/drawing/2014/main" id="{00000000-0008-0000-0000-000007000000}"/>
            </a:ext>
          </a:extLst>
        </xdr:cNvPr>
        <xdr:cNvSpPr txBox="1"/>
      </xdr:nvSpPr>
      <xdr:spPr>
        <a:xfrm>
          <a:off x="0" y="3780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990" name="TextBox 2989">
          <a:extLst>
            <a:ext uri="{FF2B5EF4-FFF2-40B4-BE49-F238E27FC236}">
              <a16:creationId xmlns:a16="http://schemas.microsoft.com/office/drawing/2014/main" id="{00000000-0008-0000-0000-000007000000}"/>
            </a:ext>
          </a:extLst>
        </xdr:cNvPr>
        <xdr:cNvSpPr txBox="1"/>
      </xdr:nvSpPr>
      <xdr:spPr>
        <a:xfrm>
          <a:off x="0" y="3800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991" name="TextBox 2990">
          <a:extLst>
            <a:ext uri="{FF2B5EF4-FFF2-40B4-BE49-F238E27FC236}">
              <a16:creationId xmlns:a16="http://schemas.microsoft.com/office/drawing/2014/main" id="{00000000-0008-0000-0000-000007000000}"/>
            </a:ext>
          </a:extLst>
        </xdr:cNvPr>
        <xdr:cNvSpPr txBox="1"/>
      </xdr:nvSpPr>
      <xdr:spPr>
        <a:xfrm>
          <a:off x="0" y="3800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992" name="TextBox 2991">
          <a:extLst>
            <a:ext uri="{FF2B5EF4-FFF2-40B4-BE49-F238E27FC236}">
              <a16:creationId xmlns:a16="http://schemas.microsoft.com/office/drawing/2014/main" id="{00000000-0008-0000-0000-000007000000}"/>
            </a:ext>
          </a:extLst>
        </xdr:cNvPr>
        <xdr:cNvSpPr txBox="1"/>
      </xdr:nvSpPr>
      <xdr:spPr>
        <a:xfrm>
          <a:off x="0" y="38199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993" name="TextBox 2992">
          <a:extLst>
            <a:ext uri="{FF2B5EF4-FFF2-40B4-BE49-F238E27FC236}">
              <a16:creationId xmlns:a16="http://schemas.microsoft.com/office/drawing/2014/main" id="{00000000-0008-0000-0000-000007000000}"/>
            </a:ext>
          </a:extLst>
        </xdr:cNvPr>
        <xdr:cNvSpPr txBox="1"/>
      </xdr:nvSpPr>
      <xdr:spPr>
        <a:xfrm>
          <a:off x="0" y="38199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994" name="TextBox 2993">
          <a:extLst>
            <a:ext uri="{FF2B5EF4-FFF2-40B4-BE49-F238E27FC236}">
              <a16:creationId xmlns:a16="http://schemas.microsoft.com/office/drawing/2014/main" id="{00000000-0008-0000-0000-000007000000}"/>
            </a:ext>
          </a:extLst>
        </xdr:cNvPr>
        <xdr:cNvSpPr txBox="1"/>
      </xdr:nvSpPr>
      <xdr:spPr>
        <a:xfrm>
          <a:off x="0" y="38397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995" name="TextBox 2994">
          <a:extLst>
            <a:ext uri="{FF2B5EF4-FFF2-40B4-BE49-F238E27FC236}">
              <a16:creationId xmlns:a16="http://schemas.microsoft.com/office/drawing/2014/main" id="{00000000-0008-0000-0000-000007000000}"/>
            </a:ext>
          </a:extLst>
        </xdr:cNvPr>
        <xdr:cNvSpPr txBox="1"/>
      </xdr:nvSpPr>
      <xdr:spPr>
        <a:xfrm>
          <a:off x="0" y="38397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996" name="TextBox 2995">
          <a:extLst>
            <a:ext uri="{FF2B5EF4-FFF2-40B4-BE49-F238E27FC236}">
              <a16:creationId xmlns:a16="http://schemas.microsoft.com/office/drawing/2014/main" id="{00000000-0008-0000-0000-000007000000}"/>
            </a:ext>
          </a:extLst>
        </xdr:cNvPr>
        <xdr:cNvSpPr txBox="1"/>
      </xdr:nvSpPr>
      <xdr:spPr>
        <a:xfrm>
          <a:off x="0" y="38595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997" name="TextBox 2996">
          <a:extLst>
            <a:ext uri="{FF2B5EF4-FFF2-40B4-BE49-F238E27FC236}">
              <a16:creationId xmlns:a16="http://schemas.microsoft.com/office/drawing/2014/main" id="{00000000-0008-0000-0000-000007000000}"/>
            </a:ext>
          </a:extLst>
        </xdr:cNvPr>
        <xdr:cNvSpPr txBox="1"/>
      </xdr:nvSpPr>
      <xdr:spPr>
        <a:xfrm>
          <a:off x="0" y="38595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998" name="TextBox 2997">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999" name="TextBox 2998">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3000" name="TextBox 2999">
          <a:extLst>
            <a:ext uri="{FF2B5EF4-FFF2-40B4-BE49-F238E27FC236}">
              <a16:creationId xmlns:a16="http://schemas.microsoft.com/office/drawing/2014/main" id="{00000000-0008-0000-0000-000007000000}"/>
            </a:ext>
          </a:extLst>
        </xdr:cNvPr>
        <xdr:cNvSpPr txBox="1"/>
      </xdr:nvSpPr>
      <xdr:spPr>
        <a:xfrm>
          <a:off x="0" y="38991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3001" name="TextBox 3000">
          <a:extLst>
            <a:ext uri="{FF2B5EF4-FFF2-40B4-BE49-F238E27FC236}">
              <a16:creationId xmlns:a16="http://schemas.microsoft.com/office/drawing/2014/main" id="{00000000-0008-0000-0000-000007000000}"/>
            </a:ext>
          </a:extLst>
        </xdr:cNvPr>
        <xdr:cNvSpPr txBox="1"/>
      </xdr:nvSpPr>
      <xdr:spPr>
        <a:xfrm>
          <a:off x="0" y="38991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161</xdr:row>
      <xdr:rowOff>0</xdr:rowOff>
    </xdr:from>
    <xdr:ext cx="65" cy="172227"/>
    <xdr:sp macro="" textlink="">
      <xdr:nvSpPr>
        <xdr:cNvPr id="3002" name="TextBox 3001">
          <a:extLst>
            <a:ext uri="{FF2B5EF4-FFF2-40B4-BE49-F238E27FC236}">
              <a16:creationId xmlns:a16="http://schemas.microsoft.com/office/drawing/2014/main" id="{00000000-0008-0000-0000-000007000000}"/>
            </a:ext>
          </a:extLst>
        </xdr:cNvPr>
        <xdr:cNvSpPr txBox="1"/>
      </xdr:nvSpPr>
      <xdr:spPr>
        <a:xfrm>
          <a:off x="0" y="39174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161</xdr:row>
      <xdr:rowOff>0</xdr:rowOff>
    </xdr:from>
    <xdr:ext cx="65" cy="172227"/>
    <xdr:sp macro="" textlink="">
      <xdr:nvSpPr>
        <xdr:cNvPr id="3003" name="TextBox 3002">
          <a:extLst>
            <a:ext uri="{FF2B5EF4-FFF2-40B4-BE49-F238E27FC236}">
              <a16:creationId xmlns:a16="http://schemas.microsoft.com/office/drawing/2014/main" id="{00000000-0008-0000-0000-000007000000}"/>
            </a:ext>
          </a:extLst>
        </xdr:cNvPr>
        <xdr:cNvSpPr txBox="1"/>
      </xdr:nvSpPr>
      <xdr:spPr>
        <a:xfrm>
          <a:off x="0" y="39174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162</xdr:row>
      <xdr:rowOff>0</xdr:rowOff>
    </xdr:from>
    <xdr:ext cx="65" cy="172227"/>
    <xdr:sp macro="" textlink="">
      <xdr:nvSpPr>
        <xdr:cNvPr id="3004" name="TextBox 3003">
          <a:extLst>
            <a:ext uri="{FF2B5EF4-FFF2-40B4-BE49-F238E27FC236}">
              <a16:creationId xmlns:a16="http://schemas.microsoft.com/office/drawing/2014/main" id="{00000000-0008-0000-0000-000007000000}"/>
            </a:ext>
          </a:extLst>
        </xdr:cNvPr>
        <xdr:cNvSpPr txBox="1"/>
      </xdr:nvSpPr>
      <xdr:spPr>
        <a:xfrm>
          <a:off x="0" y="39357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162</xdr:row>
      <xdr:rowOff>0</xdr:rowOff>
    </xdr:from>
    <xdr:ext cx="65" cy="172227"/>
    <xdr:sp macro="" textlink="">
      <xdr:nvSpPr>
        <xdr:cNvPr id="3005" name="TextBox 3004">
          <a:extLst>
            <a:ext uri="{FF2B5EF4-FFF2-40B4-BE49-F238E27FC236}">
              <a16:creationId xmlns:a16="http://schemas.microsoft.com/office/drawing/2014/main" id="{00000000-0008-0000-0000-000007000000}"/>
            </a:ext>
          </a:extLst>
        </xdr:cNvPr>
        <xdr:cNvSpPr txBox="1"/>
      </xdr:nvSpPr>
      <xdr:spPr>
        <a:xfrm>
          <a:off x="0" y="39357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3006" name="TextBox 3005">
          <a:extLst>
            <a:ext uri="{FF2B5EF4-FFF2-40B4-BE49-F238E27FC236}">
              <a16:creationId xmlns:a16="http://schemas.microsoft.com/office/drawing/2014/main" id="{00000000-0008-0000-0000-000007000000}"/>
            </a:ext>
          </a:extLst>
        </xdr:cNvPr>
        <xdr:cNvSpPr txBox="1"/>
      </xdr:nvSpPr>
      <xdr:spPr>
        <a:xfrm>
          <a:off x="0" y="40454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3007" name="TextBox 3006">
          <a:extLst>
            <a:ext uri="{FF2B5EF4-FFF2-40B4-BE49-F238E27FC236}">
              <a16:creationId xmlns:a16="http://schemas.microsoft.com/office/drawing/2014/main" id="{00000000-0008-0000-0000-000007000000}"/>
            </a:ext>
          </a:extLst>
        </xdr:cNvPr>
        <xdr:cNvSpPr txBox="1"/>
      </xdr:nvSpPr>
      <xdr:spPr>
        <a:xfrm>
          <a:off x="0" y="40454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3008" name="TextBox 3007">
          <a:extLst>
            <a:ext uri="{FF2B5EF4-FFF2-40B4-BE49-F238E27FC236}">
              <a16:creationId xmlns:a16="http://schemas.microsoft.com/office/drawing/2014/main" id="{00000000-0008-0000-0000-000007000000}"/>
            </a:ext>
          </a:extLst>
        </xdr:cNvPr>
        <xdr:cNvSpPr txBox="1"/>
      </xdr:nvSpPr>
      <xdr:spPr>
        <a:xfrm>
          <a:off x="0" y="40637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3009" name="TextBox 3008">
          <a:extLst>
            <a:ext uri="{FF2B5EF4-FFF2-40B4-BE49-F238E27FC236}">
              <a16:creationId xmlns:a16="http://schemas.microsoft.com/office/drawing/2014/main" id="{00000000-0008-0000-0000-000007000000}"/>
            </a:ext>
          </a:extLst>
        </xdr:cNvPr>
        <xdr:cNvSpPr txBox="1"/>
      </xdr:nvSpPr>
      <xdr:spPr>
        <a:xfrm>
          <a:off x="0" y="40637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3010" name="TextBox 3009">
          <a:extLst>
            <a:ext uri="{FF2B5EF4-FFF2-40B4-BE49-F238E27FC236}">
              <a16:creationId xmlns:a16="http://schemas.microsoft.com/office/drawing/2014/main" id="{00000000-0008-0000-0000-000007000000}"/>
            </a:ext>
          </a:extLst>
        </xdr:cNvPr>
        <xdr:cNvSpPr txBox="1"/>
      </xdr:nvSpPr>
      <xdr:spPr>
        <a:xfrm>
          <a:off x="0" y="40820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3011" name="TextBox 3010">
          <a:extLst>
            <a:ext uri="{FF2B5EF4-FFF2-40B4-BE49-F238E27FC236}">
              <a16:creationId xmlns:a16="http://schemas.microsoft.com/office/drawing/2014/main" id="{00000000-0008-0000-0000-000007000000}"/>
            </a:ext>
          </a:extLst>
        </xdr:cNvPr>
        <xdr:cNvSpPr txBox="1"/>
      </xdr:nvSpPr>
      <xdr:spPr>
        <a:xfrm>
          <a:off x="0" y="40820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3012" name="TextBox 3011">
          <a:extLst>
            <a:ext uri="{FF2B5EF4-FFF2-40B4-BE49-F238E27FC236}">
              <a16:creationId xmlns:a16="http://schemas.microsoft.com/office/drawing/2014/main" id="{00000000-0008-0000-0000-000007000000}"/>
            </a:ext>
          </a:extLst>
        </xdr:cNvPr>
        <xdr:cNvSpPr txBox="1"/>
      </xdr:nvSpPr>
      <xdr:spPr>
        <a:xfrm>
          <a:off x="0" y="41003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3013" name="TextBox 3012">
          <a:extLst>
            <a:ext uri="{FF2B5EF4-FFF2-40B4-BE49-F238E27FC236}">
              <a16:creationId xmlns:a16="http://schemas.microsoft.com/office/drawing/2014/main" id="{00000000-0008-0000-0000-000007000000}"/>
            </a:ext>
          </a:extLst>
        </xdr:cNvPr>
        <xdr:cNvSpPr txBox="1"/>
      </xdr:nvSpPr>
      <xdr:spPr>
        <a:xfrm>
          <a:off x="0" y="41003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172</xdr:row>
      <xdr:rowOff>0</xdr:rowOff>
    </xdr:from>
    <xdr:ext cx="65" cy="172227"/>
    <xdr:sp macro="" textlink="">
      <xdr:nvSpPr>
        <xdr:cNvPr id="3014" name="TextBox 3013">
          <a:extLst>
            <a:ext uri="{FF2B5EF4-FFF2-40B4-BE49-F238E27FC236}">
              <a16:creationId xmlns:a16="http://schemas.microsoft.com/office/drawing/2014/main" id="{00000000-0008-0000-0000-000007000000}"/>
            </a:ext>
          </a:extLst>
        </xdr:cNvPr>
        <xdr:cNvSpPr txBox="1"/>
      </xdr:nvSpPr>
      <xdr:spPr>
        <a:xfrm>
          <a:off x="0" y="41186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172</xdr:row>
      <xdr:rowOff>0</xdr:rowOff>
    </xdr:from>
    <xdr:ext cx="65" cy="172227"/>
    <xdr:sp macro="" textlink="">
      <xdr:nvSpPr>
        <xdr:cNvPr id="3015" name="TextBox 3014">
          <a:extLst>
            <a:ext uri="{FF2B5EF4-FFF2-40B4-BE49-F238E27FC236}">
              <a16:creationId xmlns:a16="http://schemas.microsoft.com/office/drawing/2014/main" id="{00000000-0008-0000-0000-000007000000}"/>
            </a:ext>
          </a:extLst>
        </xdr:cNvPr>
        <xdr:cNvSpPr txBox="1"/>
      </xdr:nvSpPr>
      <xdr:spPr>
        <a:xfrm>
          <a:off x="0" y="41186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178</xdr:row>
      <xdr:rowOff>0</xdr:rowOff>
    </xdr:from>
    <xdr:ext cx="65" cy="172227"/>
    <xdr:sp macro="" textlink="">
      <xdr:nvSpPr>
        <xdr:cNvPr id="3016" name="TextBox 3015">
          <a:extLst>
            <a:ext uri="{FF2B5EF4-FFF2-40B4-BE49-F238E27FC236}">
              <a16:creationId xmlns:a16="http://schemas.microsoft.com/office/drawing/2014/main" id="{00000000-0008-0000-0000-000007000000}"/>
            </a:ext>
          </a:extLst>
        </xdr:cNvPr>
        <xdr:cNvSpPr txBox="1"/>
      </xdr:nvSpPr>
      <xdr:spPr>
        <a:xfrm>
          <a:off x="0" y="4228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178</xdr:row>
      <xdr:rowOff>0</xdr:rowOff>
    </xdr:from>
    <xdr:ext cx="65" cy="172227"/>
    <xdr:sp macro="" textlink="">
      <xdr:nvSpPr>
        <xdr:cNvPr id="3017" name="TextBox 3016">
          <a:extLst>
            <a:ext uri="{FF2B5EF4-FFF2-40B4-BE49-F238E27FC236}">
              <a16:creationId xmlns:a16="http://schemas.microsoft.com/office/drawing/2014/main" id="{00000000-0008-0000-0000-000007000000}"/>
            </a:ext>
          </a:extLst>
        </xdr:cNvPr>
        <xdr:cNvSpPr txBox="1"/>
      </xdr:nvSpPr>
      <xdr:spPr>
        <a:xfrm>
          <a:off x="0" y="4228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179</xdr:row>
      <xdr:rowOff>0</xdr:rowOff>
    </xdr:from>
    <xdr:ext cx="65" cy="172227"/>
    <xdr:sp macro="" textlink="">
      <xdr:nvSpPr>
        <xdr:cNvPr id="3018" name="TextBox 3017">
          <a:extLst>
            <a:ext uri="{FF2B5EF4-FFF2-40B4-BE49-F238E27FC236}">
              <a16:creationId xmlns:a16="http://schemas.microsoft.com/office/drawing/2014/main" id="{00000000-0008-0000-0000-000007000000}"/>
            </a:ext>
          </a:extLst>
        </xdr:cNvPr>
        <xdr:cNvSpPr txBox="1"/>
      </xdr:nvSpPr>
      <xdr:spPr>
        <a:xfrm>
          <a:off x="0" y="42466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179</xdr:row>
      <xdr:rowOff>0</xdr:rowOff>
    </xdr:from>
    <xdr:ext cx="65" cy="172227"/>
    <xdr:sp macro="" textlink="">
      <xdr:nvSpPr>
        <xdr:cNvPr id="3019" name="TextBox 3018">
          <a:extLst>
            <a:ext uri="{FF2B5EF4-FFF2-40B4-BE49-F238E27FC236}">
              <a16:creationId xmlns:a16="http://schemas.microsoft.com/office/drawing/2014/main" id="{00000000-0008-0000-0000-000007000000}"/>
            </a:ext>
          </a:extLst>
        </xdr:cNvPr>
        <xdr:cNvSpPr txBox="1"/>
      </xdr:nvSpPr>
      <xdr:spPr>
        <a:xfrm>
          <a:off x="0" y="42466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180</xdr:row>
      <xdr:rowOff>0</xdr:rowOff>
    </xdr:from>
    <xdr:ext cx="65" cy="172227"/>
    <xdr:sp macro="" textlink="">
      <xdr:nvSpPr>
        <xdr:cNvPr id="3020" name="TextBox 3019">
          <a:extLst>
            <a:ext uri="{FF2B5EF4-FFF2-40B4-BE49-F238E27FC236}">
              <a16:creationId xmlns:a16="http://schemas.microsoft.com/office/drawing/2014/main" id="{00000000-0008-0000-0000-000007000000}"/>
            </a:ext>
          </a:extLst>
        </xdr:cNvPr>
        <xdr:cNvSpPr txBox="1"/>
      </xdr:nvSpPr>
      <xdr:spPr>
        <a:xfrm>
          <a:off x="0" y="42649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180</xdr:row>
      <xdr:rowOff>0</xdr:rowOff>
    </xdr:from>
    <xdr:ext cx="65" cy="172227"/>
    <xdr:sp macro="" textlink="">
      <xdr:nvSpPr>
        <xdr:cNvPr id="3021" name="TextBox 3020">
          <a:extLst>
            <a:ext uri="{FF2B5EF4-FFF2-40B4-BE49-F238E27FC236}">
              <a16:creationId xmlns:a16="http://schemas.microsoft.com/office/drawing/2014/main" id="{00000000-0008-0000-0000-000007000000}"/>
            </a:ext>
          </a:extLst>
        </xdr:cNvPr>
        <xdr:cNvSpPr txBox="1"/>
      </xdr:nvSpPr>
      <xdr:spPr>
        <a:xfrm>
          <a:off x="0" y="42649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181</xdr:row>
      <xdr:rowOff>0</xdr:rowOff>
    </xdr:from>
    <xdr:ext cx="65" cy="172227"/>
    <xdr:sp macro="" textlink="">
      <xdr:nvSpPr>
        <xdr:cNvPr id="3022" name="TextBox 3021">
          <a:extLst>
            <a:ext uri="{FF2B5EF4-FFF2-40B4-BE49-F238E27FC236}">
              <a16:creationId xmlns:a16="http://schemas.microsoft.com/office/drawing/2014/main" id="{00000000-0008-0000-0000-000007000000}"/>
            </a:ext>
          </a:extLst>
        </xdr:cNvPr>
        <xdr:cNvSpPr txBox="1"/>
      </xdr:nvSpPr>
      <xdr:spPr>
        <a:xfrm>
          <a:off x="0" y="42832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181</xdr:row>
      <xdr:rowOff>0</xdr:rowOff>
    </xdr:from>
    <xdr:ext cx="65" cy="172227"/>
    <xdr:sp macro="" textlink="">
      <xdr:nvSpPr>
        <xdr:cNvPr id="3023" name="TextBox 3022">
          <a:extLst>
            <a:ext uri="{FF2B5EF4-FFF2-40B4-BE49-F238E27FC236}">
              <a16:creationId xmlns:a16="http://schemas.microsoft.com/office/drawing/2014/main" id="{00000000-0008-0000-0000-000007000000}"/>
            </a:ext>
          </a:extLst>
        </xdr:cNvPr>
        <xdr:cNvSpPr txBox="1"/>
      </xdr:nvSpPr>
      <xdr:spPr>
        <a:xfrm>
          <a:off x="0" y="42832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182</xdr:row>
      <xdr:rowOff>0</xdr:rowOff>
    </xdr:from>
    <xdr:ext cx="65" cy="172227"/>
    <xdr:sp macro="" textlink="">
      <xdr:nvSpPr>
        <xdr:cNvPr id="3024" name="TextBox 3023">
          <a:extLst>
            <a:ext uri="{FF2B5EF4-FFF2-40B4-BE49-F238E27FC236}">
              <a16:creationId xmlns:a16="http://schemas.microsoft.com/office/drawing/2014/main" id="{00000000-0008-0000-0000-000007000000}"/>
            </a:ext>
          </a:extLst>
        </xdr:cNvPr>
        <xdr:cNvSpPr txBox="1"/>
      </xdr:nvSpPr>
      <xdr:spPr>
        <a:xfrm>
          <a:off x="0" y="43014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182</xdr:row>
      <xdr:rowOff>0</xdr:rowOff>
    </xdr:from>
    <xdr:ext cx="65" cy="172227"/>
    <xdr:sp macro="" textlink="">
      <xdr:nvSpPr>
        <xdr:cNvPr id="3025" name="TextBox 3024">
          <a:extLst>
            <a:ext uri="{FF2B5EF4-FFF2-40B4-BE49-F238E27FC236}">
              <a16:creationId xmlns:a16="http://schemas.microsoft.com/office/drawing/2014/main" id="{00000000-0008-0000-0000-000007000000}"/>
            </a:ext>
          </a:extLst>
        </xdr:cNvPr>
        <xdr:cNvSpPr txBox="1"/>
      </xdr:nvSpPr>
      <xdr:spPr>
        <a:xfrm>
          <a:off x="0" y="43014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3026" name="TextBox 3025">
          <a:extLst>
            <a:ext uri="{FF2B5EF4-FFF2-40B4-BE49-F238E27FC236}">
              <a16:creationId xmlns:a16="http://schemas.microsoft.com/office/drawing/2014/main" id="{00000000-0008-0000-0000-000007000000}"/>
            </a:ext>
          </a:extLst>
        </xdr:cNvPr>
        <xdr:cNvSpPr txBox="1"/>
      </xdr:nvSpPr>
      <xdr:spPr>
        <a:xfrm>
          <a:off x="0" y="43746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3027" name="TextBox 3026">
          <a:extLst>
            <a:ext uri="{FF2B5EF4-FFF2-40B4-BE49-F238E27FC236}">
              <a16:creationId xmlns:a16="http://schemas.microsoft.com/office/drawing/2014/main" id="{00000000-0008-0000-0000-000007000000}"/>
            </a:ext>
          </a:extLst>
        </xdr:cNvPr>
        <xdr:cNvSpPr txBox="1"/>
      </xdr:nvSpPr>
      <xdr:spPr>
        <a:xfrm>
          <a:off x="0" y="43746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3028" name="TextBox 3027">
          <a:extLst>
            <a:ext uri="{FF2B5EF4-FFF2-40B4-BE49-F238E27FC236}">
              <a16:creationId xmlns:a16="http://schemas.microsoft.com/office/drawing/2014/main" id="{00000000-0008-0000-0000-000007000000}"/>
            </a:ext>
          </a:extLst>
        </xdr:cNvPr>
        <xdr:cNvSpPr txBox="1"/>
      </xdr:nvSpPr>
      <xdr:spPr>
        <a:xfrm>
          <a:off x="0" y="43746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3029" name="TextBox 3028">
          <a:extLst>
            <a:ext uri="{FF2B5EF4-FFF2-40B4-BE49-F238E27FC236}">
              <a16:creationId xmlns:a16="http://schemas.microsoft.com/office/drawing/2014/main" id="{00000000-0008-0000-0000-000007000000}"/>
            </a:ext>
          </a:extLst>
        </xdr:cNvPr>
        <xdr:cNvSpPr txBox="1"/>
      </xdr:nvSpPr>
      <xdr:spPr>
        <a:xfrm>
          <a:off x="0" y="43746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3030" name="TextBox 3029">
          <a:extLst>
            <a:ext uri="{FF2B5EF4-FFF2-40B4-BE49-F238E27FC236}">
              <a16:creationId xmlns:a16="http://schemas.microsoft.com/office/drawing/2014/main" id="{00000000-0008-0000-0000-000007000000}"/>
            </a:ext>
          </a:extLst>
        </xdr:cNvPr>
        <xdr:cNvSpPr txBox="1"/>
      </xdr:nvSpPr>
      <xdr:spPr>
        <a:xfrm>
          <a:off x="0" y="43746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3031" name="TextBox 3030">
          <a:extLst>
            <a:ext uri="{FF2B5EF4-FFF2-40B4-BE49-F238E27FC236}">
              <a16:creationId xmlns:a16="http://schemas.microsoft.com/office/drawing/2014/main" id="{00000000-0008-0000-0000-000007000000}"/>
            </a:ext>
          </a:extLst>
        </xdr:cNvPr>
        <xdr:cNvSpPr txBox="1"/>
      </xdr:nvSpPr>
      <xdr:spPr>
        <a:xfrm>
          <a:off x="0" y="43746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3032" name="TextBox 3031">
          <a:extLst>
            <a:ext uri="{FF2B5EF4-FFF2-40B4-BE49-F238E27FC236}">
              <a16:creationId xmlns:a16="http://schemas.microsoft.com/office/drawing/2014/main" id="{00000000-0008-0000-0000-000007000000}"/>
            </a:ext>
          </a:extLst>
        </xdr:cNvPr>
        <xdr:cNvSpPr txBox="1"/>
      </xdr:nvSpPr>
      <xdr:spPr>
        <a:xfrm>
          <a:off x="0" y="43746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3033" name="TextBox 3032">
          <a:extLst>
            <a:ext uri="{FF2B5EF4-FFF2-40B4-BE49-F238E27FC236}">
              <a16:creationId xmlns:a16="http://schemas.microsoft.com/office/drawing/2014/main" id="{00000000-0008-0000-0000-000007000000}"/>
            </a:ext>
          </a:extLst>
        </xdr:cNvPr>
        <xdr:cNvSpPr txBox="1"/>
      </xdr:nvSpPr>
      <xdr:spPr>
        <a:xfrm>
          <a:off x="0" y="43746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3034" name="TextBox 3033">
          <a:extLst>
            <a:ext uri="{FF2B5EF4-FFF2-40B4-BE49-F238E27FC236}">
              <a16:creationId xmlns:a16="http://schemas.microsoft.com/office/drawing/2014/main" id="{00000000-0008-0000-0000-000007000000}"/>
            </a:ext>
          </a:extLst>
        </xdr:cNvPr>
        <xdr:cNvSpPr txBox="1"/>
      </xdr:nvSpPr>
      <xdr:spPr>
        <a:xfrm>
          <a:off x="0" y="43746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3035" name="TextBox 3034">
          <a:extLst>
            <a:ext uri="{FF2B5EF4-FFF2-40B4-BE49-F238E27FC236}">
              <a16:creationId xmlns:a16="http://schemas.microsoft.com/office/drawing/2014/main" id="{00000000-0008-0000-0000-000007000000}"/>
            </a:ext>
          </a:extLst>
        </xdr:cNvPr>
        <xdr:cNvSpPr txBox="1"/>
      </xdr:nvSpPr>
      <xdr:spPr>
        <a:xfrm>
          <a:off x="0" y="43746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3036" name="TextBox 3035">
          <a:extLst>
            <a:ext uri="{FF2B5EF4-FFF2-40B4-BE49-F238E27FC236}">
              <a16:creationId xmlns:a16="http://schemas.microsoft.com/office/drawing/2014/main" id="{00000000-0008-0000-0000-000007000000}"/>
            </a:ext>
          </a:extLst>
        </xdr:cNvPr>
        <xdr:cNvSpPr txBox="1"/>
      </xdr:nvSpPr>
      <xdr:spPr>
        <a:xfrm>
          <a:off x="0" y="43746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3037" name="TextBox 3036">
          <a:extLst>
            <a:ext uri="{FF2B5EF4-FFF2-40B4-BE49-F238E27FC236}">
              <a16:creationId xmlns:a16="http://schemas.microsoft.com/office/drawing/2014/main" id="{00000000-0008-0000-0000-000007000000}"/>
            </a:ext>
          </a:extLst>
        </xdr:cNvPr>
        <xdr:cNvSpPr txBox="1"/>
      </xdr:nvSpPr>
      <xdr:spPr>
        <a:xfrm>
          <a:off x="0" y="43746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3038" name="TextBox 3037">
          <a:extLst>
            <a:ext uri="{FF2B5EF4-FFF2-40B4-BE49-F238E27FC236}">
              <a16:creationId xmlns:a16="http://schemas.microsoft.com/office/drawing/2014/main" id="{00000000-0008-0000-0000-000007000000}"/>
            </a:ext>
          </a:extLst>
        </xdr:cNvPr>
        <xdr:cNvSpPr txBox="1"/>
      </xdr:nvSpPr>
      <xdr:spPr>
        <a:xfrm>
          <a:off x="0" y="43746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3039" name="TextBox 3038">
          <a:extLst>
            <a:ext uri="{FF2B5EF4-FFF2-40B4-BE49-F238E27FC236}">
              <a16:creationId xmlns:a16="http://schemas.microsoft.com/office/drawing/2014/main" id="{00000000-0008-0000-0000-000007000000}"/>
            </a:ext>
          </a:extLst>
        </xdr:cNvPr>
        <xdr:cNvSpPr txBox="1"/>
      </xdr:nvSpPr>
      <xdr:spPr>
        <a:xfrm>
          <a:off x="0" y="43746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3040" name="TextBox 3039">
          <a:extLst>
            <a:ext uri="{FF2B5EF4-FFF2-40B4-BE49-F238E27FC236}">
              <a16:creationId xmlns:a16="http://schemas.microsoft.com/office/drawing/2014/main" id="{00000000-0008-0000-0000-000007000000}"/>
            </a:ext>
          </a:extLst>
        </xdr:cNvPr>
        <xdr:cNvSpPr txBox="1"/>
      </xdr:nvSpPr>
      <xdr:spPr>
        <a:xfrm>
          <a:off x="0" y="43746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3041" name="TextBox 3040">
          <a:extLst>
            <a:ext uri="{FF2B5EF4-FFF2-40B4-BE49-F238E27FC236}">
              <a16:creationId xmlns:a16="http://schemas.microsoft.com/office/drawing/2014/main" id="{00000000-0008-0000-0000-000007000000}"/>
            </a:ext>
          </a:extLst>
        </xdr:cNvPr>
        <xdr:cNvSpPr txBox="1"/>
      </xdr:nvSpPr>
      <xdr:spPr>
        <a:xfrm>
          <a:off x="0" y="43746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3042" name="TextBox 3041">
          <a:extLst>
            <a:ext uri="{FF2B5EF4-FFF2-40B4-BE49-F238E27FC236}">
              <a16:creationId xmlns:a16="http://schemas.microsoft.com/office/drawing/2014/main" id="{00000000-0008-0000-0000-000007000000}"/>
            </a:ext>
          </a:extLst>
        </xdr:cNvPr>
        <xdr:cNvSpPr txBox="1"/>
      </xdr:nvSpPr>
      <xdr:spPr>
        <a:xfrm>
          <a:off x="0" y="43746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3043" name="TextBox 3042">
          <a:extLst>
            <a:ext uri="{FF2B5EF4-FFF2-40B4-BE49-F238E27FC236}">
              <a16:creationId xmlns:a16="http://schemas.microsoft.com/office/drawing/2014/main" id="{00000000-0008-0000-0000-000007000000}"/>
            </a:ext>
          </a:extLst>
        </xdr:cNvPr>
        <xdr:cNvSpPr txBox="1"/>
      </xdr:nvSpPr>
      <xdr:spPr>
        <a:xfrm>
          <a:off x="0" y="43746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3044" name="TextBox 3043">
          <a:extLst>
            <a:ext uri="{FF2B5EF4-FFF2-40B4-BE49-F238E27FC236}">
              <a16:creationId xmlns:a16="http://schemas.microsoft.com/office/drawing/2014/main" id="{00000000-0008-0000-0000-000007000000}"/>
            </a:ext>
          </a:extLst>
        </xdr:cNvPr>
        <xdr:cNvSpPr txBox="1"/>
      </xdr:nvSpPr>
      <xdr:spPr>
        <a:xfrm>
          <a:off x="0" y="43746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3045" name="TextBox 3044">
          <a:extLst>
            <a:ext uri="{FF2B5EF4-FFF2-40B4-BE49-F238E27FC236}">
              <a16:creationId xmlns:a16="http://schemas.microsoft.com/office/drawing/2014/main" id="{00000000-0008-0000-0000-000007000000}"/>
            </a:ext>
          </a:extLst>
        </xdr:cNvPr>
        <xdr:cNvSpPr txBox="1"/>
      </xdr:nvSpPr>
      <xdr:spPr>
        <a:xfrm>
          <a:off x="0" y="43746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046" name="TextBox 3045">
          <a:extLst>
            <a:ext uri="{FF2B5EF4-FFF2-40B4-BE49-F238E27FC236}">
              <a16:creationId xmlns:a16="http://schemas.microsoft.com/office/drawing/2014/main" id="{00000000-0008-0000-0000-000007000000}"/>
            </a:ext>
          </a:extLst>
        </xdr:cNvPr>
        <xdr:cNvSpPr txBox="1"/>
      </xdr:nvSpPr>
      <xdr:spPr>
        <a:xfrm>
          <a:off x="0" y="3800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047" name="TextBox 3046">
          <a:extLst>
            <a:ext uri="{FF2B5EF4-FFF2-40B4-BE49-F238E27FC236}">
              <a16:creationId xmlns:a16="http://schemas.microsoft.com/office/drawing/2014/main" id="{00000000-0008-0000-0000-000007000000}"/>
            </a:ext>
          </a:extLst>
        </xdr:cNvPr>
        <xdr:cNvSpPr txBox="1"/>
      </xdr:nvSpPr>
      <xdr:spPr>
        <a:xfrm>
          <a:off x="0" y="3800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048" name="TextBox 3047">
          <a:extLst>
            <a:ext uri="{FF2B5EF4-FFF2-40B4-BE49-F238E27FC236}">
              <a16:creationId xmlns:a16="http://schemas.microsoft.com/office/drawing/2014/main" id="{00000000-0008-0000-0000-000007000000}"/>
            </a:ext>
          </a:extLst>
        </xdr:cNvPr>
        <xdr:cNvSpPr txBox="1"/>
      </xdr:nvSpPr>
      <xdr:spPr>
        <a:xfrm>
          <a:off x="0" y="38199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049" name="TextBox 3048">
          <a:extLst>
            <a:ext uri="{FF2B5EF4-FFF2-40B4-BE49-F238E27FC236}">
              <a16:creationId xmlns:a16="http://schemas.microsoft.com/office/drawing/2014/main" id="{00000000-0008-0000-0000-000007000000}"/>
            </a:ext>
          </a:extLst>
        </xdr:cNvPr>
        <xdr:cNvSpPr txBox="1"/>
      </xdr:nvSpPr>
      <xdr:spPr>
        <a:xfrm>
          <a:off x="0" y="38199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3050" name="TextBox 3049">
          <a:extLst>
            <a:ext uri="{FF2B5EF4-FFF2-40B4-BE49-F238E27FC236}">
              <a16:creationId xmlns:a16="http://schemas.microsoft.com/office/drawing/2014/main" id="{00000000-0008-0000-0000-000007000000}"/>
            </a:ext>
          </a:extLst>
        </xdr:cNvPr>
        <xdr:cNvSpPr txBox="1"/>
      </xdr:nvSpPr>
      <xdr:spPr>
        <a:xfrm>
          <a:off x="0" y="38397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3051" name="TextBox 3050">
          <a:extLst>
            <a:ext uri="{FF2B5EF4-FFF2-40B4-BE49-F238E27FC236}">
              <a16:creationId xmlns:a16="http://schemas.microsoft.com/office/drawing/2014/main" id="{00000000-0008-0000-0000-000007000000}"/>
            </a:ext>
          </a:extLst>
        </xdr:cNvPr>
        <xdr:cNvSpPr txBox="1"/>
      </xdr:nvSpPr>
      <xdr:spPr>
        <a:xfrm>
          <a:off x="0" y="38397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3052" name="TextBox 3051">
          <a:extLst>
            <a:ext uri="{FF2B5EF4-FFF2-40B4-BE49-F238E27FC236}">
              <a16:creationId xmlns:a16="http://schemas.microsoft.com/office/drawing/2014/main" id="{00000000-0008-0000-0000-000007000000}"/>
            </a:ext>
          </a:extLst>
        </xdr:cNvPr>
        <xdr:cNvSpPr txBox="1"/>
      </xdr:nvSpPr>
      <xdr:spPr>
        <a:xfrm>
          <a:off x="0" y="38397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3053" name="TextBox 3052">
          <a:extLst>
            <a:ext uri="{FF2B5EF4-FFF2-40B4-BE49-F238E27FC236}">
              <a16:creationId xmlns:a16="http://schemas.microsoft.com/office/drawing/2014/main" id="{00000000-0008-0000-0000-000007000000}"/>
            </a:ext>
          </a:extLst>
        </xdr:cNvPr>
        <xdr:cNvSpPr txBox="1"/>
      </xdr:nvSpPr>
      <xdr:spPr>
        <a:xfrm>
          <a:off x="0" y="38397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3054" name="TextBox 3053">
          <a:extLst>
            <a:ext uri="{FF2B5EF4-FFF2-40B4-BE49-F238E27FC236}">
              <a16:creationId xmlns:a16="http://schemas.microsoft.com/office/drawing/2014/main" id="{00000000-0008-0000-0000-000007000000}"/>
            </a:ext>
          </a:extLst>
        </xdr:cNvPr>
        <xdr:cNvSpPr txBox="1"/>
      </xdr:nvSpPr>
      <xdr:spPr>
        <a:xfrm>
          <a:off x="0" y="3780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3055" name="TextBox 3054">
          <a:extLst>
            <a:ext uri="{FF2B5EF4-FFF2-40B4-BE49-F238E27FC236}">
              <a16:creationId xmlns:a16="http://schemas.microsoft.com/office/drawing/2014/main" id="{00000000-0008-0000-0000-000007000000}"/>
            </a:ext>
          </a:extLst>
        </xdr:cNvPr>
        <xdr:cNvSpPr txBox="1"/>
      </xdr:nvSpPr>
      <xdr:spPr>
        <a:xfrm>
          <a:off x="0" y="3780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056" name="TextBox 3055">
          <a:extLst>
            <a:ext uri="{FF2B5EF4-FFF2-40B4-BE49-F238E27FC236}">
              <a16:creationId xmlns:a16="http://schemas.microsoft.com/office/drawing/2014/main" id="{00000000-0008-0000-0000-000007000000}"/>
            </a:ext>
          </a:extLst>
        </xdr:cNvPr>
        <xdr:cNvSpPr txBox="1"/>
      </xdr:nvSpPr>
      <xdr:spPr>
        <a:xfrm>
          <a:off x="0" y="3800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057" name="TextBox 3056">
          <a:extLst>
            <a:ext uri="{FF2B5EF4-FFF2-40B4-BE49-F238E27FC236}">
              <a16:creationId xmlns:a16="http://schemas.microsoft.com/office/drawing/2014/main" id="{00000000-0008-0000-0000-000007000000}"/>
            </a:ext>
          </a:extLst>
        </xdr:cNvPr>
        <xdr:cNvSpPr txBox="1"/>
      </xdr:nvSpPr>
      <xdr:spPr>
        <a:xfrm>
          <a:off x="0" y="3800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058" name="TextBox 3057">
          <a:extLst>
            <a:ext uri="{FF2B5EF4-FFF2-40B4-BE49-F238E27FC236}">
              <a16:creationId xmlns:a16="http://schemas.microsoft.com/office/drawing/2014/main" id="{00000000-0008-0000-0000-000007000000}"/>
            </a:ext>
          </a:extLst>
        </xdr:cNvPr>
        <xdr:cNvSpPr txBox="1"/>
      </xdr:nvSpPr>
      <xdr:spPr>
        <a:xfrm>
          <a:off x="0" y="3800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059" name="TextBox 3058">
          <a:extLst>
            <a:ext uri="{FF2B5EF4-FFF2-40B4-BE49-F238E27FC236}">
              <a16:creationId xmlns:a16="http://schemas.microsoft.com/office/drawing/2014/main" id="{00000000-0008-0000-0000-000007000000}"/>
            </a:ext>
          </a:extLst>
        </xdr:cNvPr>
        <xdr:cNvSpPr txBox="1"/>
      </xdr:nvSpPr>
      <xdr:spPr>
        <a:xfrm>
          <a:off x="0" y="3800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060" name="TextBox 3059">
          <a:extLst>
            <a:ext uri="{FF2B5EF4-FFF2-40B4-BE49-F238E27FC236}">
              <a16:creationId xmlns:a16="http://schemas.microsoft.com/office/drawing/2014/main" id="{00000000-0008-0000-0000-000007000000}"/>
            </a:ext>
          </a:extLst>
        </xdr:cNvPr>
        <xdr:cNvSpPr txBox="1"/>
      </xdr:nvSpPr>
      <xdr:spPr>
        <a:xfrm>
          <a:off x="0" y="38199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061" name="TextBox 3060">
          <a:extLst>
            <a:ext uri="{FF2B5EF4-FFF2-40B4-BE49-F238E27FC236}">
              <a16:creationId xmlns:a16="http://schemas.microsoft.com/office/drawing/2014/main" id="{00000000-0008-0000-0000-000007000000}"/>
            </a:ext>
          </a:extLst>
        </xdr:cNvPr>
        <xdr:cNvSpPr txBox="1"/>
      </xdr:nvSpPr>
      <xdr:spPr>
        <a:xfrm>
          <a:off x="0" y="38199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062" name="TextBox 3061">
          <a:extLst>
            <a:ext uri="{FF2B5EF4-FFF2-40B4-BE49-F238E27FC236}">
              <a16:creationId xmlns:a16="http://schemas.microsoft.com/office/drawing/2014/main" id="{00000000-0008-0000-0000-000007000000}"/>
            </a:ext>
          </a:extLst>
        </xdr:cNvPr>
        <xdr:cNvSpPr txBox="1"/>
      </xdr:nvSpPr>
      <xdr:spPr>
        <a:xfrm>
          <a:off x="0" y="38199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063" name="TextBox 3062">
          <a:extLst>
            <a:ext uri="{FF2B5EF4-FFF2-40B4-BE49-F238E27FC236}">
              <a16:creationId xmlns:a16="http://schemas.microsoft.com/office/drawing/2014/main" id="{00000000-0008-0000-0000-000007000000}"/>
            </a:ext>
          </a:extLst>
        </xdr:cNvPr>
        <xdr:cNvSpPr txBox="1"/>
      </xdr:nvSpPr>
      <xdr:spPr>
        <a:xfrm>
          <a:off x="0" y="38199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064" name="TextBox 3063">
          <a:extLst>
            <a:ext uri="{FF2B5EF4-FFF2-40B4-BE49-F238E27FC236}">
              <a16:creationId xmlns:a16="http://schemas.microsoft.com/office/drawing/2014/main" id="{00000000-0008-0000-0000-000007000000}"/>
            </a:ext>
          </a:extLst>
        </xdr:cNvPr>
        <xdr:cNvSpPr txBox="1"/>
      </xdr:nvSpPr>
      <xdr:spPr>
        <a:xfrm>
          <a:off x="0" y="38199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065" name="TextBox 3064">
          <a:extLst>
            <a:ext uri="{FF2B5EF4-FFF2-40B4-BE49-F238E27FC236}">
              <a16:creationId xmlns:a16="http://schemas.microsoft.com/office/drawing/2014/main" id="{00000000-0008-0000-0000-000007000000}"/>
            </a:ext>
          </a:extLst>
        </xdr:cNvPr>
        <xdr:cNvSpPr txBox="1"/>
      </xdr:nvSpPr>
      <xdr:spPr>
        <a:xfrm>
          <a:off x="0" y="38199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066" name="TextBox 3065">
          <a:extLst>
            <a:ext uri="{FF2B5EF4-FFF2-40B4-BE49-F238E27FC236}">
              <a16:creationId xmlns:a16="http://schemas.microsoft.com/office/drawing/2014/main" id="{00000000-0008-0000-0000-000007000000}"/>
            </a:ext>
          </a:extLst>
        </xdr:cNvPr>
        <xdr:cNvSpPr txBox="1"/>
      </xdr:nvSpPr>
      <xdr:spPr>
        <a:xfrm>
          <a:off x="0" y="38199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067" name="TextBox 3066">
          <a:extLst>
            <a:ext uri="{FF2B5EF4-FFF2-40B4-BE49-F238E27FC236}">
              <a16:creationId xmlns:a16="http://schemas.microsoft.com/office/drawing/2014/main" id="{00000000-0008-0000-0000-000007000000}"/>
            </a:ext>
          </a:extLst>
        </xdr:cNvPr>
        <xdr:cNvSpPr txBox="1"/>
      </xdr:nvSpPr>
      <xdr:spPr>
        <a:xfrm>
          <a:off x="0" y="38199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3068" name="TextBox 3067">
          <a:extLst>
            <a:ext uri="{FF2B5EF4-FFF2-40B4-BE49-F238E27FC236}">
              <a16:creationId xmlns:a16="http://schemas.microsoft.com/office/drawing/2014/main" id="{00000000-0008-0000-0000-000007000000}"/>
            </a:ext>
          </a:extLst>
        </xdr:cNvPr>
        <xdr:cNvSpPr txBox="1"/>
      </xdr:nvSpPr>
      <xdr:spPr>
        <a:xfrm>
          <a:off x="0" y="3780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3069" name="TextBox 3068">
          <a:extLst>
            <a:ext uri="{FF2B5EF4-FFF2-40B4-BE49-F238E27FC236}">
              <a16:creationId xmlns:a16="http://schemas.microsoft.com/office/drawing/2014/main" id="{00000000-0008-0000-0000-000007000000}"/>
            </a:ext>
          </a:extLst>
        </xdr:cNvPr>
        <xdr:cNvSpPr txBox="1"/>
      </xdr:nvSpPr>
      <xdr:spPr>
        <a:xfrm>
          <a:off x="0" y="3780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3070" name="TextBox 3069">
          <a:extLst>
            <a:ext uri="{FF2B5EF4-FFF2-40B4-BE49-F238E27FC236}">
              <a16:creationId xmlns:a16="http://schemas.microsoft.com/office/drawing/2014/main" id="{00000000-0008-0000-0000-000007000000}"/>
            </a:ext>
          </a:extLst>
        </xdr:cNvPr>
        <xdr:cNvSpPr txBox="1"/>
      </xdr:nvSpPr>
      <xdr:spPr>
        <a:xfrm>
          <a:off x="0" y="3780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3071" name="TextBox 3070">
          <a:extLst>
            <a:ext uri="{FF2B5EF4-FFF2-40B4-BE49-F238E27FC236}">
              <a16:creationId xmlns:a16="http://schemas.microsoft.com/office/drawing/2014/main" id="{00000000-0008-0000-0000-000007000000}"/>
            </a:ext>
          </a:extLst>
        </xdr:cNvPr>
        <xdr:cNvSpPr txBox="1"/>
      </xdr:nvSpPr>
      <xdr:spPr>
        <a:xfrm>
          <a:off x="0" y="3780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072" name="TextBox 3071">
          <a:extLst>
            <a:ext uri="{FF2B5EF4-FFF2-40B4-BE49-F238E27FC236}">
              <a16:creationId xmlns:a16="http://schemas.microsoft.com/office/drawing/2014/main" id="{00000000-0008-0000-0000-000007000000}"/>
            </a:ext>
          </a:extLst>
        </xdr:cNvPr>
        <xdr:cNvSpPr txBox="1"/>
      </xdr:nvSpPr>
      <xdr:spPr>
        <a:xfrm>
          <a:off x="0" y="3800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073" name="TextBox 3072">
          <a:extLst>
            <a:ext uri="{FF2B5EF4-FFF2-40B4-BE49-F238E27FC236}">
              <a16:creationId xmlns:a16="http://schemas.microsoft.com/office/drawing/2014/main" id="{00000000-0008-0000-0000-000007000000}"/>
            </a:ext>
          </a:extLst>
        </xdr:cNvPr>
        <xdr:cNvSpPr txBox="1"/>
      </xdr:nvSpPr>
      <xdr:spPr>
        <a:xfrm>
          <a:off x="0" y="3800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074" name="TextBox 3073">
          <a:extLst>
            <a:ext uri="{FF2B5EF4-FFF2-40B4-BE49-F238E27FC236}">
              <a16:creationId xmlns:a16="http://schemas.microsoft.com/office/drawing/2014/main" id="{00000000-0008-0000-0000-000007000000}"/>
            </a:ext>
          </a:extLst>
        </xdr:cNvPr>
        <xdr:cNvSpPr txBox="1"/>
      </xdr:nvSpPr>
      <xdr:spPr>
        <a:xfrm>
          <a:off x="0" y="3800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075" name="TextBox 3074">
          <a:extLst>
            <a:ext uri="{FF2B5EF4-FFF2-40B4-BE49-F238E27FC236}">
              <a16:creationId xmlns:a16="http://schemas.microsoft.com/office/drawing/2014/main" id="{00000000-0008-0000-0000-000007000000}"/>
            </a:ext>
          </a:extLst>
        </xdr:cNvPr>
        <xdr:cNvSpPr txBox="1"/>
      </xdr:nvSpPr>
      <xdr:spPr>
        <a:xfrm>
          <a:off x="0" y="3800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076" name="TextBox 3075">
          <a:extLst>
            <a:ext uri="{FF2B5EF4-FFF2-40B4-BE49-F238E27FC236}">
              <a16:creationId xmlns:a16="http://schemas.microsoft.com/office/drawing/2014/main" id="{00000000-0008-0000-0000-000007000000}"/>
            </a:ext>
          </a:extLst>
        </xdr:cNvPr>
        <xdr:cNvSpPr txBox="1"/>
      </xdr:nvSpPr>
      <xdr:spPr>
        <a:xfrm>
          <a:off x="0" y="3800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077" name="TextBox 3076">
          <a:extLst>
            <a:ext uri="{FF2B5EF4-FFF2-40B4-BE49-F238E27FC236}">
              <a16:creationId xmlns:a16="http://schemas.microsoft.com/office/drawing/2014/main" id="{00000000-0008-0000-0000-000007000000}"/>
            </a:ext>
          </a:extLst>
        </xdr:cNvPr>
        <xdr:cNvSpPr txBox="1"/>
      </xdr:nvSpPr>
      <xdr:spPr>
        <a:xfrm>
          <a:off x="0" y="3800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078" name="TextBox 3077">
          <a:extLst>
            <a:ext uri="{FF2B5EF4-FFF2-40B4-BE49-F238E27FC236}">
              <a16:creationId xmlns:a16="http://schemas.microsoft.com/office/drawing/2014/main" id="{00000000-0008-0000-0000-000007000000}"/>
            </a:ext>
          </a:extLst>
        </xdr:cNvPr>
        <xdr:cNvSpPr txBox="1"/>
      </xdr:nvSpPr>
      <xdr:spPr>
        <a:xfrm>
          <a:off x="0" y="3800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079" name="TextBox 3078">
          <a:extLst>
            <a:ext uri="{FF2B5EF4-FFF2-40B4-BE49-F238E27FC236}">
              <a16:creationId xmlns:a16="http://schemas.microsoft.com/office/drawing/2014/main" id="{00000000-0008-0000-0000-000007000000}"/>
            </a:ext>
          </a:extLst>
        </xdr:cNvPr>
        <xdr:cNvSpPr txBox="1"/>
      </xdr:nvSpPr>
      <xdr:spPr>
        <a:xfrm>
          <a:off x="0" y="3800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080" name="TextBox 3079">
          <a:extLst>
            <a:ext uri="{FF2B5EF4-FFF2-40B4-BE49-F238E27FC236}">
              <a16:creationId xmlns:a16="http://schemas.microsoft.com/office/drawing/2014/main" id="{00000000-0008-0000-0000-000007000000}"/>
            </a:ext>
          </a:extLst>
        </xdr:cNvPr>
        <xdr:cNvSpPr txBox="1"/>
      </xdr:nvSpPr>
      <xdr:spPr>
        <a:xfrm>
          <a:off x="0" y="3800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081" name="TextBox 3080">
          <a:extLst>
            <a:ext uri="{FF2B5EF4-FFF2-40B4-BE49-F238E27FC236}">
              <a16:creationId xmlns:a16="http://schemas.microsoft.com/office/drawing/2014/main" id="{00000000-0008-0000-0000-000007000000}"/>
            </a:ext>
          </a:extLst>
        </xdr:cNvPr>
        <xdr:cNvSpPr txBox="1"/>
      </xdr:nvSpPr>
      <xdr:spPr>
        <a:xfrm>
          <a:off x="0" y="3800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082" name="TextBox 3081">
          <a:extLst>
            <a:ext uri="{FF2B5EF4-FFF2-40B4-BE49-F238E27FC236}">
              <a16:creationId xmlns:a16="http://schemas.microsoft.com/office/drawing/2014/main" id="{00000000-0008-0000-0000-000007000000}"/>
            </a:ext>
          </a:extLst>
        </xdr:cNvPr>
        <xdr:cNvSpPr txBox="1"/>
      </xdr:nvSpPr>
      <xdr:spPr>
        <a:xfrm>
          <a:off x="0" y="3800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083" name="TextBox 3082">
          <a:extLst>
            <a:ext uri="{FF2B5EF4-FFF2-40B4-BE49-F238E27FC236}">
              <a16:creationId xmlns:a16="http://schemas.microsoft.com/office/drawing/2014/main" id="{00000000-0008-0000-0000-000007000000}"/>
            </a:ext>
          </a:extLst>
        </xdr:cNvPr>
        <xdr:cNvSpPr txBox="1"/>
      </xdr:nvSpPr>
      <xdr:spPr>
        <a:xfrm>
          <a:off x="0" y="3800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084" name="TextBox 3083">
          <a:extLst>
            <a:ext uri="{FF2B5EF4-FFF2-40B4-BE49-F238E27FC236}">
              <a16:creationId xmlns:a16="http://schemas.microsoft.com/office/drawing/2014/main" id="{00000000-0008-0000-0000-000007000000}"/>
            </a:ext>
          </a:extLst>
        </xdr:cNvPr>
        <xdr:cNvSpPr txBox="1"/>
      </xdr:nvSpPr>
      <xdr:spPr>
        <a:xfrm>
          <a:off x="0" y="3800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085" name="TextBox 3084">
          <a:extLst>
            <a:ext uri="{FF2B5EF4-FFF2-40B4-BE49-F238E27FC236}">
              <a16:creationId xmlns:a16="http://schemas.microsoft.com/office/drawing/2014/main" id="{00000000-0008-0000-0000-000007000000}"/>
            </a:ext>
          </a:extLst>
        </xdr:cNvPr>
        <xdr:cNvSpPr txBox="1"/>
      </xdr:nvSpPr>
      <xdr:spPr>
        <a:xfrm>
          <a:off x="0" y="3800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086" name="TextBox 3085">
          <a:extLst>
            <a:ext uri="{FF2B5EF4-FFF2-40B4-BE49-F238E27FC236}">
              <a16:creationId xmlns:a16="http://schemas.microsoft.com/office/drawing/2014/main" id="{00000000-0008-0000-0000-000007000000}"/>
            </a:ext>
          </a:extLst>
        </xdr:cNvPr>
        <xdr:cNvSpPr txBox="1"/>
      </xdr:nvSpPr>
      <xdr:spPr>
        <a:xfrm>
          <a:off x="0" y="3800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087" name="TextBox 3086">
          <a:extLst>
            <a:ext uri="{FF2B5EF4-FFF2-40B4-BE49-F238E27FC236}">
              <a16:creationId xmlns:a16="http://schemas.microsoft.com/office/drawing/2014/main" id="{00000000-0008-0000-0000-000007000000}"/>
            </a:ext>
          </a:extLst>
        </xdr:cNvPr>
        <xdr:cNvSpPr txBox="1"/>
      </xdr:nvSpPr>
      <xdr:spPr>
        <a:xfrm>
          <a:off x="0" y="3800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088" name="TextBox 3087">
          <a:extLst>
            <a:ext uri="{FF2B5EF4-FFF2-40B4-BE49-F238E27FC236}">
              <a16:creationId xmlns:a16="http://schemas.microsoft.com/office/drawing/2014/main" id="{00000000-0008-0000-0000-000007000000}"/>
            </a:ext>
          </a:extLst>
        </xdr:cNvPr>
        <xdr:cNvSpPr txBox="1"/>
      </xdr:nvSpPr>
      <xdr:spPr>
        <a:xfrm>
          <a:off x="0" y="3800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089" name="TextBox 3088">
          <a:extLst>
            <a:ext uri="{FF2B5EF4-FFF2-40B4-BE49-F238E27FC236}">
              <a16:creationId xmlns:a16="http://schemas.microsoft.com/office/drawing/2014/main" id="{00000000-0008-0000-0000-000007000000}"/>
            </a:ext>
          </a:extLst>
        </xdr:cNvPr>
        <xdr:cNvSpPr txBox="1"/>
      </xdr:nvSpPr>
      <xdr:spPr>
        <a:xfrm>
          <a:off x="0" y="3800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090" name="TextBox 3089">
          <a:extLst>
            <a:ext uri="{FF2B5EF4-FFF2-40B4-BE49-F238E27FC236}">
              <a16:creationId xmlns:a16="http://schemas.microsoft.com/office/drawing/2014/main" id="{00000000-0008-0000-0000-000007000000}"/>
            </a:ext>
          </a:extLst>
        </xdr:cNvPr>
        <xdr:cNvSpPr txBox="1"/>
      </xdr:nvSpPr>
      <xdr:spPr>
        <a:xfrm>
          <a:off x="0" y="3800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091" name="TextBox 3090">
          <a:extLst>
            <a:ext uri="{FF2B5EF4-FFF2-40B4-BE49-F238E27FC236}">
              <a16:creationId xmlns:a16="http://schemas.microsoft.com/office/drawing/2014/main" id="{00000000-0008-0000-0000-000007000000}"/>
            </a:ext>
          </a:extLst>
        </xdr:cNvPr>
        <xdr:cNvSpPr txBox="1"/>
      </xdr:nvSpPr>
      <xdr:spPr>
        <a:xfrm>
          <a:off x="0" y="3800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092" name="TextBox 3091">
          <a:extLst>
            <a:ext uri="{FF2B5EF4-FFF2-40B4-BE49-F238E27FC236}">
              <a16:creationId xmlns:a16="http://schemas.microsoft.com/office/drawing/2014/main" id="{00000000-0008-0000-0000-000007000000}"/>
            </a:ext>
          </a:extLst>
        </xdr:cNvPr>
        <xdr:cNvSpPr txBox="1"/>
      </xdr:nvSpPr>
      <xdr:spPr>
        <a:xfrm>
          <a:off x="0" y="3800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093" name="TextBox 3092">
          <a:extLst>
            <a:ext uri="{FF2B5EF4-FFF2-40B4-BE49-F238E27FC236}">
              <a16:creationId xmlns:a16="http://schemas.microsoft.com/office/drawing/2014/main" id="{00000000-0008-0000-0000-000007000000}"/>
            </a:ext>
          </a:extLst>
        </xdr:cNvPr>
        <xdr:cNvSpPr txBox="1"/>
      </xdr:nvSpPr>
      <xdr:spPr>
        <a:xfrm>
          <a:off x="0" y="3800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094" name="TextBox 3093">
          <a:extLst>
            <a:ext uri="{FF2B5EF4-FFF2-40B4-BE49-F238E27FC236}">
              <a16:creationId xmlns:a16="http://schemas.microsoft.com/office/drawing/2014/main" id="{00000000-0008-0000-0000-000007000000}"/>
            </a:ext>
          </a:extLst>
        </xdr:cNvPr>
        <xdr:cNvSpPr txBox="1"/>
      </xdr:nvSpPr>
      <xdr:spPr>
        <a:xfrm>
          <a:off x="0" y="3800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095" name="TextBox 3094">
          <a:extLst>
            <a:ext uri="{FF2B5EF4-FFF2-40B4-BE49-F238E27FC236}">
              <a16:creationId xmlns:a16="http://schemas.microsoft.com/office/drawing/2014/main" id="{00000000-0008-0000-0000-000007000000}"/>
            </a:ext>
          </a:extLst>
        </xdr:cNvPr>
        <xdr:cNvSpPr txBox="1"/>
      </xdr:nvSpPr>
      <xdr:spPr>
        <a:xfrm>
          <a:off x="0" y="3800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3096" name="TextBox 3095">
          <a:extLst>
            <a:ext uri="{FF2B5EF4-FFF2-40B4-BE49-F238E27FC236}">
              <a16:creationId xmlns:a16="http://schemas.microsoft.com/office/drawing/2014/main" id="{00000000-0008-0000-0000-000007000000}"/>
            </a:ext>
          </a:extLst>
        </xdr:cNvPr>
        <xdr:cNvSpPr txBox="1"/>
      </xdr:nvSpPr>
      <xdr:spPr>
        <a:xfrm>
          <a:off x="0" y="3780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3097" name="TextBox 3096">
          <a:extLst>
            <a:ext uri="{FF2B5EF4-FFF2-40B4-BE49-F238E27FC236}">
              <a16:creationId xmlns:a16="http://schemas.microsoft.com/office/drawing/2014/main" id="{00000000-0008-0000-0000-000007000000}"/>
            </a:ext>
          </a:extLst>
        </xdr:cNvPr>
        <xdr:cNvSpPr txBox="1"/>
      </xdr:nvSpPr>
      <xdr:spPr>
        <a:xfrm>
          <a:off x="0" y="3780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3098" name="TextBox 3097">
          <a:extLst>
            <a:ext uri="{FF2B5EF4-FFF2-40B4-BE49-F238E27FC236}">
              <a16:creationId xmlns:a16="http://schemas.microsoft.com/office/drawing/2014/main" id="{00000000-0008-0000-0000-000007000000}"/>
            </a:ext>
          </a:extLst>
        </xdr:cNvPr>
        <xdr:cNvSpPr txBox="1"/>
      </xdr:nvSpPr>
      <xdr:spPr>
        <a:xfrm>
          <a:off x="0" y="3780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3099" name="TextBox 3098">
          <a:extLst>
            <a:ext uri="{FF2B5EF4-FFF2-40B4-BE49-F238E27FC236}">
              <a16:creationId xmlns:a16="http://schemas.microsoft.com/office/drawing/2014/main" id="{00000000-0008-0000-0000-000007000000}"/>
            </a:ext>
          </a:extLst>
        </xdr:cNvPr>
        <xdr:cNvSpPr txBox="1"/>
      </xdr:nvSpPr>
      <xdr:spPr>
        <a:xfrm>
          <a:off x="0" y="3780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100" name="TextBox 3099">
          <a:extLst>
            <a:ext uri="{FF2B5EF4-FFF2-40B4-BE49-F238E27FC236}">
              <a16:creationId xmlns:a16="http://schemas.microsoft.com/office/drawing/2014/main" id="{00000000-0008-0000-0000-000007000000}"/>
            </a:ext>
          </a:extLst>
        </xdr:cNvPr>
        <xdr:cNvSpPr txBox="1"/>
      </xdr:nvSpPr>
      <xdr:spPr>
        <a:xfrm>
          <a:off x="0" y="3800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101" name="TextBox 3100">
          <a:extLst>
            <a:ext uri="{FF2B5EF4-FFF2-40B4-BE49-F238E27FC236}">
              <a16:creationId xmlns:a16="http://schemas.microsoft.com/office/drawing/2014/main" id="{00000000-0008-0000-0000-000007000000}"/>
            </a:ext>
          </a:extLst>
        </xdr:cNvPr>
        <xdr:cNvSpPr txBox="1"/>
      </xdr:nvSpPr>
      <xdr:spPr>
        <a:xfrm>
          <a:off x="0" y="3800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102" name="TextBox 3101">
          <a:extLst>
            <a:ext uri="{FF2B5EF4-FFF2-40B4-BE49-F238E27FC236}">
              <a16:creationId xmlns:a16="http://schemas.microsoft.com/office/drawing/2014/main" id="{00000000-0008-0000-0000-000007000000}"/>
            </a:ext>
          </a:extLst>
        </xdr:cNvPr>
        <xdr:cNvSpPr txBox="1"/>
      </xdr:nvSpPr>
      <xdr:spPr>
        <a:xfrm>
          <a:off x="0" y="3800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103" name="TextBox 3102">
          <a:extLst>
            <a:ext uri="{FF2B5EF4-FFF2-40B4-BE49-F238E27FC236}">
              <a16:creationId xmlns:a16="http://schemas.microsoft.com/office/drawing/2014/main" id="{00000000-0008-0000-0000-000007000000}"/>
            </a:ext>
          </a:extLst>
        </xdr:cNvPr>
        <xdr:cNvSpPr txBox="1"/>
      </xdr:nvSpPr>
      <xdr:spPr>
        <a:xfrm>
          <a:off x="0" y="3800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104" name="TextBox 3103">
          <a:extLst>
            <a:ext uri="{FF2B5EF4-FFF2-40B4-BE49-F238E27FC236}">
              <a16:creationId xmlns:a16="http://schemas.microsoft.com/office/drawing/2014/main" id="{00000000-0008-0000-0000-000007000000}"/>
            </a:ext>
          </a:extLst>
        </xdr:cNvPr>
        <xdr:cNvSpPr txBox="1"/>
      </xdr:nvSpPr>
      <xdr:spPr>
        <a:xfrm>
          <a:off x="0" y="3800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105" name="TextBox 3104">
          <a:extLst>
            <a:ext uri="{FF2B5EF4-FFF2-40B4-BE49-F238E27FC236}">
              <a16:creationId xmlns:a16="http://schemas.microsoft.com/office/drawing/2014/main" id="{00000000-0008-0000-0000-000007000000}"/>
            </a:ext>
          </a:extLst>
        </xdr:cNvPr>
        <xdr:cNvSpPr txBox="1"/>
      </xdr:nvSpPr>
      <xdr:spPr>
        <a:xfrm>
          <a:off x="0" y="3800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106" name="TextBox 3105">
          <a:extLst>
            <a:ext uri="{FF2B5EF4-FFF2-40B4-BE49-F238E27FC236}">
              <a16:creationId xmlns:a16="http://schemas.microsoft.com/office/drawing/2014/main" id="{00000000-0008-0000-0000-000007000000}"/>
            </a:ext>
          </a:extLst>
        </xdr:cNvPr>
        <xdr:cNvSpPr txBox="1"/>
      </xdr:nvSpPr>
      <xdr:spPr>
        <a:xfrm>
          <a:off x="0" y="3800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107" name="TextBox 3106">
          <a:extLst>
            <a:ext uri="{FF2B5EF4-FFF2-40B4-BE49-F238E27FC236}">
              <a16:creationId xmlns:a16="http://schemas.microsoft.com/office/drawing/2014/main" id="{00000000-0008-0000-0000-000007000000}"/>
            </a:ext>
          </a:extLst>
        </xdr:cNvPr>
        <xdr:cNvSpPr txBox="1"/>
      </xdr:nvSpPr>
      <xdr:spPr>
        <a:xfrm>
          <a:off x="0" y="3800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108" name="TextBox 3107">
          <a:extLst>
            <a:ext uri="{FF2B5EF4-FFF2-40B4-BE49-F238E27FC236}">
              <a16:creationId xmlns:a16="http://schemas.microsoft.com/office/drawing/2014/main" id="{00000000-0008-0000-0000-000007000000}"/>
            </a:ext>
          </a:extLst>
        </xdr:cNvPr>
        <xdr:cNvSpPr txBox="1"/>
      </xdr:nvSpPr>
      <xdr:spPr>
        <a:xfrm>
          <a:off x="0" y="3800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109" name="TextBox 3108">
          <a:extLst>
            <a:ext uri="{FF2B5EF4-FFF2-40B4-BE49-F238E27FC236}">
              <a16:creationId xmlns:a16="http://schemas.microsoft.com/office/drawing/2014/main" id="{00000000-0008-0000-0000-000007000000}"/>
            </a:ext>
          </a:extLst>
        </xdr:cNvPr>
        <xdr:cNvSpPr txBox="1"/>
      </xdr:nvSpPr>
      <xdr:spPr>
        <a:xfrm>
          <a:off x="0" y="3800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110" name="TextBox 3109">
          <a:extLst>
            <a:ext uri="{FF2B5EF4-FFF2-40B4-BE49-F238E27FC236}">
              <a16:creationId xmlns:a16="http://schemas.microsoft.com/office/drawing/2014/main" id="{00000000-0008-0000-0000-000007000000}"/>
            </a:ext>
          </a:extLst>
        </xdr:cNvPr>
        <xdr:cNvSpPr txBox="1"/>
      </xdr:nvSpPr>
      <xdr:spPr>
        <a:xfrm>
          <a:off x="0" y="3800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111" name="TextBox 3110">
          <a:extLst>
            <a:ext uri="{FF2B5EF4-FFF2-40B4-BE49-F238E27FC236}">
              <a16:creationId xmlns:a16="http://schemas.microsoft.com/office/drawing/2014/main" id="{00000000-0008-0000-0000-000007000000}"/>
            </a:ext>
          </a:extLst>
        </xdr:cNvPr>
        <xdr:cNvSpPr txBox="1"/>
      </xdr:nvSpPr>
      <xdr:spPr>
        <a:xfrm>
          <a:off x="0" y="3800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112" name="TextBox 3111">
          <a:extLst>
            <a:ext uri="{FF2B5EF4-FFF2-40B4-BE49-F238E27FC236}">
              <a16:creationId xmlns:a16="http://schemas.microsoft.com/office/drawing/2014/main" id="{00000000-0008-0000-0000-000007000000}"/>
            </a:ext>
          </a:extLst>
        </xdr:cNvPr>
        <xdr:cNvSpPr txBox="1"/>
      </xdr:nvSpPr>
      <xdr:spPr>
        <a:xfrm>
          <a:off x="0" y="38199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113" name="TextBox 3112">
          <a:extLst>
            <a:ext uri="{FF2B5EF4-FFF2-40B4-BE49-F238E27FC236}">
              <a16:creationId xmlns:a16="http://schemas.microsoft.com/office/drawing/2014/main" id="{00000000-0008-0000-0000-000007000000}"/>
            </a:ext>
          </a:extLst>
        </xdr:cNvPr>
        <xdr:cNvSpPr txBox="1"/>
      </xdr:nvSpPr>
      <xdr:spPr>
        <a:xfrm>
          <a:off x="0" y="38199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114" name="TextBox 3113">
          <a:extLst>
            <a:ext uri="{FF2B5EF4-FFF2-40B4-BE49-F238E27FC236}">
              <a16:creationId xmlns:a16="http://schemas.microsoft.com/office/drawing/2014/main" id="{00000000-0008-0000-0000-000007000000}"/>
            </a:ext>
          </a:extLst>
        </xdr:cNvPr>
        <xdr:cNvSpPr txBox="1"/>
      </xdr:nvSpPr>
      <xdr:spPr>
        <a:xfrm>
          <a:off x="0" y="38199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115" name="TextBox 3114">
          <a:extLst>
            <a:ext uri="{FF2B5EF4-FFF2-40B4-BE49-F238E27FC236}">
              <a16:creationId xmlns:a16="http://schemas.microsoft.com/office/drawing/2014/main" id="{00000000-0008-0000-0000-000007000000}"/>
            </a:ext>
          </a:extLst>
        </xdr:cNvPr>
        <xdr:cNvSpPr txBox="1"/>
      </xdr:nvSpPr>
      <xdr:spPr>
        <a:xfrm>
          <a:off x="0" y="38199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116" name="TextBox 3115">
          <a:extLst>
            <a:ext uri="{FF2B5EF4-FFF2-40B4-BE49-F238E27FC236}">
              <a16:creationId xmlns:a16="http://schemas.microsoft.com/office/drawing/2014/main" id="{00000000-0008-0000-0000-000007000000}"/>
            </a:ext>
          </a:extLst>
        </xdr:cNvPr>
        <xdr:cNvSpPr txBox="1"/>
      </xdr:nvSpPr>
      <xdr:spPr>
        <a:xfrm>
          <a:off x="0" y="38199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117" name="TextBox 3116">
          <a:extLst>
            <a:ext uri="{FF2B5EF4-FFF2-40B4-BE49-F238E27FC236}">
              <a16:creationId xmlns:a16="http://schemas.microsoft.com/office/drawing/2014/main" id="{00000000-0008-0000-0000-000007000000}"/>
            </a:ext>
          </a:extLst>
        </xdr:cNvPr>
        <xdr:cNvSpPr txBox="1"/>
      </xdr:nvSpPr>
      <xdr:spPr>
        <a:xfrm>
          <a:off x="0" y="38199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118" name="TextBox 3117">
          <a:extLst>
            <a:ext uri="{FF2B5EF4-FFF2-40B4-BE49-F238E27FC236}">
              <a16:creationId xmlns:a16="http://schemas.microsoft.com/office/drawing/2014/main" id="{00000000-0008-0000-0000-000007000000}"/>
            </a:ext>
          </a:extLst>
        </xdr:cNvPr>
        <xdr:cNvSpPr txBox="1"/>
      </xdr:nvSpPr>
      <xdr:spPr>
        <a:xfrm>
          <a:off x="0" y="38199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119" name="TextBox 3118">
          <a:extLst>
            <a:ext uri="{FF2B5EF4-FFF2-40B4-BE49-F238E27FC236}">
              <a16:creationId xmlns:a16="http://schemas.microsoft.com/office/drawing/2014/main" id="{00000000-0008-0000-0000-000007000000}"/>
            </a:ext>
          </a:extLst>
        </xdr:cNvPr>
        <xdr:cNvSpPr txBox="1"/>
      </xdr:nvSpPr>
      <xdr:spPr>
        <a:xfrm>
          <a:off x="0" y="38199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120" name="TextBox 3119">
          <a:extLst>
            <a:ext uri="{FF2B5EF4-FFF2-40B4-BE49-F238E27FC236}">
              <a16:creationId xmlns:a16="http://schemas.microsoft.com/office/drawing/2014/main" id="{00000000-0008-0000-0000-000007000000}"/>
            </a:ext>
          </a:extLst>
        </xdr:cNvPr>
        <xdr:cNvSpPr txBox="1"/>
      </xdr:nvSpPr>
      <xdr:spPr>
        <a:xfrm>
          <a:off x="0" y="38199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121" name="TextBox 3120">
          <a:extLst>
            <a:ext uri="{FF2B5EF4-FFF2-40B4-BE49-F238E27FC236}">
              <a16:creationId xmlns:a16="http://schemas.microsoft.com/office/drawing/2014/main" id="{00000000-0008-0000-0000-000007000000}"/>
            </a:ext>
          </a:extLst>
        </xdr:cNvPr>
        <xdr:cNvSpPr txBox="1"/>
      </xdr:nvSpPr>
      <xdr:spPr>
        <a:xfrm>
          <a:off x="0" y="38199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122" name="TextBox 3121">
          <a:extLst>
            <a:ext uri="{FF2B5EF4-FFF2-40B4-BE49-F238E27FC236}">
              <a16:creationId xmlns:a16="http://schemas.microsoft.com/office/drawing/2014/main" id="{00000000-0008-0000-0000-000007000000}"/>
            </a:ext>
          </a:extLst>
        </xdr:cNvPr>
        <xdr:cNvSpPr txBox="1"/>
      </xdr:nvSpPr>
      <xdr:spPr>
        <a:xfrm>
          <a:off x="0" y="38199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123" name="TextBox 3122">
          <a:extLst>
            <a:ext uri="{FF2B5EF4-FFF2-40B4-BE49-F238E27FC236}">
              <a16:creationId xmlns:a16="http://schemas.microsoft.com/office/drawing/2014/main" id="{00000000-0008-0000-0000-000007000000}"/>
            </a:ext>
          </a:extLst>
        </xdr:cNvPr>
        <xdr:cNvSpPr txBox="1"/>
      </xdr:nvSpPr>
      <xdr:spPr>
        <a:xfrm>
          <a:off x="0" y="38199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124" name="TextBox 3123">
          <a:extLst>
            <a:ext uri="{FF2B5EF4-FFF2-40B4-BE49-F238E27FC236}">
              <a16:creationId xmlns:a16="http://schemas.microsoft.com/office/drawing/2014/main" id="{00000000-0008-0000-0000-000007000000}"/>
            </a:ext>
          </a:extLst>
        </xdr:cNvPr>
        <xdr:cNvSpPr txBox="1"/>
      </xdr:nvSpPr>
      <xdr:spPr>
        <a:xfrm>
          <a:off x="0" y="38199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125" name="TextBox 3124">
          <a:extLst>
            <a:ext uri="{FF2B5EF4-FFF2-40B4-BE49-F238E27FC236}">
              <a16:creationId xmlns:a16="http://schemas.microsoft.com/office/drawing/2014/main" id="{00000000-0008-0000-0000-000007000000}"/>
            </a:ext>
          </a:extLst>
        </xdr:cNvPr>
        <xdr:cNvSpPr txBox="1"/>
      </xdr:nvSpPr>
      <xdr:spPr>
        <a:xfrm>
          <a:off x="0" y="38199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126" name="TextBox 3125">
          <a:extLst>
            <a:ext uri="{FF2B5EF4-FFF2-40B4-BE49-F238E27FC236}">
              <a16:creationId xmlns:a16="http://schemas.microsoft.com/office/drawing/2014/main" id="{00000000-0008-0000-0000-000007000000}"/>
            </a:ext>
          </a:extLst>
        </xdr:cNvPr>
        <xdr:cNvSpPr txBox="1"/>
      </xdr:nvSpPr>
      <xdr:spPr>
        <a:xfrm>
          <a:off x="0" y="38199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127" name="TextBox 3126">
          <a:extLst>
            <a:ext uri="{FF2B5EF4-FFF2-40B4-BE49-F238E27FC236}">
              <a16:creationId xmlns:a16="http://schemas.microsoft.com/office/drawing/2014/main" id="{00000000-0008-0000-0000-000007000000}"/>
            </a:ext>
          </a:extLst>
        </xdr:cNvPr>
        <xdr:cNvSpPr txBox="1"/>
      </xdr:nvSpPr>
      <xdr:spPr>
        <a:xfrm>
          <a:off x="0" y="38199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128" name="TextBox 3127">
          <a:extLst>
            <a:ext uri="{FF2B5EF4-FFF2-40B4-BE49-F238E27FC236}">
              <a16:creationId xmlns:a16="http://schemas.microsoft.com/office/drawing/2014/main" id="{00000000-0008-0000-0000-000007000000}"/>
            </a:ext>
          </a:extLst>
        </xdr:cNvPr>
        <xdr:cNvSpPr txBox="1"/>
      </xdr:nvSpPr>
      <xdr:spPr>
        <a:xfrm>
          <a:off x="0" y="38199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129" name="TextBox 3128">
          <a:extLst>
            <a:ext uri="{FF2B5EF4-FFF2-40B4-BE49-F238E27FC236}">
              <a16:creationId xmlns:a16="http://schemas.microsoft.com/office/drawing/2014/main" id="{00000000-0008-0000-0000-000007000000}"/>
            </a:ext>
          </a:extLst>
        </xdr:cNvPr>
        <xdr:cNvSpPr txBox="1"/>
      </xdr:nvSpPr>
      <xdr:spPr>
        <a:xfrm>
          <a:off x="0" y="38199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130" name="TextBox 3129">
          <a:extLst>
            <a:ext uri="{FF2B5EF4-FFF2-40B4-BE49-F238E27FC236}">
              <a16:creationId xmlns:a16="http://schemas.microsoft.com/office/drawing/2014/main" id="{00000000-0008-0000-0000-000007000000}"/>
            </a:ext>
          </a:extLst>
        </xdr:cNvPr>
        <xdr:cNvSpPr txBox="1"/>
      </xdr:nvSpPr>
      <xdr:spPr>
        <a:xfrm>
          <a:off x="0" y="38199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131" name="TextBox 3130">
          <a:extLst>
            <a:ext uri="{FF2B5EF4-FFF2-40B4-BE49-F238E27FC236}">
              <a16:creationId xmlns:a16="http://schemas.microsoft.com/office/drawing/2014/main" id="{00000000-0008-0000-0000-000007000000}"/>
            </a:ext>
          </a:extLst>
        </xdr:cNvPr>
        <xdr:cNvSpPr txBox="1"/>
      </xdr:nvSpPr>
      <xdr:spPr>
        <a:xfrm>
          <a:off x="0" y="38199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132" name="TextBox 3131">
          <a:extLst>
            <a:ext uri="{FF2B5EF4-FFF2-40B4-BE49-F238E27FC236}">
              <a16:creationId xmlns:a16="http://schemas.microsoft.com/office/drawing/2014/main" id="{00000000-0008-0000-0000-000007000000}"/>
            </a:ext>
          </a:extLst>
        </xdr:cNvPr>
        <xdr:cNvSpPr txBox="1"/>
      </xdr:nvSpPr>
      <xdr:spPr>
        <a:xfrm>
          <a:off x="0" y="38199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133" name="TextBox 3132">
          <a:extLst>
            <a:ext uri="{FF2B5EF4-FFF2-40B4-BE49-F238E27FC236}">
              <a16:creationId xmlns:a16="http://schemas.microsoft.com/office/drawing/2014/main" id="{00000000-0008-0000-0000-000007000000}"/>
            </a:ext>
          </a:extLst>
        </xdr:cNvPr>
        <xdr:cNvSpPr txBox="1"/>
      </xdr:nvSpPr>
      <xdr:spPr>
        <a:xfrm>
          <a:off x="0" y="38199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134" name="TextBox 3133">
          <a:extLst>
            <a:ext uri="{FF2B5EF4-FFF2-40B4-BE49-F238E27FC236}">
              <a16:creationId xmlns:a16="http://schemas.microsoft.com/office/drawing/2014/main" id="{00000000-0008-0000-0000-000007000000}"/>
            </a:ext>
          </a:extLst>
        </xdr:cNvPr>
        <xdr:cNvSpPr txBox="1"/>
      </xdr:nvSpPr>
      <xdr:spPr>
        <a:xfrm>
          <a:off x="0" y="38199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135" name="TextBox 3134">
          <a:extLst>
            <a:ext uri="{FF2B5EF4-FFF2-40B4-BE49-F238E27FC236}">
              <a16:creationId xmlns:a16="http://schemas.microsoft.com/office/drawing/2014/main" id="{00000000-0008-0000-0000-000007000000}"/>
            </a:ext>
          </a:extLst>
        </xdr:cNvPr>
        <xdr:cNvSpPr txBox="1"/>
      </xdr:nvSpPr>
      <xdr:spPr>
        <a:xfrm>
          <a:off x="0" y="38199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136" name="TextBox 3135">
          <a:extLst>
            <a:ext uri="{FF2B5EF4-FFF2-40B4-BE49-F238E27FC236}">
              <a16:creationId xmlns:a16="http://schemas.microsoft.com/office/drawing/2014/main" id="{00000000-0008-0000-0000-000007000000}"/>
            </a:ext>
          </a:extLst>
        </xdr:cNvPr>
        <xdr:cNvSpPr txBox="1"/>
      </xdr:nvSpPr>
      <xdr:spPr>
        <a:xfrm>
          <a:off x="0" y="38199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137" name="TextBox 3136">
          <a:extLst>
            <a:ext uri="{FF2B5EF4-FFF2-40B4-BE49-F238E27FC236}">
              <a16:creationId xmlns:a16="http://schemas.microsoft.com/office/drawing/2014/main" id="{00000000-0008-0000-0000-000007000000}"/>
            </a:ext>
          </a:extLst>
        </xdr:cNvPr>
        <xdr:cNvSpPr txBox="1"/>
      </xdr:nvSpPr>
      <xdr:spPr>
        <a:xfrm>
          <a:off x="0" y="38199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138" name="TextBox 3137">
          <a:extLst>
            <a:ext uri="{FF2B5EF4-FFF2-40B4-BE49-F238E27FC236}">
              <a16:creationId xmlns:a16="http://schemas.microsoft.com/office/drawing/2014/main" id="{00000000-0008-0000-0000-000007000000}"/>
            </a:ext>
          </a:extLst>
        </xdr:cNvPr>
        <xdr:cNvSpPr txBox="1"/>
      </xdr:nvSpPr>
      <xdr:spPr>
        <a:xfrm>
          <a:off x="0" y="38199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139" name="TextBox 3138">
          <a:extLst>
            <a:ext uri="{FF2B5EF4-FFF2-40B4-BE49-F238E27FC236}">
              <a16:creationId xmlns:a16="http://schemas.microsoft.com/office/drawing/2014/main" id="{00000000-0008-0000-0000-000007000000}"/>
            </a:ext>
          </a:extLst>
        </xdr:cNvPr>
        <xdr:cNvSpPr txBox="1"/>
      </xdr:nvSpPr>
      <xdr:spPr>
        <a:xfrm>
          <a:off x="0" y="38199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140" name="TextBox 3139">
          <a:extLst>
            <a:ext uri="{FF2B5EF4-FFF2-40B4-BE49-F238E27FC236}">
              <a16:creationId xmlns:a16="http://schemas.microsoft.com/office/drawing/2014/main" id="{00000000-0008-0000-0000-000007000000}"/>
            </a:ext>
          </a:extLst>
        </xdr:cNvPr>
        <xdr:cNvSpPr txBox="1"/>
      </xdr:nvSpPr>
      <xdr:spPr>
        <a:xfrm>
          <a:off x="0" y="38199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141" name="TextBox 3140">
          <a:extLst>
            <a:ext uri="{FF2B5EF4-FFF2-40B4-BE49-F238E27FC236}">
              <a16:creationId xmlns:a16="http://schemas.microsoft.com/office/drawing/2014/main" id="{00000000-0008-0000-0000-000007000000}"/>
            </a:ext>
          </a:extLst>
        </xdr:cNvPr>
        <xdr:cNvSpPr txBox="1"/>
      </xdr:nvSpPr>
      <xdr:spPr>
        <a:xfrm>
          <a:off x="0" y="38199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142" name="TextBox 3141">
          <a:extLst>
            <a:ext uri="{FF2B5EF4-FFF2-40B4-BE49-F238E27FC236}">
              <a16:creationId xmlns:a16="http://schemas.microsoft.com/office/drawing/2014/main" id="{00000000-0008-0000-0000-000007000000}"/>
            </a:ext>
          </a:extLst>
        </xdr:cNvPr>
        <xdr:cNvSpPr txBox="1"/>
      </xdr:nvSpPr>
      <xdr:spPr>
        <a:xfrm>
          <a:off x="0" y="38199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143" name="TextBox 3142">
          <a:extLst>
            <a:ext uri="{FF2B5EF4-FFF2-40B4-BE49-F238E27FC236}">
              <a16:creationId xmlns:a16="http://schemas.microsoft.com/office/drawing/2014/main" id="{00000000-0008-0000-0000-000007000000}"/>
            </a:ext>
          </a:extLst>
        </xdr:cNvPr>
        <xdr:cNvSpPr txBox="1"/>
      </xdr:nvSpPr>
      <xdr:spPr>
        <a:xfrm>
          <a:off x="0" y="38199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144" name="TextBox 3143">
          <a:extLst>
            <a:ext uri="{FF2B5EF4-FFF2-40B4-BE49-F238E27FC236}">
              <a16:creationId xmlns:a16="http://schemas.microsoft.com/office/drawing/2014/main" id="{00000000-0008-0000-0000-000007000000}"/>
            </a:ext>
          </a:extLst>
        </xdr:cNvPr>
        <xdr:cNvSpPr txBox="1"/>
      </xdr:nvSpPr>
      <xdr:spPr>
        <a:xfrm>
          <a:off x="0" y="38199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145" name="TextBox 3144">
          <a:extLst>
            <a:ext uri="{FF2B5EF4-FFF2-40B4-BE49-F238E27FC236}">
              <a16:creationId xmlns:a16="http://schemas.microsoft.com/office/drawing/2014/main" id="{00000000-0008-0000-0000-000007000000}"/>
            </a:ext>
          </a:extLst>
        </xdr:cNvPr>
        <xdr:cNvSpPr txBox="1"/>
      </xdr:nvSpPr>
      <xdr:spPr>
        <a:xfrm>
          <a:off x="0" y="38199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146" name="TextBox 3145">
          <a:extLst>
            <a:ext uri="{FF2B5EF4-FFF2-40B4-BE49-F238E27FC236}">
              <a16:creationId xmlns:a16="http://schemas.microsoft.com/office/drawing/2014/main" id="{00000000-0008-0000-0000-000007000000}"/>
            </a:ext>
          </a:extLst>
        </xdr:cNvPr>
        <xdr:cNvSpPr txBox="1"/>
      </xdr:nvSpPr>
      <xdr:spPr>
        <a:xfrm>
          <a:off x="0" y="38199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147" name="TextBox 3146">
          <a:extLst>
            <a:ext uri="{FF2B5EF4-FFF2-40B4-BE49-F238E27FC236}">
              <a16:creationId xmlns:a16="http://schemas.microsoft.com/office/drawing/2014/main" id="{00000000-0008-0000-0000-000007000000}"/>
            </a:ext>
          </a:extLst>
        </xdr:cNvPr>
        <xdr:cNvSpPr txBox="1"/>
      </xdr:nvSpPr>
      <xdr:spPr>
        <a:xfrm>
          <a:off x="0" y="38199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148" name="TextBox 3147">
          <a:extLst>
            <a:ext uri="{FF2B5EF4-FFF2-40B4-BE49-F238E27FC236}">
              <a16:creationId xmlns:a16="http://schemas.microsoft.com/office/drawing/2014/main" id="{00000000-0008-0000-0000-000007000000}"/>
            </a:ext>
          </a:extLst>
        </xdr:cNvPr>
        <xdr:cNvSpPr txBox="1"/>
      </xdr:nvSpPr>
      <xdr:spPr>
        <a:xfrm>
          <a:off x="0" y="38199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149" name="TextBox 3148">
          <a:extLst>
            <a:ext uri="{FF2B5EF4-FFF2-40B4-BE49-F238E27FC236}">
              <a16:creationId xmlns:a16="http://schemas.microsoft.com/office/drawing/2014/main" id="{00000000-0008-0000-0000-000007000000}"/>
            </a:ext>
          </a:extLst>
        </xdr:cNvPr>
        <xdr:cNvSpPr txBox="1"/>
      </xdr:nvSpPr>
      <xdr:spPr>
        <a:xfrm>
          <a:off x="0" y="38199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150" name="TextBox 3149">
          <a:extLst>
            <a:ext uri="{FF2B5EF4-FFF2-40B4-BE49-F238E27FC236}">
              <a16:creationId xmlns:a16="http://schemas.microsoft.com/office/drawing/2014/main" id="{00000000-0008-0000-0000-000007000000}"/>
            </a:ext>
          </a:extLst>
        </xdr:cNvPr>
        <xdr:cNvSpPr txBox="1"/>
      </xdr:nvSpPr>
      <xdr:spPr>
        <a:xfrm>
          <a:off x="0" y="38199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151" name="TextBox 3150">
          <a:extLst>
            <a:ext uri="{FF2B5EF4-FFF2-40B4-BE49-F238E27FC236}">
              <a16:creationId xmlns:a16="http://schemas.microsoft.com/office/drawing/2014/main" id="{00000000-0008-0000-0000-000007000000}"/>
            </a:ext>
          </a:extLst>
        </xdr:cNvPr>
        <xdr:cNvSpPr txBox="1"/>
      </xdr:nvSpPr>
      <xdr:spPr>
        <a:xfrm>
          <a:off x="0" y="38199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152" name="TextBox 3151">
          <a:extLst>
            <a:ext uri="{FF2B5EF4-FFF2-40B4-BE49-F238E27FC236}">
              <a16:creationId xmlns:a16="http://schemas.microsoft.com/office/drawing/2014/main" id="{00000000-0008-0000-0000-000007000000}"/>
            </a:ext>
          </a:extLst>
        </xdr:cNvPr>
        <xdr:cNvSpPr txBox="1"/>
      </xdr:nvSpPr>
      <xdr:spPr>
        <a:xfrm>
          <a:off x="0" y="38199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153" name="TextBox 3152">
          <a:extLst>
            <a:ext uri="{FF2B5EF4-FFF2-40B4-BE49-F238E27FC236}">
              <a16:creationId xmlns:a16="http://schemas.microsoft.com/office/drawing/2014/main" id="{00000000-0008-0000-0000-000007000000}"/>
            </a:ext>
          </a:extLst>
        </xdr:cNvPr>
        <xdr:cNvSpPr txBox="1"/>
      </xdr:nvSpPr>
      <xdr:spPr>
        <a:xfrm>
          <a:off x="0" y="38199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154" name="TextBox 3153">
          <a:extLst>
            <a:ext uri="{FF2B5EF4-FFF2-40B4-BE49-F238E27FC236}">
              <a16:creationId xmlns:a16="http://schemas.microsoft.com/office/drawing/2014/main" id="{00000000-0008-0000-0000-000007000000}"/>
            </a:ext>
          </a:extLst>
        </xdr:cNvPr>
        <xdr:cNvSpPr txBox="1"/>
      </xdr:nvSpPr>
      <xdr:spPr>
        <a:xfrm>
          <a:off x="0" y="38199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155" name="TextBox 3154">
          <a:extLst>
            <a:ext uri="{FF2B5EF4-FFF2-40B4-BE49-F238E27FC236}">
              <a16:creationId xmlns:a16="http://schemas.microsoft.com/office/drawing/2014/main" id="{00000000-0008-0000-0000-000007000000}"/>
            </a:ext>
          </a:extLst>
        </xdr:cNvPr>
        <xdr:cNvSpPr txBox="1"/>
      </xdr:nvSpPr>
      <xdr:spPr>
        <a:xfrm>
          <a:off x="0" y="38199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3156" name="TextBox 3155">
          <a:extLst>
            <a:ext uri="{FF2B5EF4-FFF2-40B4-BE49-F238E27FC236}">
              <a16:creationId xmlns:a16="http://schemas.microsoft.com/office/drawing/2014/main" id="{00000000-0008-0000-0000-000007000000}"/>
            </a:ext>
          </a:extLst>
        </xdr:cNvPr>
        <xdr:cNvSpPr txBox="1"/>
      </xdr:nvSpPr>
      <xdr:spPr>
        <a:xfrm>
          <a:off x="0" y="38397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3157" name="TextBox 3156">
          <a:extLst>
            <a:ext uri="{FF2B5EF4-FFF2-40B4-BE49-F238E27FC236}">
              <a16:creationId xmlns:a16="http://schemas.microsoft.com/office/drawing/2014/main" id="{00000000-0008-0000-0000-000007000000}"/>
            </a:ext>
          </a:extLst>
        </xdr:cNvPr>
        <xdr:cNvSpPr txBox="1"/>
      </xdr:nvSpPr>
      <xdr:spPr>
        <a:xfrm>
          <a:off x="0" y="38397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3158" name="TextBox 3157">
          <a:extLst>
            <a:ext uri="{FF2B5EF4-FFF2-40B4-BE49-F238E27FC236}">
              <a16:creationId xmlns:a16="http://schemas.microsoft.com/office/drawing/2014/main" id="{00000000-0008-0000-0000-000007000000}"/>
            </a:ext>
          </a:extLst>
        </xdr:cNvPr>
        <xdr:cNvSpPr txBox="1"/>
      </xdr:nvSpPr>
      <xdr:spPr>
        <a:xfrm>
          <a:off x="0" y="38397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3159" name="TextBox 3158">
          <a:extLst>
            <a:ext uri="{FF2B5EF4-FFF2-40B4-BE49-F238E27FC236}">
              <a16:creationId xmlns:a16="http://schemas.microsoft.com/office/drawing/2014/main" id="{00000000-0008-0000-0000-000007000000}"/>
            </a:ext>
          </a:extLst>
        </xdr:cNvPr>
        <xdr:cNvSpPr txBox="1"/>
      </xdr:nvSpPr>
      <xdr:spPr>
        <a:xfrm>
          <a:off x="0" y="38397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3160" name="TextBox 3159">
          <a:extLst>
            <a:ext uri="{FF2B5EF4-FFF2-40B4-BE49-F238E27FC236}">
              <a16:creationId xmlns:a16="http://schemas.microsoft.com/office/drawing/2014/main" id="{00000000-0008-0000-0000-000007000000}"/>
            </a:ext>
          </a:extLst>
        </xdr:cNvPr>
        <xdr:cNvSpPr txBox="1"/>
      </xdr:nvSpPr>
      <xdr:spPr>
        <a:xfrm>
          <a:off x="0" y="38397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3161" name="TextBox 3160">
          <a:extLst>
            <a:ext uri="{FF2B5EF4-FFF2-40B4-BE49-F238E27FC236}">
              <a16:creationId xmlns:a16="http://schemas.microsoft.com/office/drawing/2014/main" id="{00000000-0008-0000-0000-000007000000}"/>
            </a:ext>
          </a:extLst>
        </xdr:cNvPr>
        <xdr:cNvSpPr txBox="1"/>
      </xdr:nvSpPr>
      <xdr:spPr>
        <a:xfrm>
          <a:off x="0" y="38397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3162" name="TextBox 3161">
          <a:extLst>
            <a:ext uri="{FF2B5EF4-FFF2-40B4-BE49-F238E27FC236}">
              <a16:creationId xmlns:a16="http://schemas.microsoft.com/office/drawing/2014/main" id="{00000000-0008-0000-0000-000007000000}"/>
            </a:ext>
          </a:extLst>
        </xdr:cNvPr>
        <xdr:cNvSpPr txBox="1"/>
      </xdr:nvSpPr>
      <xdr:spPr>
        <a:xfrm>
          <a:off x="0" y="38397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3163" name="TextBox 3162">
          <a:extLst>
            <a:ext uri="{FF2B5EF4-FFF2-40B4-BE49-F238E27FC236}">
              <a16:creationId xmlns:a16="http://schemas.microsoft.com/office/drawing/2014/main" id="{00000000-0008-0000-0000-000007000000}"/>
            </a:ext>
          </a:extLst>
        </xdr:cNvPr>
        <xdr:cNvSpPr txBox="1"/>
      </xdr:nvSpPr>
      <xdr:spPr>
        <a:xfrm>
          <a:off x="0" y="38397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3164" name="TextBox 3163">
          <a:extLst>
            <a:ext uri="{FF2B5EF4-FFF2-40B4-BE49-F238E27FC236}">
              <a16:creationId xmlns:a16="http://schemas.microsoft.com/office/drawing/2014/main" id="{00000000-0008-0000-0000-000007000000}"/>
            </a:ext>
          </a:extLst>
        </xdr:cNvPr>
        <xdr:cNvSpPr txBox="1"/>
      </xdr:nvSpPr>
      <xdr:spPr>
        <a:xfrm>
          <a:off x="0" y="38397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3165" name="TextBox 3164">
          <a:extLst>
            <a:ext uri="{FF2B5EF4-FFF2-40B4-BE49-F238E27FC236}">
              <a16:creationId xmlns:a16="http://schemas.microsoft.com/office/drawing/2014/main" id="{00000000-0008-0000-0000-000007000000}"/>
            </a:ext>
          </a:extLst>
        </xdr:cNvPr>
        <xdr:cNvSpPr txBox="1"/>
      </xdr:nvSpPr>
      <xdr:spPr>
        <a:xfrm>
          <a:off x="0" y="38397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3166" name="TextBox 3165">
          <a:extLst>
            <a:ext uri="{FF2B5EF4-FFF2-40B4-BE49-F238E27FC236}">
              <a16:creationId xmlns:a16="http://schemas.microsoft.com/office/drawing/2014/main" id="{00000000-0008-0000-0000-000007000000}"/>
            </a:ext>
          </a:extLst>
        </xdr:cNvPr>
        <xdr:cNvSpPr txBox="1"/>
      </xdr:nvSpPr>
      <xdr:spPr>
        <a:xfrm>
          <a:off x="0" y="38397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3167" name="TextBox 3166">
          <a:extLst>
            <a:ext uri="{FF2B5EF4-FFF2-40B4-BE49-F238E27FC236}">
              <a16:creationId xmlns:a16="http://schemas.microsoft.com/office/drawing/2014/main" id="{00000000-0008-0000-0000-000007000000}"/>
            </a:ext>
          </a:extLst>
        </xdr:cNvPr>
        <xdr:cNvSpPr txBox="1"/>
      </xdr:nvSpPr>
      <xdr:spPr>
        <a:xfrm>
          <a:off x="0" y="38397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3168" name="TextBox 3167">
          <a:extLst>
            <a:ext uri="{FF2B5EF4-FFF2-40B4-BE49-F238E27FC236}">
              <a16:creationId xmlns:a16="http://schemas.microsoft.com/office/drawing/2014/main" id="{00000000-0008-0000-0000-000007000000}"/>
            </a:ext>
          </a:extLst>
        </xdr:cNvPr>
        <xdr:cNvSpPr txBox="1"/>
      </xdr:nvSpPr>
      <xdr:spPr>
        <a:xfrm>
          <a:off x="0" y="38397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3169" name="TextBox 3168">
          <a:extLst>
            <a:ext uri="{FF2B5EF4-FFF2-40B4-BE49-F238E27FC236}">
              <a16:creationId xmlns:a16="http://schemas.microsoft.com/office/drawing/2014/main" id="{00000000-0008-0000-0000-000007000000}"/>
            </a:ext>
          </a:extLst>
        </xdr:cNvPr>
        <xdr:cNvSpPr txBox="1"/>
      </xdr:nvSpPr>
      <xdr:spPr>
        <a:xfrm>
          <a:off x="0" y="38397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3170" name="TextBox 3169">
          <a:extLst>
            <a:ext uri="{FF2B5EF4-FFF2-40B4-BE49-F238E27FC236}">
              <a16:creationId xmlns:a16="http://schemas.microsoft.com/office/drawing/2014/main" id="{00000000-0008-0000-0000-000007000000}"/>
            </a:ext>
          </a:extLst>
        </xdr:cNvPr>
        <xdr:cNvSpPr txBox="1"/>
      </xdr:nvSpPr>
      <xdr:spPr>
        <a:xfrm>
          <a:off x="0" y="38397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3171" name="TextBox 3170">
          <a:extLst>
            <a:ext uri="{FF2B5EF4-FFF2-40B4-BE49-F238E27FC236}">
              <a16:creationId xmlns:a16="http://schemas.microsoft.com/office/drawing/2014/main" id="{00000000-0008-0000-0000-000007000000}"/>
            </a:ext>
          </a:extLst>
        </xdr:cNvPr>
        <xdr:cNvSpPr txBox="1"/>
      </xdr:nvSpPr>
      <xdr:spPr>
        <a:xfrm>
          <a:off x="0" y="38397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3172" name="TextBox 3171">
          <a:extLst>
            <a:ext uri="{FF2B5EF4-FFF2-40B4-BE49-F238E27FC236}">
              <a16:creationId xmlns:a16="http://schemas.microsoft.com/office/drawing/2014/main" id="{00000000-0008-0000-0000-000007000000}"/>
            </a:ext>
          </a:extLst>
        </xdr:cNvPr>
        <xdr:cNvSpPr txBox="1"/>
      </xdr:nvSpPr>
      <xdr:spPr>
        <a:xfrm>
          <a:off x="0" y="38397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3173" name="TextBox 3172">
          <a:extLst>
            <a:ext uri="{FF2B5EF4-FFF2-40B4-BE49-F238E27FC236}">
              <a16:creationId xmlns:a16="http://schemas.microsoft.com/office/drawing/2014/main" id="{00000000-0008-0000-0000-000007000000}"/>
            </a:ext>
          </a:extLst>
        </xdr:cNvPr>
        <xdr:cNvSpPr txBox="1"/>
      </xdr:nvSpPr>
      <xdr:spPr>
        <a:xfrm>
          <a:off x="0" y="38397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3174" name="TextBox 3173">
          <a:extLst>
            <a:ext uri="{FF2B5EF4-FFF2-40B4-BE49-F238E27FC236}">
              <a16:creationId xmlns:a16="http://schemas.microsoft.com/office/drawing/2014/main" id="{00000000-0008-0000-0000-000007000000}"/>
            </a:ext>
          </a:extLst>
        </xdr:cNvPr>
        <xdr:cNvSpPr txBox="1"/>
      </xdr:nvSpPr>
      <xdr:spPr>
        <a:xfrm>
          <a:off x="0" y="38397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3175" name="TextBox 3174">
          <a:extLst>
            <a:ext uri="{FF2B5EF4-FFF2-40B4-BE49-F238E27FC236}">
              <a16:creationId xmlns:a16="http://schemas.microsoft.com/office/drawing/2014/main" id="{00000000-0008-0000-0000-000007000000}"/>
            </a:ext>
          </a:extLst>
        </xdr:cNvPr>
        <xdr:cNvSpPr txBox="1"/>
      </xdr:nvSpPr>
      <xdr:spPr>
        <a:xfrm>
          <a:off x="0" y="38397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3176" name="TextBox 3175">
          <a:extLst>
            <a:ext uri="{FF2B5EF4-FFF2-40B4-BE49-F238E27FC236}">
              <a16:creationId xmlns:a16="http://schemas.microsoft.com/office/drawing/2014/main" id="{00000000-0008-0000-0000-000007000000}"/>
            </a:ext>
          </a:extLst>
        </xdr:cNvPr>
        <xdr:cNvSpPr txBox="1"/>
      </xdr:nvSpPr>
      <xdr:spPr>
        <a:xfrm>
          <a:off x="0" y="38397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3177" name="TextBox 3176">
          <a:extLst>
            <a:ext uri="{FF2B5EF4-FFF2-40B4-BE49-F238E27FC236}">
              <a16:creationId xmlns:a16="http://schemas.microsoft.com/office/drawing/2014/main" id="{00000000-0008-0000-0000-000007000000}"/>
            </a:ext>
          </a:extLst>
        </xdr:cNvPr>
        <xdr:cNvSpPr txBox="1"/>
      </xdr:nvSpPr>
      <xdr:spPr>
        <a:xfrm>
          <a:off x="0" y="38397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3178" name="TextBox 3177">
          <a:extLst>
            <a:ext uri="{FF2B5EF4-FFF2-40B4-BE49-F238E27FC236}">
              <a16:creationId xmlns:a16="http://schemas.microsoft.com/office/drawing/2014/main" id="{00000000-0008-0000-0000-000007000000}"/>
            </a:ext>
          </a:extLst>
        </xdr:cNvPr>
        <xdr:cNvSpPr txBox="1"/>
      </xdr:nvSpPr>
      <xdr:spPr>
        <a:xfrm>
          <a:off x="0" y="38397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3179" name="TextBox 3178">
          <a:extLst>
            <a:ext uri="{FF2B5EF4-FFF2-40B4-BE49-F238E27FC236}">
              <a16:creationId xmlns:a16="http://schemas.microsoft.com/office/drawing/2014/main" id="{00000000-0008-0000-0000-000007000000}"/>
            </a:ext>
          </a:extLst>
        </xdr:cNvPr>
        <xdr:cNvSpPr txBox="1"/>
      </xdr:nvSpPr>
      <xdr:spPr>
        <a:xfrm>
          <a:off x="0" y="38397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3180" name="TextBox 3179">
          <a:extLst>
            <a:ext uri="{FF2B5EF4-FFF2-40B4-BE49-F238E27FC236}">
              <a16:creationId xmlns:a16="http://schemas.microsoft.com/office/drawing/2014/main" id="{00000000-0008-0000-0000-000007000000}"/>
            </a:ext>
          </a:extLst>
        </xdr:cNvPr>
        <xdr:cNvSpPr txBox="1"/>
      </xdr:nvSpPr>
      <xdr:spPr>
        <a:xfrm>
          <a:off x="0" y="38397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3181" name="TextBox 3180">
          <a:extLst>
            <a:ext uri="{FF2B5EF4-FFF2-40B4-BE49-F238E27FC236}">
              <a16:creationId xmlns:a16="http://schemas.microsoft.com/office/drawing/2014/main" id="{00000000-0008-0000-0000-000007000000}"/>
            </a:ext>
          </a:extLst>
        </xdr:cNvPr>
        <xdr:cNvSpPr txBox="1"/>
      </xdr:nvSpPr>
      <xdr:spPr>
        <a:xfrm>
          <a:off x="0" y="38397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3182" name="TextBox 3181">
          <a:extLst>
            <a:ext uri="{FF2B5EF4-FFF2-40B4-BE49-F238E27FC236}">
              <a16:creationId xmlns:a16="http://schemas.microsoft.com/office/drawing/2014/main" id="{00000000-0008-0000-0000-000007000000}"/>
            </a:ext>
          </a:extLst>
        </xdr:cNvPr>
        <xdr:cNvSpPr txBox="1"/>
      </xdr:nvSpPr>
      <xdr:spPr>
        <a:xfrm>
          <a:off x="0" y="38397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3183" name="TextBox 3182">
          <a:extLst>
            <a:ext uri="{FF2B5EF4-FFF2-40B4-BE49-F238E27FC236}">
              <a16:creationId xmlns:a16="http://schemas.microsoft.com/office/drawing/2014/main" id="{00000000-0008-0000-0000-000007000000}"/>
            </a:ext>
          </a:extLst>
        </xdr:cNvPr>
        <xdr:cNvSpPr txBox="1"/>
      </xdr:nvSpPr>
      <xdr:spPr>
        <a:xfrm>
          <a:off x="0" y="38397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3184" name="TextBox 3183">
          <a:extLst>
            <a:ext uri="{FF2B5EF4-FFF2-40B4-BE49-F238E27FC236}">
              <a16:creationId xmlns:a16="http://schemas.microsoft.com/office/drawing/2014/main" id="{00000000-0008-0000-0000-000007000000}"/>
            </a:ext>
          </a:extLst>
        </xdr:cNvPr>
        <xdr:cNvSpPr txBox="1"/>
      </xdr:nvSpPr>
      <xdr:spPr>
        <a:xfrm>
          <a:off x="0" y="38397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3185" name="TextBox 3184">
          <a:extLst>
            <a:ext uri="{FF2B5EF4-FFF2-40B4-BE49-F238E27FC236}">
              <a16:creationId xmlns:a16="http://schemas.microsoft.com/office/drawing/2014/main" id="{00000000-0008-0000-0000-000007000000}"/>
            </a:ext>
          </a:extLst>
        </xdr:cNvPr>
        <xdr:cNvSpPr txBox="1"/>
      </xdr:nvSpPr>
      <xdr:spPr>
        <a:xfrm>
          <a:off x="0" y="38397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3186" name="TextBox 3185">
          <a:extLst>
            <a:ext uri="{FF2B5EF4-FFF2-40B4-BE49-F238E27FC236}">
              <a16:creationId xmlns:a16="http://schemas.microsoft.com/office/drawing/2014/main" id="{00000000-0008-0000-0000-000007000000}"/>
            </a:ext>
          </a:extLst>
        </xdr:cNvPr>
        <xdr:cNvSpPr txBox="1"/>
      </xdr:nvSpPr>
      <xdr:spPr>
        <a:xfrm>
          <a:off x="0" y="38397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3187" name="TextBox 3186">
          <a:extLst>
            <a:ext uri="{FF2B5EF4-FFF2-40B4-BE49-F238E27FC236}">
              <a16:creationId xmlns:a16="http://schemas.microsoft.com/office/drawing/2014/main" id="{00000000-0008-0000-0000-000007000000}"/>
            </a:ext>
          </a:extLst>
        </xdr:cNvPr>
        <xdr:cNvSpPr txBox="1"/>
      </xdr:nvSpPr>
      <xdr:spPr>
        <a:xfrm>
          <a:off x="0" y="38397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3188" name="TextBox 3187">
          <a:extLst>
            <a:ext uri="{FF2B5EF4-FFF2-40B4-BE49-F238E27FC236}">
              <a16:creationId xmlns:a16="http://schemas.microsoft.com/office/drawing/2014/main" id="{00000000-0008-0000-0000-000007000000}"/>
            </a:ext>
          </a:extLst>
        </xdr:cNvPr>
        <xdr:cNvSpPr txBox="1"/>
      </xdr:nvSpPr>
      <xdr:spPr>
        <a:xfrm>
          <a:off x="0" y="38397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3189" name="TextBox 3188">
          <a:extLst>
            <a:ext uri="{FF2B5EF4-FFF2-40B4-BE49-F238E27FC236}">
              <a16:creationId xmlns:a16="http://schemas.microsoft.com/office/drawing/2014/main" id="{00000000-0008-0000-0000-000007000000}"/>
            </a:ext>
          </a:extLst>
        </xdr:cNvPr>
        <xdr:cNvSpPr txBox="1"/>
      </xdr:nvSpPr>
      <xdr:spPr>
        <a:xfrm>
          <a:off x="0" y="38397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3190" name="TextBox 3189">
          <a:extLst>
            <a:ext uri="{FF2B5EF4-FFF2-40B4-BE49-F238E27FC236}">
              <a16:creationId xmlns:a16="http://schemas.microsoft.com/office/drawing/2014/main" id="{00000000-0008-0000-0000-000007000000}"/>
            </a:ext>
          </a:extLst>
        </xdr:cNvPr>
        <xdr:cNvSpPr txBox="1"/>
      </xdr:nvSpPr>
      <xdr:spPr>
        <a:xfrm>
          <a:off x="0" y="38397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3191" name="TextBox 3190">
          <a:extLst>
            <a:ext uri="{FF2B5EF4-FFF2-40B4-BE49-F238E27FC236}">
              <a16:creationId xmlns:a16="http://schemas.microsoft.com/office/drawing/2014/main" id="{00000000-0008-0000-0000-000007000000}"/>
            </a:ext>
          </a:extLst>
        </xdr:cNvPr>
        <xdr:cNvSpPr txBox="1"/>
      </xdr:nvSpPr>
      <xdr:spPr>
        <a:xfrm>
          <a:off x="0" y="38397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3192" name="TextBox 3191">
          <a:extLst>
            <a:ext uri="{FF2B5EF4-FFF2-40B4-BE49-F238E27FC236}">
              <a16:creationId xmlns:a16="http://schemas.microsoft.com/office/drawing/2014/main" id="{00000000-0008-0000-0000-000007000000}"/>
            </a:ext>
          </a:extLst>
        </xdr:cNvPr>
        <xdr:cNvSpPr txBox="1"/>
      </xdr:nvSpPr>
      <xdr:spPr>
        <a:xfrm>
          <a:off x="0" y="38397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3193" name="TextBox 3192">
          <a:extLst>
            <a:ext uri="{FF2B5EF4-FFF2-40B4-BE49-F238E27FC236}">
              <a16:creationId xmlns:a16="http://schemas.microsoft.com/office/drawing/2014/main" id="{00000000-0008-0000-0000-000007000000}"/>
            </a:ext>
          </a:extLst>
        </xdr:cNvPr>
        <xdr:cNvSpPr txBox="1"/>
      </xdr:nvSpPr>
      <xdr:spPr>
        <a:xfrm>
          <a:off x="0" y="38397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3194" name="TextBox 3193">
          <a:extLst>
            <a:ext uri="{FF2B5EF4-FFF2-40B4-BE49-F238E27FC236}">
              <a16:creationId xmlns:a16="http://schemas.microsoft.com/office/drawing/2014/main" id="{00000000-0008-0000-0000-000007000000}"/>
            </a:ext>
          </a:extLst>
        </xdr:cNvPr>
        <xdr:cNvSpPr txBox="1"/>
      </xdr:nvSpPr>
      <xdr:spPr>
        <a:xfrm>
          <a:off x="0" y="38397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3195" name="TextBox 3194">
          <a:extLst>
            <a:ext uri="{FF2B5EF4-FFF2-40B4-BE49-F238E27FC236}">
              <a16:creationId xmlns:a16="http://schemas.microsoft.com/office/drawing/2014/main" id="{00000000-0008-0000-0000-000007000000}"/>
            </a:ext>
          </a:extLst>
        </xdr:cNvPr>
        <xdr:cNvSpPr txBox="1"/>
      </xdr:nvSpPr>
      <xdr:spPr>
        <a:xfrm>
          <a:off x="0" y="38397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3196" name="TextBox 3195">
          <a:extLst>
            <a:ext uri="{FF2B5EF4-FFF2-40B4-BE49-F238E27FC236}">
              <a16:creationId xmlns:a16="http://schemas.microsoft.com/office/drawing/2014/main" id="{00000000-0008-0000-0000-000007000000}"/>
            </a:ext>
          </a:extLst>
        </xdr:cNvPr>
        <xdr:cNvSpPr txBox="1"/>
      </xdr:nvSpPr>
      <xdr:spPr>
        <a:xfrm>
          <a:off x="0" y="38397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3197" name="TextBox 3196">
          <a:extLst>
            <a:ext uri="{FF2B5EF4-FFF2-40B4-BE49-F238E27FC236}">
              <a16:creationId xmlns:a16="http://schemas.microsoft.com/office/drawing/2014/main" id="{00000000-0008-0000-0000-000007000000}"/>
            </a:ext>
          </a:extLst>
        </xdr:cNvPr>
        <xdr:cNvSpPr txBox="1"/>
      </xdr:nvSpPr>
      <xdr:spPr>
        <a:xfrm>
          <a:off x="0" y="38397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3198" name="TextBox 3197">
          <a:extLst>
            <a:ext uri="{FF2B5EF4-FFF2-40B4-BE49-F238E27FC236}">
              <a16:creationId xmlns:a16="http://schemas.microsoft.com/office/drawing/2014/main" id="{00000000-0008-0000-0000-000007000000}"/>
            </a:ext>
          </a:extLst>
        </xdr:cNvPr>
        <xdr:cNvSpPr txBox="1"/>
      </xdr:nvSpPr>
      <xdr:spPr>
        <a:xfrm>
          <a:off x="0" y="38397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3199" name="TextBox 3198">
          <a:extLst>
            <a:ext uri="{FF2B5EF4-FFF2-40B4-BE49-F238E27FC236}">
              <a16:creationId xmlns:a16="http://schemas.microsoft.com/office/drawing/2014/main" id="{00000000-0008-0000-0000-000007000000}"/>
            </a:ext>
          </a:extLst>
        </xdr:cNvPr>
        <xdr:cNvSpPr txBox="1"/>
      </xdr:nvSpPr>
      <xdr:spPr>
        <a:xfrm>
          <a:off x="0" y="38397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3200" name="TextBox 3199">
          <a:extLst>
            <a:ext uri="{FF2B5EF4-FFF2-40B4-BE49-F238E27FC236}">
              <a16:creationId xmlns:a16="http://schemas.microsoft.com/office/drawing/2014/main" id="{00000000-0008-0000-0000-000007000000}"/>
            </a:ext>
          </a:extLst>
        </xdr:cNvPr>
        <xdr:cNvSpPr txBox="1"/>
      </xdr:nvSpPr>
      <xdr:spPr>
        <a:xfrm>
          <a:off x="0" y="38397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3201" name="TextBox 3200">
          <a:extLst>
            <a:ext uri="{FF2B5EF4-FFF2-40B4-BE49-F238E27FC236}">
              <a16:creationId xmlns:a16="http://schemas.microsoft.com/office/drawing/2014/main" id="{00000000-0008-0000-0000-000007000000}"/>
            </a:ext>
          </a:extLst>
        </xdr:cNvPr>
        <xdr:cNvSpPr txBox="1"/>
      </xdr:nvSpPr>
      <xdr:spPr>
        <a:xfrm>
          <a:off x="0" y="38397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3202" name="TextBox 3201">
          <a:extLst>
            <a:ext uri="{FF2B5EF4-FFF2-40B4-BE49-F238E27FC236}">
              <a16:creationId xmlns:a16="http://schemas.microsoft.com/office/drawing/2014/main" id="{00000000-0008-0000-0000-000007000000}"/>
            </a:ext>
          </a:extLst>
        </xdr:cNvPr>
        <xdr:cNvSpPr txBox="1"/>
      </xdr:nvSpPr>
      <xdr:spPr>
        <a:xfrm>
          <a:off x="0" y="38397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3203" name="TextBox 3202">
          <a:extLst>
            <a:ext uri="{FF2B5EF4-FFF2-40B4-BE49-F238E27FC236}">
              <a16:creationId xmlns:a16="http://schemas.microsoft.com/office/drawing/2014/main" id="{00000000-0008-0000-0000-000007000000}"/>
            </a:ext>
          </a:extLst>
        </xdr:cNvPr>
        <xdr:cNvSpPr txBox="1"/>
      </xdr:nvSpPr>
      <xdr:spPr>
        <a:xfrm>
          <a:off x="0" y="38397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3204" name="TextBox 3203">
          <a:extLst>
            <a:ext uri="{FF2B5EF4-FFF2-40B4-BE49-F238E27FC236}">
              <a16:creationId xmlns:a16="http://schemas.microsoft.com/office/drawing/2014/main" id="{00000000-0008-0000-0000-000007000000}"/>
            </a:ext>
          </a:extLst>
        </xdr:cNvPr>
        <xdr:cNvSpPr txBox="1"/>
      </xdr:nvSpPr>
      <xdr:spPr>
        <a:xfrm>
          <a:off x="0" y="38397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3205" name="TextBox 3204">
          <a:extLst>
            <a:ext uri="{FF2B5EF4-FFF2-40B4-BE49-F238E27FC236}">
              <a16:creationId xmlns:a16="http://schemas.microsoft.com/office/drawing/2014/main" id="{00000000-0008-0000-0000-000007000000}"/>
            </a:ext>
          </a:extLst>
        </xdr:cNvPr>
        <xdr:cNvSpPr txBox="1"/>
      </xdr:nvSpPr>
      <xdr:spPr>
        <a:xfrm>
          <a:off x="0" y="38397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3206" name="TextBox 3205">
          <a:extLst>
            <a:ext uri="{FF2B5EF4-FFF2-40B4-BE49-F238E27FC236}">
              <a16:creationId xmlns:a16="http://schemas.microsoft.com/office/drawing/2014/main" id="{00000000-0008-0000-0000-000007000000}"/>
            </a:ext>
          </a:extLst>
        </xdr:cNvPr>
        <xdr:cNvSpPr txBox="1"/>
      </xdr:nvSpPr>
      <xdr:spPr>
        <a:xfrm>
          <a:off x="0" y="38397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3207" name="TextBox 3206">
          <a:extLst>
            <a:ext uri="{FF2B5EF4-FFF2-40B4-BE49-F238E27FC236}">
              <a16:creationId xmlns:a16="http://schemas.microsoft.com/office/drawing/2014/main" id="{00000000-0008-0000-0000-000007000000}"/>
            </a:ext>
          </a:extLst>
        </xdr:cNvPr>
        <xdr:cNvSpPr txBox="1"/>
      </xdr:nvSpPr>
      <xdr:spPr>
        <a:xfrm>
          <a:off x="0" y="38397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3208" name="TextBox 3207">
          <a:extLst>
            <a:ext uri="{FF2B5EF4-FFF2-40B4-BE49-F238E27FC236}">
              <a16:creationId xmlns:a16="http://schemas.microsoft.com/office/drawing/2014/main" id="{00000000-0008-0000-0000-000007000000}"/>
            </a:ext>
          </a:extLst>
        </xdr:cNvPr>
        <xdr:cNvSpPr txBox="1"/>
      </xdr:nvSpPr>
      <xdr:spPr>
        <a:xfrm>
          <a:off x="0" y="38397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3209" name="TextBox 3208">
          <a:extLst>
            <a:ext uri="{FF2B5EF4-FFF2-40B4-BE49-F238E27FC236}">
              <a16:creationId xmlns:a16="http://schemas.microsoft.com/office/drawing/2014/main" id="{00000000-0008-0000-0000-000007000000}"/>
            </a:ext>
          </a:extLst>
        </xdr:cNvPr>
        <xdr:cNvSpPr txBox="1"/>
      </xdr:nvSpPr>
      <xdr:spPr>
        <a:xfrm>
          <a:off x="0" y="38397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3210" name="TextBox 3209">
          <a:extLst>
            <a:ext uri="{FF2B5EF4-FFF2-40B4-BE49-F238E27FC236}">
              <a16:creationId xmlns:a16="http://schemas.microsoft.com/office/drawing/2014/main" id="{00000000-0008-0000-0000-000007000000}"/>
            </a:ext>
          </a:extLst>
        </xdr:cNvPr>
        <xdr:cNvSpPr txBox="1"/>
      </xdr:nvSpPr>
      <xdr:spPr>
        <a:xfrm>
          <a:off x="0" y="38397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3211" name="TextBox 3210">
          <a:extLst>
            <a:ext uri="{FF2B5EF4-FFF2-40B4-BE49-F238E27FC236}">
              <a16:creationId xmlns:a16="http://schemas.microsoft.com/office/drawing/2014/main" id="{00000000-0008-0000-0000-000007000000}"/>
            </a:ext>
          </a:extLst>
        </xdr:cNvPr>
        <xdr:cNvSpPr txBox="1"/>
      </xdr:nvSpPr>
      <xdr:spPr>
        <a:xfrm>
          <a:off x="0" y="38397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3212" name="TextBox 3211">
          <a:extLst>
            <a:ext uri="{FF2B5EF4-FFF2-40B4-BE49-F238E27FC236}">
              <a16:creationId xmlns:a16="http://schemas.microsoft.com/office/drawing/2014/main" id="{00000000-0008-0000-0000-000007000000}"/>
            </a:ext>
          </a:extLst>
        </xdr:cNvPr>
        <xdr:cNvSpPr txBox="1"/>
      </xdr:nvSpPr>
      <xdr:spPr>
        <a:xfrm>
          <a:off x="0" y="38595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3213" name="TextBox 3212">
          <a:extLst>
            <a:ext uri="{FF2B5EF4-FFF2-40B4-BE49-F238E27FC236}">
              <a16:creationId xmlns:a16="http://schemas.microsoft.com/office/drawing/2014/main" id="{00000000-0008-0000-0000-000007000000}"/>
            </a:ext>
          </a:extLst>
        </xdr:cNvPr>
        <xdr:cNvSpPr txBox="1"/>
      </xdr:nvSpPr>
      <xdr:spPr>
        <a:xfrm>
          <a:off x="0" y="38595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3214" name="TextBox 3213">
          <a:extLst>
            <a:ext uri="{FF2B5EF4-FFF2-40B4-BE49-F238E27FC236}">
              <a16:creationId xmlns:a16="http://schemas.microsoft.com/office/drawing/2014/main" id="{00000000-0008-0000-0000-000007000000}"/>
            </a:ext>
          </a:extLst>
        </xdr:cNvPr>
        <xdr:cNvSpPr txBox="1"/>
      </xdr:nvSpPr>
      <xdr:spPr>
        <a:xfrm>
          <a:off x="0" y="38595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3215" name="TextBox 3214">
          <a:extLst>
            <a:ext uri="{FF2B5EF4-FFF2-40B4-BE49-F238E27FC236}">
              <a16:creationId xmlns:a16="http://schemas.microsoft.com/office/drawing/2014/main" id="{00000000-0008-0000-0000-000007000000}"/>
            </a:ext>
          </a:extLst>
        </xdr:cNvPr>
        <xdr:cNvSpPr txBox="1"/>
      </xdr:nvSpPr>
      <xdr:spPr>
        <a:xfrm>
          <a:off x="0" y="38595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3216" name="TextBox 3215">
          <a:extLst>
            <a:ext uri="{FF2B5EF4-FFF2-40B4-BE49-F238E27FC236}">
              <a16:creationId xmlns:a16="http://schemas.microsoft.com/office/drawing/2014/main" id="{00000000-0008-0000-0000-000007000000}"/>
            </a:ext>
          </a:extLst>
        </xdr:cNvPr>
        <xdr:cNvSpPr txBox="1"/>
      </xdr:nvSpPr>
      <xdr:spPr>
        <a:xfrm>
          <a:off x="0" y="38595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3217" name="TextBox 3216">
          <a:extLst>
            <a:ext uri="{FF2B5EF4-FFF2-40B4-BE49-F238E27FC236}">
              <a16:creationId xmlns:a16="http://schemas.microsoft.com/office/drawing/2014/main" id="{00000000-0008-0000-0000-000007000000}"/>
            </a:ext>
          </a:extLst>
        </xdr:cNvPr>
        <xdr:cNvSpPr txBox="1"/>
      </xdr:nvSpPr>
      <xdr:spPr>
        <a:xfrm>
          <a:off x="0" y="38595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3218" name="TextBox 3217">
          <a:extLst>
            <a:ext uri="{FF2B5EF4-FFF2-40B4-BE49-F238E27FC236}">
              <a16:creationId xmlns:a16="http://schemas.microsoft.com/office/drawing/2014/main" id="{00000000-0008-0000-0000-000007000000}"/>
            </a:ext>
          </a:extLst>
        </xdr:cNvPr>
        <xdr:cNvSpPr txBox="1"/>
      </xdr:nvSpPr>
      <xdr:spPr>
        <a:xfrm>
          <a:off x="0" y="38595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3219" name="TextBox 3218">
          <a:extLst>
            <a:ext uri="{FF2B5EF4-FFF2-40B4-BE49-F238E27FC236}">
              <a16:creationId xmlns:a16="http://schemas.microsoft.com/office/drawing/2014/main" id="{00000000-0008-0000-0000-000007000000}"/>
            </a:ext>
          </a:extLst>
        </xdr:cNvPr>
        <xdr:cNvSpPr txBox="1"/>
      </xdr:nvSpPr>
      <xdr:spPr>
        <a:xfrm>
          <a:off x="0" y="38595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3220" name="TextBox 3219">
          <a:extLst>
            <a:ext uri="{FF2B5EF4-FFF2-40B4-BE49-F238E27FC236}">
              <a16:creationId xmlns:a16="http://schemas.microsoft.com/office/drawing/2014/main" id="{00000000-0008-0000-0000-000007000000}"/>
            </a:ext>
          </a:extLst>
        </xdr:cNvPr>
        <xdr:cNvSpPr txBox="1"/>
      </xdr:nvSpPr>
      <xdr:spPr>
        <a:xfrm>
          <a:off x="0" y="38595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3221" name="TextBox 3220">
          <a:extLst>
            <a:ext uri="{FF2B5EF4-FFF2-40B4-BE49-F238E27FC236}">
              <a16:creationId xmlns:a16="http://schemas.microsoft.com/office/drawing/2014/main" id="{00000000-0008-0000-0000-000007000000}"/>
            </a:ext>
          </a:extLst>
        </xdr:cNvPr>
        <xdr:cNvSpPr txBox="1"/>
      </xdr:nvSpPr>
      <xdr:spPr>
        <a:xfrm>
          <a:off x="0" y="38595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3222" name="TextBox 3221">
          <a:extLst>
            <a:ext uri="{FF2B5EF4-FFF2-40B4-BE49-F238E27FC236}">
              <a16:creationId xmlns:a16="http://schemas.microsoft.com/office/drawing/2014/main" id="{00000000-0008-0000-0000-000007000000}"/>
            </a:ext>
          </a:extLst>
        </xdr:cNvPr>
        <xdr:cNvSpPr txBox="1"/>
      </xdr:nvSpPr>
      <xdr:spPr>
        <a:xfrm>
          <a:off x="0" y="38595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3223" name="TextBox 3222">
          <a:extLst>
            <a:ext uri="{FF2B5EF4-FFF2-40B4-BE49-F238E27FC236}">
              <a16:creationId xmlns:a16="http://schemas.microsoft.com/office/drawing/2014/main" id="{00000000-0008-0000-0000-000007000000}"/>
            </a:ext>
          </a:extLst>
        </xdr:cNvPr>
        <xdr:cNvSpPr txBox="1"/>
      </xdr:nvSpPr>
      <xdr:spPr>
        <a:xfrm>
          <a:off x="0" y="38595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3224" name="TextBox 3223">
          <a:extLst>
            <a:ext uri="{FF2B5EF4-FFF2-40B4-BE49-F238E27FC236}">
              <a16:creationId xmlns:a16="http://schemas.microsoft.com/office/drawing/2014/main" id="{00000000-0008-0000-0000-000007000000}"/>
            </a:ext>
          </a:extLst>
        </xdr:cNvPr>
        <xdr:cNvSpPr txBox="1"/>
      </xdr:nvSpPr>
      <xdr:spPr>
        <a:xfrm>
          <a:off x="0" y="38595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3225" name="TextBox 3224">
          <a:extLst>
            <a:ext uri="{FF2B5EF4-FFF2-40B4-BE49-F238E27FC236}">
              <a16:creationId xmlns:a16="http://schemas.microsoft.com/office/drawing/2014/main" id="{00000000-0008-0000-0000-000007000000}"/>
            </a:ext>
          </a:extLst>
        </xdr:cNvPr>
        <xdr:cNvSpPr txBox="1"/>
      </xdr:nvSpPr>
      <xdr:spPr>
        <a:xfrm>
          <a:off x="0" y="38595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3226" name="TextBox 3225">
          <a:extLst>
            <a:ext uri="{FF2B5EF4-FFF2-40B4-BE49-F238E27FC236}">
              <a16:creationId xmlns:a16="http://schemas.microsoft.com/office/drawing/2014/main" id="{00000000-0008-0000-0000-000007000000}"/>
            </a:ext>
          </a:extLst>
        </xdr:cNvPr>
        <xdr:cNvSpPr txBox="1"/>
      </xdr:nvSpPr>
      <xdr:spPr>
        <a:xfrm>
          <a:off x="0" y="38595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3227" name="TextBox 3226">
          <a:extLst>
            <a:ext uri="{FF2B5EF4-FFF2-40B4-BE49-F238E27FC236}">
              <a16:creationId xmlns:a16="http://schemas.microsoft.com/office/drawing/2014/main" id="{00000000-0008-0000-0000-000007000000}"/>
            </a:ext>
          </a:extLst>
        </xdr:cNvPr>
        <xdr:cNvSpPr txBox="1"/>
      </xdr:nvSpPr>
      <xdr:spPr>
        <a:xfrm>
          <a:off x="0" y="38595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3228" name="TextBox 3227">
          <a:extLst>
            <a:ext uri="{FF2B5EF4-FFF2-40B4-BE49-F238E27FC236}">
              <a16:creationId xmlns:a16="http://schemas.microsoft.com/office/drawing/2014/main" id="{00000000-0008-0000-0000-000007000000}"/>
            </a:ext>
          </a:extLst>
        </xdr:cNvPr>
        <xdr:cNvSpPr txBox="1"/>
      </xdr:nvSpPr>
      <xdr:spPr>
        <a:xfrm>
          <a:off x="0" y="38595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3229" name="TextBox 3228">
          <a:extLst>
            <a:ext uri="{FF2B5EF4-FFF2-40B4-BE49-F238E27FC236}">
              <a16:creationId xmlns:a16="http://schemas.microsoft.com/office/drawing/2014/main" id="{00000000-0008-0000-0000-000007000000}"/>
            </a:ext>
          </a:extLst>
        </xdr:cNvPr>
        <xdr:cNvSpPr txBox="1"/>
      </xdr:nvSpPr>
      <xdr:spPr>
        <a:xfrm>
          <a:off x="0" y="38595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3230" name="TextBox 3229">
          <a:extLst>
            <a:ext uri="{FF2B5EF4-FFF2-40B4-BE49-F238E27FC236}">
              <a16:creationId xmlns:a16="http://schemas.microsoft.com/office/drawing/2014/main" id="{00000000-0008-0000-0000-000007000000}"/>
            </a:ext>
          </a:extLst>
        </xdr:cNvPr>
        <xdr:cNvSpPr txBox="1"/>
      </xdr:nvSpPr>
      <xdr:spPr>
        <a:xfrm>
          <a:off x="0" y="38595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3231" name="TextBox 3230">
          <a:extLst>
            <a:ext uri="{FF2B5EF4-FFF2-40B4-BE49-F238E27FC236}">
              <a16:creationId xmlns:a16="http://schemas.microsoft.com/office/drawing/2014/main" id="{00000000-0008-0000-0000-000007000000}"/>
            </a:ext>
          </a:extLst>
        </xdr:cNvPr>
        <xdr:cNvSpPr txBox="1"/>
      </xdr:nvSpPr>
      <xdr:spPr>
        <a:xfrm>
          <a:off x="0" y="38595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3232" name="TextBox 3231">
          <a:extLst>
            <a:ext uri="{FF2B5EF4-FFF2-40B4-BE49-F238E27FC236}">
              <a16:creationId xmlns:a16="http://schemas.microsoft.com/office/drawing/2014/main" id="{00000000-0008-0000-0000-000007000000}"/>
            </a:ext>
          </a:extLst>
        </xdr:cNvPr>
        <xdr:cNvSpPr txBox="1"/>
      </xdr:nvSpPr>
      <xdr:spPr>
        <a:xfrm>
          <a:off x="0" y="38595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3233" name="TextBox 3232">
          <a:extLst>
            <a:ext uri="{FF2B5EF4-FFF2-40B4-BE49-F238E27FC236}">
              <a16:creationId xmlns:a16="http://schemas.microsoft.com/office/drawing/2014/main" id="{00000000-0008-0000-0000-000007000000}"/>
            </a:ext>
          </a:extLst>
        </xdr:cNvPr>
        <xdr:cNvSpPr txBox="1"/>
      </xdr:nvSpPr>
      <xdr:spPr>
        <a:xfrm>
          <a:off x="0" y="38595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3234" name="TextBox 3233">
          <a:extLst>
            <a:ext uri="{FF2B5EF4-FFF2-40B4-BE49-F238E27FC236}">
              <a16:creationId xmlns:a16="http://schemas.microsoft.com/office/drawing/2014/main" id="{00000000-0008-0000-0000-000007000000}"/>
            </a:ext>
          </a:extLst>
        </xdr:cNvPr>
        <xdr:cNvSpPr txBox="1"/>
      </xdr:nvSpPr>
      <xdr:spPr>
        <a:xfrm>
          <a:off x="0" y="38595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3235" name="TextBox 3234">
          <a:extLst>
            <a:ext uri="{FF2B5EF4-FFF2-40B4-BE49-F238E27FC236}">
              <a16:creationId xmlns:a16="http://schemas.microsoft.com/office/drawing/2014/main" id="{00000000-0008-0000-0000-000007000000}"/>
            </a:ext>
          </a:extLst>
        </xdr:cNvPr>
        <xdr:cNvSpPr txBox="1"/>
      </xdr:nvSpPr>
      <xdr:spPr>
        <a:xfrm>
          <a:off x="0" y="38595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3236" name="TextBox 3235">
          <a:extLst>
            <a:ext uri="{FF2B5EF4-FFF2-40B4-BE49-F238E27FC236}">
              <a16:creationId xmlns:a16="http://schemas.microsoft.com/office/drawing/2014/main" id="{00000000-0008-0000-0000-000007000000}"/>
            </a:ext>
          </a:extLst>
        </xdr:cNvPr>
        <xdr:cNvSpPr txBox="1"/>
      </xdr:nvSpPr>
      <xdr:spPr>
        <a:xfrm>
          <a:off x="0" y="38595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3237" name="TextBox 3236">
          <a:extLst>
            <a:ext uri="{FF2B5EF4-FFF2-40B4-BE49-F238E27FC236}">
              <a16:creationId xmlns:a16="http://schemas.microsoft.com/office/drawing/2014/main" id="{00000000-0008-0000-0000-000007000000}"/>
            </a:ext>
          </a:extLst>
        </xdr:cNvPr>
        <xdr:cNvSpPr txBox="1"/>
      </xdr:nvSpPr>
      <xdr:spPr>
        <a:xfrm>
          <a:off x="0" y="38595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3238" name="TextBox 3237">
          <a:extLst>
            <a:ext uri="{FF2B5EF4-FFF2-40B4-BE49-F238E27FC236}">
              <a16:creationId xmlns:a16="http://schemas.microsoft.com/office/drawing/2014/main" id="{00000000-0008-0000-0000-000007000000}"/>
            </a:ext>
          </a:extLst>
        </xdr:cNvPr>
        <xdr:cNvSpPr txBox="1"/>
      </xdr:nvSpPr>
      <xdr:spPr>
        <a:xfrm>
          <a:off x="0" y="38595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3239" name="TextBox 3238">
          <a:extLst>
            <a:ext uri="{FF2B5EF4-FFF2-40B4-BE49-F238E27FC236}">
              <a16:creationId xmlns:a16="http://schemas.microsoft.com/office/drawing/2014/main" id="{00000000-0008-0000-0000-000007000000}"/>
            </a:ext>
          </a:extLst>
        </xdr:cNvPr>
        <xdr:cNvSpPr txBox="1"/>
      </xdr:nvSpPr>
      <xdr:spPr>
        <a:xfrm>
          <a:off x="0" y="38595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3240" name="TextBox 3239">
          <a:extLst>
            <a:ext uri="{FF2B5EF4-FFF2-40B4-BE49-F238E27FC236}">
              <a16:creationId xmlns:a16="http://schemas.microsoft.com/office/drawing/2014/main" id="{00000000-0008-0000-0000-000007000000}"/>
            </a:ext>
          </a:extLst>
        </xdr:cNvPr>
        <xdr:cNvSpPr txBox="1"/>
      </xdr:nvSpPr>
      <xdr:spPr>
        <a:xfrm>
          <a:off x="0" y="38595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3241" name="TextBox 3240">
          <a:extLst>
            <a:ext uri="{FF2B5EF4-FFF2-40B4-BE49-F238E27FC236}">
              <a16:creationId xmlns:a16="http://schemas.microsoft.com/office/drawing/2014/main" id="{00000000-0008-0000-0000-000007000000}"/>
            </a:ext>
          </a:extLst>
        </xdr:cNvPr>
        <xdr:cNvSpPr txBox="1"/>
      </xdr:nvSpPr>
      <xdr:spPr>
        <a:xfrm>
          <a:off x="0" y="38595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3242" name="TextBox 3241">
          <a:extLst>
            <a:ext uri="{FF2B5EF4-FFF2-40B4-BE49-F238E27FC236}">
              <a16:creationId xmlns:a16="http://schemas.microsoft.com/office/drawing/2014/main" id="{00000000-0008-0000-0000-000007000000}"/>
            </a:ext>
          </a:extLst>
        </xdr:cNvPr>
        <xdr:cNvSpPr txBox="1"/>
      </xdr:nvSpPr>
      <xdr:spPr>
        <a:xfrm>
          <a:off x="0" y="38595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3243" name="TextBox 3242">
          <a:extLst>
            <a:ext uri="{FF2B5EF4-FFF2-40B4-BE49-F238E27FC236}">
              <a16:creationId xmlns:a16="http://schemas.microsoft.com/office/drawing/2014/main" id="{00000000-0008-0000-0000-000007000000}"/>
            </a:ext>
          </a:extLst>
        </xdr:cNvPr>
        <xdr:cNvSpPr txBox="1"/>
      </xdr:nvSpPr>
      <xdr:spPr>
        <a:xfrm>
          <a:off x="0" y="38595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3244" name="TextBox 3243">
          <a:extLst>
            <a:ext uri="{FF2B5EF4-FFF2-40B4-BE49-F238E27FC236}">
              <a16:creationId xmlns:a16="http://schemas.microsoft.com/office/drawing/2014/main" id="{00000000-0008-0000-0000-000007000000}"/>
            </a:ext>
          </a:extLst>
        </xdr:cNvPr>
        <xdr:cNvSpPr txBox="1"/>
      </xdr:nvSpPr>
      <xdr:spPr>
        <a:xfrm>
          <a:off x="0" y="38595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3245" name="TextBox 3244">
          <a:extLst>
            <a:ext uri="{FF2B5EF4-FFF2-40B4-BE49-F238E27FC236}">
              <a16:creationId xmlns:a16="http://schemas.microsoft.com/office/drawing/2014/main" id="{00000000-0008-0000-0000-000007000000}"/>
            </a:ext>
          </a:extLst>
        </xdr:cNvPr>
        <xdr:cNvSpPr txBox="1"/>
      </xdr:nvSpPr>
      <xdr:spPr>
        <a:xfrm>
          <a:off x="0" y="38595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3246" name="TextBox 3245">
          <a:extLst>
            <a:ext uri="{FF2B5EF4-FFF2-40B4-BE49-F238E27FC236}">
              <a16:creationId xmlns:a16="http://schemas.microsoft.com/office/drawing/2014/main" id="{00000000-0008-0000-0000-000007000000}"/>
            </a:ext>
          </a:extLst>
        </xdr:cNvPr>
        <xdr:cNvSpPr txBox="1"/>
      </xdr:nvSpPr>
      <xdr:spPr>
        <a:xfrm>
          <a:off x="0" y="38595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3247" name="TextBox 3246">
          <a:extLst>
            <a:ext uri="{FF2B5EF4-FFF2-40B4-BE49-F238E27FC236}">
              <a16:creationId xmlns:a16="http://schemas.microsoft.com/office/drawing/2014/main" id="{00000000-0008-0000-0000-000007000000}"/>
            </a:ext>
          </a:extLst>
        </xdr:cNvPr>
        <xdr:cNvSpPr txBox="1"/>
      </xdr:nvSpPr>
      <xdr:spPr>
        <a:xfrm>
          <a:off x="0" y="38595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3248" name="TextBox 3247">
          <a:extLst>
            <a:ext uri="{FF2B5EF4-FFF2-40B4-BE49-F238E27FC236}">
              <a16:creationId xmlns:a16="http://schemas.microsoft.com/office/drawing/2014/main" id="{00000000-0008-0000-0000-000007000000}"/>
            </a:ext>
          </a:extLst>
        </xdr:cNvPr>
        <xdr:cNvSpPr txBox="1"/>
      </xdr:nvSpPr>
      <xdr:spPr>
        <a:xfrm>
          <a:off x="0" y="38595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3249" name="TextBox 3248">
          <a:extLst>
            <a:ext uri="{FF2B5EF4-FFF2-40B4-BE49-F238E27FC236}">
              <a16:creationId xmlns:a16="http://schemas.microsoft.com/office/drawing/2014/main" id="{00000000-0008-0000-0000-000007000000}"/>
            </a:ext>
          </a:extLst>
        </xdr:cNvPr>
        <xdr:cNvSpPr txBox="1"/>
      </xdr:nvSpPr>
      <xdr:spPr>
        <a:xfrm>
          <a:off x="0" y="38595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3250" name="TextBox 3249">
          <a:extLst>
            <a:ext uri="{FF2B5EF4-FFF2-40B4-BE49-F238E27FC236}">
              <a16:creationId xmlns:a16="http://schemas.microsoft.com/office/drawing/2014/main" id="{00000000-0008-0000-0000-000007000000}"/>
            </a:ext>
          </a:extLst>
        </xdr:cNvPr>
        <xdr:cNvSpPr txBox="1"/>
      </xdr:nvSpPr>
      <xdr:spPr>
        <a:xfrm>
          <a:off x="0" y="38595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3251" name="TextBox 3250">
          <a:extLst>
            <a:ext uri="{FF2B5EF4-FFF2-40B4-BE49-F238E27FC236}">
              <a16:creationId xmlns:a16="http://schemas.microsoft.com/office/drawing/2014/main" id="{00000000-0008-0000-0000-000007000000}"/>
            </a:ext>
          </a:extLst>
        </xdr:cNvPr>
        <xdr:cNvSpPr txBox="1"/>
      </xdr:nvSpPr>
      <xdr:spPr>
        <a:xfrm>
          <a:off x="0" y="38595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3252" name="TextBox 3251">
          <a:extLst>
            <a:ext uri="{FF2B5EF4-FFF2-40B4-BE49-F238E27FC236}">
              <a16:creationId xmlns:a16="http://schemas.microsoft.com/office/drawing/2014/main" id="{00000000-0008-0000-0000-000007000000}"/>
            </a:ext>
          </a:extLst>
        </xdr:cNvPr>
        <xdr:cNvSpPr txBox="1"/>
      </xdr:nvSpPr>
      <xdr:spPr>
        <a:xfrm>
          <a:off x="0" y="38595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3253" name="TextBox 3252">
          <a:extLst>
            <a:ext uri="{FF2B5EF4-FFF2-40B4-BE49-F238E27FC236}">
              <a16:creationId xmlns:a16="http://schemas.microsoft.com/office/drawing/2014/main" id="{00000000-0008-0000-0000-000007000000}"/>
            </a:ext>
          </a:extLst>
        </xdr:cNvPr>
        <xdr:cNvSpPr txBox="1"/>
      </xdr:nvSpPr>
      <xdr:spPr>
        <a:xfrm>
          <a:off x="0" y="38595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3254" name="TextBox 3253">
          <a:extLst>
            <a:ext uri="{FF2B5EF4-FFF2-40B4-BE49-F238E27FC236}">
              <a16:creationId xmlns:a16="http://schemas.microsoft.com/office/drawing/2014/main" id="{00000000-0008-0000-0000-000007000000}"/>
            </a:ext>
          </a:extLst>
        </xdr:cNvPr>
        <xdr:cNvSpPr txBox="1"/>
      </xdr:nvSpPr>
      <xdr:spPr>
        <a:xfrm>
          <a:off x="0" y="38595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3255" name="TextBox 3254">
          <a:extLst>
            <a:ext uri="{FF2B5EF4-FFF2-40B4-BE49-F238E27FC236}">
              <a16:creationId xmlns:a16="http://schemas.microsoft.com/office/drawing/2014/main" id="{00000000-0008-0000-0000-000007000000}"/>
            </a:ext>
          </a:extLst>
        </xdr:cNvPr>
        <xdr:cNvSpPr txBox="1"/>
      </xdr:nvSpPr>
      <xdr:spPr>
        <a:xfrm>
          <a:off x="0" y="38595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3256" name="TextBox 3255">
          <a:extLst>
            <a:ext uri="{FF2B5EF4-FFF2-40B4-BE49-F238E27FC236}">
              <a16:creationId xmlns:a16="http://schemas.microsoft.com/office/drawing/2014/main" id="{00000000-0008-0000-0000-000007000000}"/>
            </a:ext>
          </a:extLst>
        </xdr:cNvPr>
        <xdr:cNvSpPr txBox="1"/>
      </xdr:nvSpPr>
      <xdr:spPr>
        <a:xfrm>
          <a:off x="0" y="38595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3257" name="TextBox 3256">
          <a:extLst>
            <a:ext uri="{FF2B5EF4-FFF2-40B4-BE49-F238E27FC236}">
              <a16:creationId xmlns:a16="http://schemas.microsoft.com/office/drawing/2014/main" id="{00000000-0008-0000-0000-000007000000}"/>
            </a:ext>
          </a:extLst>
        </xdr:cNvPr>
        <xdr:cNvSpPr txBox="1"/>
      </xdr:nvSpPr>
      <xdr:spPr>
        <a:xfrm>
          <a:off x="0" y="38595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3258" name="TextBox 3257">
          <a:extLst>
            <a:ext uri="{FF2B5EF4-FFF2-40B4-BE49-F238E27FC236}">
              <a16:creationId xmlns:a16="http://schemas.microsoft.com/office/drawing/2014/main" id="{00000000-0008-0000-0000-000007000000}"/>
            </a:ext>
          </a:extLst>
        </xdr:cNvPr>
        <xdr:cNvSpPr txBox="1"/>
      </xdr:nvSpPr>
      <xdr:spPr>
        <a:xfrm>
          <a:off x="0" y="38595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3259" name="TextBox 3258">
          <a:extLst>
            <a:ext uri="{FF2B5EF4-FFF2-40B4-BE49-F238E27FC236}">
              <a16:creationId xmlns:a16="http://schemas.microsoft.com/office/drawing/2014/main" id="{00000000-0008-0000-0000-000007000000}"/>
            </a:ext>
          </a:extLst>
        </xdr:cNvPr>
        <xdr:cNvSpPr txBox="1"/>
      </xdr:nvSpPr>
      <xdr:spPr>
        <a:xfrm>
          <a:off x="0" y="38595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3260" name="TextBox 3259">
          <a:extLst>
            <a:ext uri="{FF2B5EF4-FFF2-40B4-BE49-F238E27FC236}">
              <a16:creationId xmlns:a16="http://schemas.microsoft.com/office/drawing/2014/main" id="{00000000-0008-0000-0000-000007000000}"/>
            </a:ext>
          </a:extLst>
        </xdr:cNvPr>
        <xdr:cNvSpPr txBox="1"/>
      </xdr:nvSpPr>
      <xdr:spPr>
        <a:xfrm>
          <a:off x="0" y="38595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3261" name="TextBox 3260">
          <a:extLst>
            <a:ext uri="{FF2B5EF4-FFF2-40B4-BE49-F238E27FC236}">
              <a16:creationId xmlns:a16="http://schemas.microsoft.com/office/drawing/2014/main" id="{00000000-0008-0000-0000-000007000000}"/>
            </a:ext>
          </a:extLst>
        </xdr:cNvPr>
        <xdr:cNvSpPr txBox="1"/>
      </xdr:nvSpPr>
      <xdr:spPr>
        <a:xfrm>
          <a:off x="0" y="38595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3262" name="TextBox 3261">
          <a:extLst>
            <a:ext uri="{FF2B5EF4-FFF2-40B4-BE49-F238E27FC236}">
              <a16:creationId xmlns:a16="http://schemas.microsoft.com/office/drawing/2014/main" id="{00000000-0008-0000-0000-000007000000}"/>
            </a:ext>
          </a:extLst>
        </xdr:cNvPr>
        <xdr:cNvSpPr txBox="1"/>
      </xdr:nvSpPr>
      <xdr:spPr>
        <a:xfrm>
          <a:off x="0" y="38595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3263" name="TextBox 3262">
          <a:extLst>
            <a:ext uri="{FF2B5EF4-FFF2-40B4-BE49-F238E27FC236}">
              <a16:creationId xmlns:a16="http://schemas.microsoft.com/office/drawing/2014/main" id="{00000000-0008-0000-0000-000007000000}"/>
            </a:ext>
          </a:extLst>
        </xdr:cNvPr>
        <xdr:cNvSpPr txBox="1"/>
      </xdr:nvSpPr>
      <xdr:spPr>
        <a:xfrm>
          <a:off x="0" y="38595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3264" name="TextBox 3263">
          <a:extLst>
            <a:ext uri="{FF2B5EF4-FFF2-40B4-BE49-F238E27FC236}">
              <a16:creationId xmlns:a16="http://schemas.microsoft.com/office/drawing/2014/main" id="{00000000-0008-0000-0000-000007000000}"/>
            </a:ext>
          </a:extLst>
        </xdr:cNvPr>
        <xdr:cNvSpPr txBox="1"/>
      </xdr:nvSpPr>
      <xdr:spPr>
        <a:xfrm>
          <a:off x="0" y="38595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3265" name="TextBox 3264">
          <a:extLst>
            <a:ext uri="{FF2B5EF4-FFF2-40B4-BE49-F238E27FC236}">
              <a16:creationId xmlns:a16="http://schemas.microsoft.com/office/drawing/2014/main" id="{00000000-0008-0000-0000-000007000000}"/>
            </a:ext>
          </a:extLst>
        </xdr:cNvPr>
        <xdr:cNvSpPr txBox="1"/>
      </xdr:nvSpPr>
      <xdr:spPr>
        <a:xfrm>
          <a:off x="0" y="38595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3266" name="TextBox 3265">
          <a:extLst>
            <a:ext uri="{FF2B5EF4-FFF2-40B4-BE49-F238E27FC236}">
              <a16:creationId xmlns:a16="http://schemas.microsoft.com/office/drawing/2014/main" id="{00000000-0008-0000-0000-000007000000}"/>
            </a:ext>
          </a:extLst>
        </xdr:cNvPr>
        <xdr:cNvSpPr txBox="1"/>
      </xdr:nvSpPr>
      <xdr:spPr>
        <a:xfrm>
          <a:off x="0" y="38595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3267" name="TextBox 3266">
          <a:extLst>
            <a:ext uri="{FF2B5EF4-FFF2-40B4-BE49-F238E27FC236}">
              <a16:creationId xmlns:a16="http://schemas.microsoft.com/office/drawing/2014/main" id="{00000000-0008-0000-0000-000007000000}"/>
            </a:ext>
          </a:extLst>
        </xdr:cNvPr>
        <xdr:cNvSpPr txBox="1"/>
      </xdr:nvSpPr>
      <xdr:spPr>
        <a:xfrm>
          <a:off x="0" y="38595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3268" name="TextBox 3267">
          <a:extLst>
            <a:ext uri="{FF2B5EF4-FFF2-40B4-BE49-F238E27FC236}">
              <a16:creationId xmlns:a16="http://schemas.microsoft.com/office/drawing/2014/main" id="{00000000-0008-0000-0000-000007000000}"/>
            </a:ext>
          </a:extLst>
        </xdr:cNvPr>
        <xdr:cNvSpPr txBox="1"/>
      </xdr:nvSpPr>
      <xdr:spPr>
        <a:xfrm>
          <a:off x="0" y="38595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3269" name="TextBox 3268">
          <a:extLst>
            <a:ext uri="{FF2B5EF4-FFF2-40B4-BE49-F238E27FC236}">
              <a16:creationId xmlns:a16="http://schemas.microsoft.com/office/drawing/2014/main" id="{00000000-0008-0000-0000-000007000000}"/>
            </a:ext>
          </a:extLst>
        </xdr:cNvPr>
        <xdr:cNvSpPr txBox="1"/>
      </xdr:nvSpPr>
      <xdr:spPr>
        <a:xfrm>
          <a:off x="0" y="38595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3270" name="TextBox 3269">
          <a:extLst>
            <a:ext uri="{FF2B5EF4-FFF2-40B4-BE49-F238E27FC236}">
              <a16:creationId xmlns:a16="http://schemas.microsoft.com/office/drawing/2014/main" id="{00000000-0008-0000-0000-000007000000}"/>
            </a:ext>
          </a:extLst>
        </xdr:cNvPr>
        <xdr:cNvSpPr txBox="1"/>
      </xdr:nvSpPr>
      <xdr:spPr>
        <a:xfrm>
          <a:off x="0" y="38595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3271" name="TextBox 3270">
          <a:extLst>
            <a:ext uri="{FF2B5EF4-FFF2-40B4-BE49-F238E27FC236}">
              <a16:creationId xmlns:a16="http://schemas.microsoft.com/office/drawing/2014/main" id="{00000000-0008-0000-0000-000007000000}"/>
            </a:ext>
          </a:extLst>
        </xdr:cNvPr>
        <xdr:cNvSpPr txBox="1"/>
      </xdr:nvSpPr>
      <xdr:spPr>
        <a:xfrm>
          <a:off x="0" y="38595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3272" name="TextBox 3271">
          <a:extLst>
            <a:ext uri="{FF2B5EF4-FFF2-40B4-BE49-F238E27FC236}">
              <a16:creationId xmlns:a16="http://schemas.microsoft.com/office/drawing/2014/main" id="{00000000-0008-0000-0000-000007000000}"/>
            </a:ext>
          </a:extLst>
        </xdr:cNvPr>
        <xdr:cNvSpPr txBox="1"/>
      </xdr:nvSpPr>
      <xdr:spPr>
        <a:xfrm>
          <a:off x="0" y="38595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3273" name="TextBox 3272">
          <a:extLst>
            <a:ext uri="{FF2B5EF4-FFF2-40B4-BE49-F238E27FC236}">
              <a16:creationId xmlns:a16="http://schemas.microsoft.com/office/drawing/2014/main" id="{00000000-0008-0000-0000-000007000000}"/>
            </a:ext>
          </a:extLst>
        </xdr:cNvPr>
        <xdr:cNvSpPr txBox="1"/>
      </xdr:nvSpPr>
      <xdr:spPr>
        <a:xfrm>
          <a:off x="0" y="38595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274" name="TextBox 3273">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275" name="TextBox 3274">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276" name="TextBox 3275">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277" name="TextBox 3276">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278" name="TextBox 3277">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279" name="TextBox 3278">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280" name="TextBox 3279">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281" name="TextBox 3280">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282" name="TextBox 3281">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283" name="TextBox 3282">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284" name="TextBox 3283">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285" name="TextBox 3284">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286" name="TextBox 3285">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287" name="TextBox 3286">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288" name="TextBox 3287">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289" name="TextBox 3288">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290" name="TextBox 3289">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291" name="TextBox 3290">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292" name="TextBox 3291">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293" name="TextBox 3292">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294" name="TextBox 3293">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295" name="TextBox 3294">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296" name="TextBox 3295">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297" name="TextBox 3296">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298" name="TextBox 3297">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299" name="TextBox 3298">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300" name="TextBox 3299">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301" name="TextBox 3300">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302" name="TextBox 3301">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303" name="TextBox 3302">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304" name="TextBox 3303">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305" name="TextBox 3304">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306" name="TextBox 3305">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307" name="TextBox 3306">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308" name="TextBox 3307">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309" name="TextBox 3308">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310" name="TextBox 3309">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311" name="TextBox 3310">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312" name="TextBox 3311">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313" name="TextBox 3312">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314" name="TextBox 3313">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315" name="TextBox 3314">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316" name="TextBox 3315">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317" name="TextBox 3316">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318" name="TextBox 3317">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319" name="TextBox 3318">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320" name="TextBox 3319">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321" name="TextBox 3320">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322" name="TextBox 3321">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323" name="TextBox 3322">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324" name="TextBox 3323">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325" name="TextBox 3324">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326" name="TextBox 3325">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327" name="TextBox 3326">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328" name="TextBox 3327">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329" name="TextBox 3328">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330" name="TextBox 3329">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331" name="TextBox 3330">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332" name="TextBox 3331">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333" name="TextBox 3332">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334" name="TextBox 3333">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335" name="TextBox 3334">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336" name="TextBox 3335">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337" name="TextBox 3336">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3338" name="TextBox 3337">
          <a:extLst>
            <a:ext uri="{FF2B5EF4-FFF2-40B4-BE49-F238E27FC236}">
              <a16:creationId xmlns:a16="http://schemas.microsoft.com/office/drawing/2014/main" id="{00000000-0008-0000-0000-000007000000}"/>
            </a:ext>
          </a:extLst>
        </xdr:cNvPr>
        <xdr:cNvSpPr txBox="1"/>
      </xdr:nvSpPr>
      <xdr:spPr>
        <a:xfrm>
          <a:off x="0" y="38991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3339" name="TextBox 3338">
          <a:extLst>
            <a:ext uri="{FF2B5EF4-FFF2-40B4-BE49-F238E27FC236}">
              <a16:creationId xmlns:a16="http://schemas.microsoft.com/office/drawing/2014/main" id="{00000000-0008-0000-0000-000007000000}"/>
            </a:ext>
          </a:extLst>
        </xdr:cNvPr>
        <xdr:cNvSpPr txBox="1"/>
      </xdr:nvSpPr>
      <xdr:spPr>
        <a:xfrm>
          <a:off x="0" y="38991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3340" name="TextBox 3339">
          <a:extLst>
            <a:ext uri="{FF2B5EF4-FFF2-40B4-BE49-F238E27FC236}">
              <a16:creationId xmlns:a16="http://schemas.microsoft.com/office/drawing/2014/main" id="{00000000-0008-0000-0000-000007000000}"/>
            </a:ext>
          </a:extLst>
        </xdr:cNvPr>
        <xdr:cNvSpPr txBox="1"/>
      </xdr:nvSpPr>
      <xdr:spPr>
        <a:xfrm>
          <a:off x="0" y="38991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3341" name="TextBox 3340">
          <a:extLst>
            <a:ext uri="{FF2B5EF4-FFF2-40B4-BE49-F238E27FC236}">
              <a16:creationId xmlns:a16="http://schemas.microsoft.com/office/drawing/2014/main" id="{00000000-0008-0000-0000-000007000000}"/>
            </a:ext>
          </a:extLst>
        </xdr:cNvPr>
        <xdr:cNvSpPr txBox="1"/>
      </xdr:nvSpPr>
      <xdr:spPr>
        <a:xfrm>
          <a:off x="0" y="38991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3342" name="TextBox 3341">
          <a:extLst>
            <a:ext uri="{FF2B5EF4-FFF2-40B4-BE49-F238E27FC236}">
              <a16:creationId xmlns:a16="http://schemas.microsoft.com/office/drawing/2014/main" id="{00000000-0008-0000-0000-000007000000}"/>
            </a:ext>
          </a:extLst>
        </xdr:cNvPr>
        <xdr:cNvSpPr txBox="1"/>
      </xdr:nvSpPr>
      <xdr:spPr>
        <a:xfrm>
          <a:off x="0" y="38991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3343" name="TextBox 3342">
          <a:extLst>
            <a:ext uri="{FF2B5EF4-FFF2-40B4-BE49-F238E27FC236}">
              <a16:creationId xmlns:a16="http://schemas.microsoft.com/office/drawing/2014/main" id="{00000000-0008-0000-0000-000007000000}"/>
            </a:ext>
          </a:extLst>
        </xdr:cNvPr>
        <xdr:cNvSpPr txBox="1"/>
      </xdr:nvSpPr>
      <xdr:spPr>
        <a:xfrm>
          <a:off x="0" y="38991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3344" name="TextBox 3343">
          <a:extLst>
            <a:ext uri="{FF2B5EF4-FFF2-40B4-BE49-F238E27FC236}">
              <a16:creationId xmlns:a16="http://schemas.microsoft.com/office/drawing/2014/main" id="{00000000-0008-0000-0000-000007000000}"/>
            </a:ext>
          </a:extLst>
        </xdr:cNvPr>
        <xdr:cNvSpPr txBox="1"/>
      </xdr:nvSpPr>
      <xdr:spPr>
        <a:xfrm>
          <a:off x="0" y="38991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3345" name="TextBox 3344">
          <a:extLst>
            <a:ext uri="{FF2B5EF4-FFF2-40B4-BE49-F238E27FC236}">
              <a16:creationId xmlns:a16="http://schemas.microsoft.com/office/drawing/2014/main" id="{00000000-0008-0000-0000-000007000000}"/>
            </a:ext>
          </a:extLst>
        </xdr:cNvPr>
        <xdr:cNvSpPr txBox="1"/>
      </xdr:nvSpPr>
      <xdr:spPr>
        <a:xfrm>
          <a:off x="0" y="38991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3346" name="TextBox 3345">
          <a:extLst>
            <a:ext uri="{FF2B5EF4-FFF2-40B4-BE49-F238E27FC236}">
              <a16:creationId xmlns:a16="http://schemas.microsoft.com/office/drawing/2014/main" id="{00000000-0008-0000-0000-000007000000}"/>
            </a:ext>
          </a:extLst>
        </xdr:cNvPr>
        <xdr:cNvSpPr txBox="1"/>
      </xdr:nvSpPr>
      <xdr:spPr>
        <a:xfrm>
          <a:off x="0" y="38991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3347" name="TextBox 3346">
          <a:extLst>
            <a:ext uri="{FF2B5EF4-FFF2-40B4-BE49-F238E27FC236}">
              <a16:creationId xmlns:a16="http://schemas.microsoft.com/office/drawing/2014/main" id="{00000000-0008-0000-0000-000007000000}"/>
            </a:ext>
          </a:extLst>
        </xdr:cNvPr>
        <xdr:cNvSpPr txBox="1"/>
      </xdr:nvSpPr>
      <xdr:spPr>
        <a:xfrm>
          <a:off x="0" y="38991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3348" name="TextBox 3347">
          <a:extLst>
            <a:ext uri="{FF2B5EF4-FFF2-40B4-BE49-F238E27FC236}">
              <a16:creationId xmlns:a16="http://schemas.microsoft.com/office/drawing/2014/main" id="{00000000-0008-0000-0000-000007000000}"/>
            </a:ext>
          </a:extLst>
        </xdr:cNvPr>
        <xdr:cNvSpPr txBox="1"/>
      </xdr:nvSpPr>
      <xdr:spPr>
        <a:xfrm>
          <a:off x="0" y="38991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3349" name="TextBox 3348">
          <a:extLst>
            <a:ext uri="{FF2B5EF4-FFF2-40B4-BE49-F238E27FC236}">
              <a16:creationId xmlns:a16="http://schemas.microsoft.com/office/drawing/2014/main" id="{00000000-0008-0000-0000-000007000000}"/>
            </a:ext>
          </a:extLst>
        </xdr:cNvPr>
        <xdr:cNvSpPr txBox="1"/>
      </xdr:nvSpPr>
      <xdr:spPr>
        <a:xfrm>
          <a:off x="0" y="38991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3350" name="TextBox 3349">
          <a:extLst>
            <a:ext uri="{FF2B5EF4-FFF2-40B4-BE49-F238E27FC236}">
              <a16:creationId xmlns:a16="http://schemas.microsoft.com/office/drawing/2014/main" id="{00000000-0008-0000-0000-000007000000}"/>
            </a:ext>
          </a:extLst>
        </xdr:cNvPr>
        <xdr:cNvSpPr txBox="1"/>
      </xdr:nvSpPr>
      <xdr:spPr>
        <a:xfrm>
          <a:off x="0" y="38991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3351" name="TextBox 3350">
          <a:extLst>
            <a:ext uri="{FF2B5EF4-FFF2-40B4-BE49-F238E27FC236}">
              <a16:creationId xmlns:a16="http://schemas.microsoft.com/office/drawing/2014/main" id="{00000000-0008-0000-0000-000007000000}"/>
            </a:ext>
          </a:extLst>
        </xdr:cNvPr>
        <xdr:cNvSpPr txBox="1"/>
      </xdr:nvSpPr>
      <xdr:spPr>
        <a:xfrm>
          <a:off x="0" y="38991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3352" name="TextBox 3351">
          <a:extLst>
            <a:ext uri="{FF2B5EF4-FFF2-40B4-BE49-F238E27FC236}">
              <a16:creationId xmlns:a16="http://schemas.microsoft.com/office/drawing/2014/main" id="{00000000-0008-0000-0000-000007000000}"/>
            </a:ext>
          </a:extLst>
        </xdr:cNvPr>
        <xdr:cNvSpPr txBox="1"/>
      </xdr:nvSpPr>
      <xdr:spPr>
        <a:xfrm>
          <a:off x="0" y="38991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3353" name="TextBox 3352">
          <a:extLst>
            <a:ext uri="{FF2B5EF4-FFF2-40B4-BE49-F238E27FC236}">
              <a16:creationId xmlns:a16="http://schemas.microsoft.com/office/drawing/2014/main" id="{00000000-0008-0000-0000-000007000000}"/>
            </a:ext>
          </a:extLst>
        </xdr:cNvPr>
        <xdr:cNvSpPr txBox="1"/>
      </xdr:nvSpPr>
      <xdr:spPr>
        <a:xfrm>
          <a:off x="0" y="38991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3354" name="TextBox 3353">
          <a:extLst>
            <a:ext uri="{FF2B5EF4-FFF2-40B4-BE49-F238E27FC236}">
              <a16:creationId xmlns:a16="http://schemas.microsoft.com/office/drawing/2014/main" id="{00000000-0008-0000-0000-000007000000}"/>
            </a:ext>
          </a:extLst>
        </xdr:cNvPr>
        <xdr:cNvSpPr txBox="1"/>
      </xdr:nvSpPr>
      <xdr:spPr>
        <a:xfrm>
          <a:off x="0" y="38991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3355" name="TextBox 3354">
          <a:extLst>
            <a:ext uri="{FF2B5EF4-FFF2-40B4-BE49-F238E27FC236}">
              <a16:creationId xmlns:a16="http://schemas.microsoft.com/office/drawing/2014/main" id="{00000000-0008-0000-0000-000007000000}"/>
            </a:ext>
          </a:extLst>
        </xdr:cNvPr>
        <xdr:cNvSpPr txBox="1"/>
      </xdr:nvSpPr>
      <xdr:spPr>
        <a:xfrm>
          <a:off x="0" y="38991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3356" name="TextBox 3355">
          <a:extLst>
            <a:ext uri="{FF2B5EF4-FFF2-40B4-BE49-F238E27FC236}">
              <a16:creationId xmlns:a16="http://schemas.microsoft.com/office/drawing/2014/main" id="{00000000-0008-0000-0000-000007000000}"/>
            </a:ext>
          </a:extLst>
        </xdr:cNvPr>
        <xdr:cNvSpPr txBox="1"/>
      </xdr:nvSpPr>
      <xdr:spPr>
        <a:xfrm>
          <a:off x="0" y="38991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3357" name="TextBox 3356">
          <a:extLst>
            <a:ext uri="{FF2B5EF4-FFF2-40B4-BE49-F238E27FC236}">
              <a16:creationId xmlns:a16="http://schemas.microsoft.com/office/drawing/2014/main" id="{00000000-0008-0000-0000-000007000000}"/>
            </a:ext>
          </a:extLst>
        </xdr:cNvPr>
        <xdr:cNvSpPr txBox="1"/>
      </xdr:nvSpPr>
      <xdr:spPr>
        <a:xfrm>
          <a:off x="0" y="38991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3358" name="TextBox 3357">
          <a:extLst>
            <a:ext uri="{FF2B5EF4-FFF2-40B4-BE49-F238E27FC236}">
              <a16:creationId xmlns:a16="http://schemas.microsoft.com/office/drawing/2014/main" id="{00000000-0008-0000-0000-000007000000}"/>
            </a:ext>
          </a:extLst>
        </xdr:cNvPr>
        <xdr:cNvSpPr txBox="1"/>
      </xdr:nvSpPr>
      <xdr:spPr>
        <a:xfrm>
          <a:off x="0" y="38991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3359" name="TextBox 3358">
          <a:extLst>
            <a:ext uri="{FF2B5EF4-FFF2-40B4-BE49-F238E27FC236}">
              <a16:creationId xmlns:a16="http://schemas.microsoft.com/office/drawing/2014/main" id="{00000000-0008-0000-0000-000007000000}"/>
            </a:ext>
          </a:extLst>
        </xdr:cNvPr>
        <xdr:cNvSpPr txBox="1"/>
      </xdr:nvSpPr>
      <xdr:spPr>
        <a:xfrm>
          <a:off x="0" y="38991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3360" name="TextBox 3359">
          <a:extLst>
            <a:ext uri="{FF2B5EF4-FFF2-40B4-BE49-F238E27FC236}">
              <a16:creationId xmlns:a16="http://schemas.microsoft.com/office/drawing/2014/main" id="{00000000-0008-0000-0000-000007000000}"/>
            </a:ext>
          </a:extLst>
        </xdr:cNvPr>
        <xdr:cNvSpPr txBox="1"/>
      </xdr:nvSpPr>
      <xdr:spPr>
        <a:xfrm>
          <a:off x="0" y="38991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3361" name="TextBox 3360">
          <a:extLst>
            <a:ext uri="{FF2B5EF4-FFF2-40B4-BE49-F238E27FC236}">
              <a16:creationId xmlns:a16="http://schemas.microsoft.com/office/drawing/2014/main" id="{00000000-0008-0000-0000-000007000000}"/>
            </a:ext>
          </a:extLst>
        </xdr:cNvPr>
        <xdr:cNvSpPr txBox="1"/>
      </xdr:nvSpPr>
      <xdr:spPr>
        <a:xfrm>
          <a:off x="0" y="38991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3362" name="TextBox 3361">
          <a:extLst>
            <a:ext uri="{FF2B5EF4-FFF2-40B4-BE49-F238E27FC236}">
              <a16:creationId xmlns:a16="http://schemas.microsoft.com/office/drawing/2014/main" id="{00000000-0008-0000-0000-000007000000}"/>
            </a:ext>
          </a:extLst>
        </xdr:cNvPr>
        <xdr:cNvSpPr txBox="1"/>
      </xdr:nvSpPr>
      <xdr:spPr>
        <a:xfrm>
          <a:off x="0" y="38991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3363" name="TextBox 3362">
          <a:extLst>
            <a:ext uri="{FF2B5EF4-FFF2-40B4-BE49-F238E27FC236}">
              <a16:creationId xmlns:a16="http://schemas.microsoft.com/office/drawing/2014/main" id="{00000000-0008-0000-0000-000007000000}"/>
            </a:ext>
          </a:extLst>
        </xdr:cNvPr>
        <xdr:cNvSpPr txBox="1"/>
      </xdr:nvSpPr>
      <xdr:spPr>
        <a:xfrm>
          <a:off x="0" y="38991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3364" name="TextBox 3363">
          <a:extLst>
            <a:ext uri="{FF2B5EF4-FFF2-40B4-BE49-F238E27FC236}">
              <a16:creationId xmlns:a16="http://schemas.microsoft.com/office/drawing/2014/main" id="{00000000-0008-0000-0000-000007000000}"/>
            </a:ext>
          </a:extLst>
        </xdr:cNvPr>
        <xdr:cNvSpPr txBox="1"/>
      </xdr:nvSpPr>
      <xdr:spPr>
        <a:xfrm>
          <a:off x="0" y="38991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3365" name="TextBox 3364">
          <a:extLst>
            <a:ext uri="{FF2B5EF4-FFF2-40B4-BE49-F238E27FC236}">
              <a16:creationId xmlns:a16="http://schemas.microsoft.com/office/drawing/2014/main" id="{00000000-0008-0000-0000-000007000000}"/>
            </a:ext>
          </a:extLst>
        </xdr:cNvPr>
        <xdr:cNvSpPr txBox="1"/>
      </xdr:nvSpPr>
      <xdr:spPr>
        <a:xfrm>
          <a:off x="0" y="38991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3366" name="TextBox 3365">
          <a:extLst>
            <a:ext uri="{FF2B5EF4-FFF2-40B4-BE49-F238E27FC236}">
              <a16:creationId xmlns:a16="http://schemas.microsoft.com/office/drawing/2014/main" id="{00000000-0008-0000-0000-000007000000}"/>
            </a:ext>
          </a:extLst>
        </xdr:cNvPr>
        <xdr:cNvSpPr txBox="1"/>
      </xdr:nvSpPr>
      <xdr:spPr>
        <a:xfrm>
          <a:off x="0" y="38991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3367" name="TextBox 3366">
          <a:extLst>
            <a:ext uri="{FF2B5EF4-FFF2-40B4-BE49-F238E27FC236}">
              <a16:creationId xmlns:a16="http://schemas.microsoft.com/office/drawing/2014/main" id="{00000000-0008-0000-0000-000007000000}"/>
            </a:ext>
          </a:extLst>
        </xdr:cNvPr>
        <xdr:cNvSpPr txBox="1"/>
      </xdr:nvSpPr>
      <xdr:spPr>
        <a:xfrm>
          <a:off x="0" y="38991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3368" name="TextBox 3367">
          <a:extLst>
            <a:ext uri="{FF2B5EF4-FFF2-40B4-BE49-F238E27FC236}">
              <a16:creationId xmlns:a16="http://schemas.microsoft.com/office/drawing/2014/main" id="{00000000-0008-0000-0000-000007000000}"/>
            </a:ext>
          </a:extLst>
        </xdr:cNvPr>
        <xdr:cNvSpPr txBox="1"/>
      </xdr:nvSpPr>
      <xdr:spPr>
        <a:xfrm>
          <a:off x="0" y="38991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3369" name="TextBox 3368">
          <a:extLst>
            <a:ext uri="{FF2B5EF4-FFF2-40B4-BE49-F238E27FC236}">
              <a16:creationId xmlns:a16="http://schemas.microsoft.com/office/drawing/2014/main" id="{00000000-0008-0000-0000-000007000000}"/>
            </a:ext>
          </a:extLst>
        </xdr:cNvPr>
        <xdr:cNvSpPr txBox="1"/>
      </xdr:nvSpPr>
      <xdr:spPr>
        <a:xfrm>
          <a:off x="0" y="38991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3370" name="TextBox 3369">
          <a:extLst>
            <a:ext uri="{FF2B5EF4-FFF2-40B4-BE49-F238E27FC236}">
              <a16:creationId xmlns:a16="http://schemas.microsoft.com/office/drawing/2014/main" id="{00000000-0008-0000-0000-000007000000}"/>
            </a:ext>
          </a:extLst>
        </xdr:cNvPr>
        <xdr:cNvSpPr txBox="1"/>
      </xdr:nvSpPr>
      <xdr:spPr>
        <a:xfrm>
          <a:off x="0" y="38991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3371" name="TextBox 3370">
          <a:extLst>
            <a:ext uri="{FF2B5EF4-FFF2-40B4-BE49-F238E27FC236}">
              <a16:creationId xmlns:a16="http://schemas.microsoft.com/office/drawing/2014/main" id="{00000000-0008-0000-0000-000007000000}"/>
            </a:ext>
          </a:extLst>
        </xdr:cNvPr>
        <xdr:cNvSpPr txBox="1"/>
      </xdr:nvSpPr>
      <xdr:spPr>
        <a:xfrm>
          <a:off x="0" y="38991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3372" name="TextBox 3371">
          <a:extLst>
            <a:ext uri="{FF2B5EF4-FFF2-40B4-BE49-F238E27FC236}">
              <a16:creationId xmlns:a16="http://schemas.microsoft.com/office/drawing/2014/main" id="{00000000-0008-0000-0000-000007000000}"/>
            </a:ext>
          </a:extLst>
        </xdr:cNvPr>
        <xdr:cNvSpPr txBox="1"/>
      </xdr:nvSpPr>
      <xdr:spPr>
        <a:xfrm>
          <a:off x="0" y="38991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3373" name="TextBox 3372">
          <a:extLst>
            <a:ext uri="{FF2B5EF4-FFF2-40B4-BE49-F238E27FC236}">
              <a16:creationId xmlns:a16="http://schemas.microsoft.com/office/drawing/2014/main" id="{00000000-0008-0000-0000-000007000000}"/>
            </a:ext>
          </a:extLst>
        </xdr:cNvPr>
        <xdr:cNvSpPr txBox="1"/>
      </xdr:nvSpPr>
      <xdr:spPr>
        <a:xfrm>
          <a:off x="0" y="38991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3374" name="TextBox 3373">
          <a:extLst>
            <a:ext uri="{FF2B5EF4-FFF2-40B4-BE49-F238E27FC236}">
              <a16:creationId xmlns:a16="http://schemas.microsoft.com/office/drawing/2014/main" id="{00000000-0008-0000-0000-000007000000}"/>
            </a:ext>
          </a:extLst>
        </xdr:cNvPr>
        <xdr:cNvSpPr txBox="1"/>
      </xdr:nvSpPr>
      <xdr:spPr>
        <a:xfrm>
          <a:off x="0" y="38991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3375" name="TextBox 3374">
          <a:extLst>
            <a:ext uri="{FF2B5EF4-FFF2-40B4-BE49-F238E27FC236}">
              <a16:creationId xmlns:a16="http://schemas.microsoft.com/office/drawing/2014/main" id="{00000000-0008-0000-0000-000007000000}"/>
            </a:ext>
          </a:extLst>
        </xdr:cNvPr>
        <xdr:cNvSpPr txBox="1"/>
      </xdr:nvSpPr>
      <xdr:spPr>
        <a:xfrm>
          <a:off x="0" y="38991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3376" name="TextBox 3375">
          <a:extLst>
            <a:ext uri="{FF2B5EF4-FFF2-40B4-BE49-F238E27FC236}">
              <a16:creationId xmlns:a16="http://schemas.microsoft.com/office/drawing/2014/main" id="{00000000-0008-0000-0000-000007000000}"/>
            </a:ext>
          </a:extLst>
        </xdr:cNvPr>
        <xdr:cNvSpPr txBox="1"/>
      </xdr:nvSpPr>
      <xdr:spPr>
        <a:xfrm>
          <a:off x="0" y="38991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3377" name="TextBox 3376">
          <a:extLst>
            <a:ext uri="{FF2B5EF4-FFF2-40B4-BE49-F238E27FC236}">
              <a16:creationId xmlns:a16="http://schemas.microsoft.com/office/drawing/2014/main" id="{00000000-0008-0000-0000-000007000000}"/>
            </a:ext>
          </a:extLst>
        </xdr:cNvPr>
        <xdr:cNvSpPr txBox="1"/>
      </xdr:nvSpPr>
      <xdr:spPr>
        <a:xfrm>
          <a:off x="0" y="38991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3378" name="TextBox 3377">
          <a:extLst>
            <a:ext uri="{FF2B5EF4-FFF2-40B4-BE49-F238E27FC236}">
              <a16:creationId xmlns:a16="http://schemas.microsoft.com/office/drawing/2014/main" id="{00000000-0008-0000-0000-000007000000}"/>
            </a:ext>
          </a:extLst>
        </xdr:cNvPr>
        <xdr:cNvSpPr txBox="1"/>
      </xdr:nvSpPr>
      <xdr:spPr>
        <a:xfrm>
          <a:off x="0" y="38991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3379" name="TextBox 3378">
          <a:extLst>
            <a:ext uri="{FF2B5EF4-FFF2-40B4-BE49-F238E27FC236}">
              <a16:creationId xmlns:a16="http://schemas.microsoft.com/office/drawing/2014/main" id="{00000000-0008-0000-0000-000007000000}"/>
            </a:ext>
          </a:extLst>
        </xdr:cNvPr>
        <xdr:cNvSpPr txBox="1"/>
      </xdr:nvSpPr>
      <xdr:spPr>
        <a:xfrm>
          <a:off x="0" y="38991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3380" name="TextBox 3379">
          <a:extLst>
            <a:ext uri="{FF2B5EF4-FFF2-40B4-BE49-F238E27FC236}">
              <a16:creationId xmlns:a16="http://schemas.microsoft.com/office/drawing/2014/main" id="{00000000-0008-0000-0000-000007000000}"/>
            </a:ext>
          </a:extLst>
        </xdr:cNvPr>
        <xdr:cNvSpPr txBox="1"/>
      </xdr:nvSpPr>
      <xdr:spPr>
        <a:xfrm>
          <a:off x="0" y="38991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3381" name="TextBox 3380">
          <a:extLst>
            <a:ext uri="{FF2B5EF4-FFF2-40B4-BE49-F238E27FC236}">
              <a16:creationId xmlns:a16="http://schemas.microsoft.com/office/drawing/2014/main" id="{00000000-0008-0000-0000-000007000000}"/>
            </a:ext>
          </a:extLst>
        </xdr:cNvPr>
        <xdr:cNvSpPr txBox="1"/>
      </xdr:nvSpPr>
      <xdr:spPr>
        <a:xfrm>
          <a:off x="0" y="38991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3382" name="TextBox 3381">
          <a:extLst>
            <a:ext uri="{FF2B5EF4-FFF2-40B4-BE49-F238E27FC236}">
              <a16:creationId xmlns:a16="http://schemas.microsoft.com/office/drawing/2014/main" id="{00000000-0008-0000-0000-000007000000}"/>
            </a:ext>
          </a:extLst>
        </xdr:cNvPr>
        <xdr:cNvSpPr txBox="1"/>
      </xdr:nvSpPr>
      <xdr:spPr>
        <a:xfrm>
          <a:off x="0" y="38991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3383" name="TextBox 3382">
          <a:extLst>
            <a:ext uri="{FF2B5EF4-FFF2-40B4-BE49-F238E27FC236}">
              <a16:creationId xmlns:a16="http://schemas.microsoft.com/office/drawing/2014/main" id="{00000000-0008-0000-0000-000007000000}"/>
            </a:ext>
          </a:extLst>
        </xdr:cNvPr>
        <xdr:cNvSpPr txBox="1"/>
      </xdr:nvSpPr>
      <xdr:spPr>
        <a:xfrm>
          <a:off x="0" y="38991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3384" name="TextBox 3383">
          <a:extLst>
            <a:ext uri="{FF2B5EF4-FFF2-40B4-BE49-F238E27FC236}">
              <a16:creationId xmlns:a16="http://schemas.microsoft.com/office/drawing/2014/main" id="{00000000-0008-0000-0000-000007000000}"/>
            </a:ext>
          </a:extLst>
        </xdr:cNvPr>
        <xdr:cNvSpPr txBox="1"/>
      </xdr:nvSpPr>
      <xdr:spPr>
        <a:xfrm>
          <a:off x="0" y="38991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3385" name="TextBox 3384">
          <a:extLst>
            <a:ext uri="{FF2B5EF4-FFF2-40B4-BE49-F238E27FC236}">
              <a16:creationId xmlns:a16="http://schemas.microsoft.com/office/drawing/2014/main" id="{00000000-0008-0000-0000-000007000000}"/>
            </a:ext>
          </a:extLst>
        </xdr:cNvPr>
        <xdr:cNvSpPr txBox="1"/>
      </xdr:nvSpPr>
      <xdr:spPr>
        <a:xfrm>
          <a:off x="0" y="38991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3386" name="TextBox 3385">
          <a:extLst>
            <a:ext uri="{FF2B5EF4-FFF2-40B4-BE49-F238E27FC236}">
              <a16:creationId xmlns:a16="http://schemas.microsoft.com/office/drawing/2014/main" id="{00000000-0008-0000-0000-000007000000}"/>
            </a:ext>
          </a:extLst>
        </xdr:cNvPr>
        <xdr:cNvSpPr txBox="1"/>
      </xdr:nvSpPr>
      <xdr:spPr>
        <a:xfrm>
          <a:off x="0" y="38991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3387" name="TextBox 3386">
          <a:extLst>
            <a:ext uri="{FF2B5EF4-FFF2-40B4-BE49-F238E27FC236}">
              <a16:creationId xmlns:a16="http://schemas.microsoft.com/office/drawing/2014/main" id="{00000000-0008-0000-0000-000007000000}"/>
            </a:ext>
          </a:extLst>
        </xdr:cNvPr>
        <xdr:cNvSpPr txBox="1"/>
      </xdr:nvSpPr>
      <xdr:spPr>
        <a:xfrm>
          <a:off x="0" y="38991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3388" name="TextBox 3387">
          <a:extLst>
            <a:ext uri="{FF2B5EF4-FFF2-40B4-BE49-F238E27FC236}">
              <a16:creationId xmlns:a16="http://schemas.microsoft.com/office/drawing/2014/main" id="{00000000-0008-0000-0000-000007000000}"/>
            </a:ext>
          </a:extLst>
        </xdr:cNvPr>
        <xdr:cNvSpPr txBox="1"/>
      </xdr:nvSpPr>
      <xdr:spPr>
        <a:xfrm>
          <a:off x="0" y="38991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3389" name="TextBox 3388">
          <a:extLst>
            <a:ext uri="{FF2B5EF4-FFF2-40B4-BE49-F238E27FC236}">
              <a16:creationId xmlns:a16="http://schemas.microsoft.com/office/drawing/2014/main" id="{00000000-0008-0000-0000-000007000000}"/>
            </a:ext>
          </a:extLst>
        </xdr:cNvPr>
        <xdr:cNvSpPr txBox="1"/>
      </xdr:nvSpPr>
      <xdr:spPr>
        <a:xfrm>
          <a:off x="0" y="38991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3390" name="TextBox 3389">
          <a:extLst>
            <a:ext uri="{FF2B5EF4-FFF2-40B4-BE49-F238E27FC236}">
              <a16:creationId xmlns:a16="http://schemas.microsoft.com/office/drawing/2014/main" id="{00000000-0008-0000-0000-000007000000}"/>
            </a:ext>
          </a:extLst>
        </xdr:cNvPr>
        <xdr:cNvSpPr txBox="1"/>
      </xdr:nvSpPr>
      <xdr:spPr>
        <a:xfrm>
          <a:off x="0" y="38991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3391" name="TextBox 3390">
          <a:extLst>
            <a:ext uri="{FF2B5EF4-FFF2-40B4-BE49-F238E27FC236}">
              <a16:creationId xmlns:a16="http://schemas.microsoft.com/office/drawing/2014/main" id="{00000000-0008-0000-0000-000007000000}"/>
            </a:ext>
          </a:extLst>
        </xdr:cNvPr>
        <xdr:cNvSpPr txBox="1"/>
      </xdr:nvSpPr>
      <xdr:spPr>
        <a:xfrm>
          <a:off x="0" y="38991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3392" name="TextBox 3391">
          <a:extLst>
            <a:ext uri="{FF2B5EF4-FFF2-40B4-BE49-F238E27FC236}">
              <a16:creationId xmlns:a16="http://schemas.microsoft.com/office/drawing/2014/main" id="{00000000-0008-0000-0000-000007000000}"/>
            </a:ext>
          </a:extLst>
        </xdr:cNvPr>
        <xdr:cNvSpPr txBox="1"/>
      </xdr:nvSpPr>
      <xdr:spPr>
        <a:xfrm>
          <a:off x="0" y="38991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3393" name="TextBox 3392">
          <a:extLst>
            <a:ext uri="{FF2B5EF4-FFF2-40B4-BE49-F238E27FC236}">
              <a16:creationId xmlns:a16="http://schemas.microsoft.com/office/drawing/2014/main" id="{00000000-0008-0000-0000-000007000000}"/>
            </a:ext>
          </a:extLst>
        </xdr:cNvPr>
        <xdr:cNvSpPr txBox="1"/>
      </xdr:nvSpPr>
      <xdr:spPr>
        <a:xfrm>
          <a:off x="0" y="38991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3394" name="TextBox 3393">
          <a:extLst>
            <a:ext uri="{FF2B5EF4-FFF2-40B4-BE49-F238E27FC236}">
              <a16:creationId xmlns:a16="http://schemas.microsoft.com/office/drawing/2014/main" id="{00000000-0008-0000-0000-000007000000}"/>
            </a:ext>
          </a:extLst>
        </xdr:cNvPr>
        <xdr:cNvSpPr txBox="1"/>
      </xdr:nvSpPr>
      <xdr:spPr>
        <a:xfrm>
          <a:off x="0" y="38991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3395" name="TextBox 3394">
          <a:extLst>
            <a:ext uri="{FF2B5EF4-FFF2-40B4-BE49-F238E27FC236}">
              <a16:creationId xmlns:a16="http://schemas.microsoft.com/office/drawing/2014/main" id="{00000000-0008-0000-0000-000007000000}"/>
            </a:ext>
          </a:extLst>
        </xdr:cNvPr>
        <xdr:cNvSpPr txBox="1"/>
      </xdr:nvSpPr>
      <xdr:spPr>
        <a:xfrm>
          <a:off x="0" y="38991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3396" name="TextBox 3395">
          <a:extLst>
            <a:ext uri="{FF2B5EF4-FFF2-40B4-BE49-F238E27FC236}">
              <a16:creationId xmlns:a16="http://schemas.microsoft.com/office/drawing/2014/main" id="{00000000-0008-0000-0000-000007000000}"/>
            </a:ext>
          </a:extLst>
        </xdr:cNvPr>
        <xdr:cNvSpPr txBox="1"/>
      </xdr:nvSpPr>
      <xdr:spPr>
        <a:xfrm>
          <a:off x="0" y="38991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3397" name="TextBox 3396">
          <a:extLst>
            <a:ext uri="{FF2B5EF4-FFF2-40B4-BE49-F238E27FC236}">
              <a16:creationId xmlns:a16="http://schemas.microsoft.com/office/drawing/2014/main" id="{00000000-0008-0000-0000-000007000000}"/>
            </a:ext>
          </a:extLst>
        </xdr:cNvPr>
        <xdr:cNvSpPr txBox="1"/>
      </xdr:nvSpPr>
      <xdr:spPr>
        <a:xfrm>
          <a:off x="0" y="38991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3398" name="TextBox 3397">
          <a:extLst>
            <a:ext uri="{FF2B5EF4-FFF2-40B4-BE49-F238E27FC236}">
              <a16:creationId xmlns:a16="http://schemas.microsoft.com/office/drawing/2014/main" id="{00000000-0008-0000-0000-000007000000}"/>
            </a:ext>
          </a:extLst>
        </xdr:cNvPr>
        <xdr:cNvSpPr txBox="1"/>
      </xdr:nvSpPr>
      <xdr:spPr>
        <a:xfrm>
          <a:off x="0" y="38991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3399" name="TextBox 3398">
          <a:extLst>
            <a:ext uri="{FF2B5EF4-FFF2-40B4-BE49-F238E27FC236}">
              <a16:creationId xmlns:a16="http://schemas.microsoft.com/office/drawing/2014/main" id="{00000000-0008-0000-0000-000007000000}"/>
            </a:ext>
          </a:extLst>
        </xdr:cNvPr>
        <xdr:cNvSpPr txBox="1"/>
      </xdr:nvSpPr>
      <xdr:spPr>
        <a:xfrm>
          <a:off x="0" y="38991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3400" name="TextBox 3399">
          <a:extLst>
            <a:ext uri="{FF2B5EF4-FFF2-40B4-BE49-F238E27FC236}">
              <a16:creationId xmlns:a16="http://schemas.microsoft.com/office/drawing/2014/main" id="{00000000-0008-0000-0000-000007000000}"/>
            </a:ext>
          </a:extLst>
        </xdr:cNvPr>
        <xdr:cNvSpPr txBox="1"/>
      </xdr:nvSpPr>
      <xdr:spPr>
        <a:xfrm>
          <a:off x="0" y="38991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3401" name="TextBox 3400">
          <a:extLst>
            <a:ext uri="{FF2B5EF4-FFF2-40B4-BE49-F238E27FC236}">
              <a16:creationId xmlns:a16="http://schemas.microsoft.com/office/drawing/2014/main" id="{00000000-0008-0000-0000-000007000000}"/>
            </a:ext>
          </a:extLst>
        </xdr:cNvPr>
        <xdr:cNvSpPr txBox="1"/>
      </xdr:nvSpPr>
      <xdr:spPr>
        <a:xfrm>
          <a:off x="0" y="38991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3402" name="TextBox 3401">
          <a:extLst>
            <a:ext uri="{FF2B5EF4-FFF2-40B4-BE49-F238E27FC236}">
              <a16:creationId xmlns:a16="http://schemas.microsoft.com/office/drawing/2014/main" id="{00000000-0008-0000-0000-000007000000}"/>
            </a:ext>
          </a:extLst>
        </xdr:cNvPr>
        <xdr:cNvSpPr txBox="1"/>
      </xdr:nvSpPr>
      <xdr:spPr>
        <a:xfrm>
          <a:off x="0" y="38991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3403" name="TextBox 3402">
          <a:extLst>
            <a:ext uri="{FF2B5EF4-FFF2-40B4-BE49-F238E27FC236}">
              <a16:creationId xmlns:a16="http://schemas.microsoft.com/office/drawing/2014/main" id="{00000000-0008-0000-0000-000007000000}"/>
            </a:ext>
          </a:extLst>
        </xdr:cNvPr>
        <xdr:cNvSpPr txBox="1"/>
      </xdr:nvSpPr>
      <xdr:spPr>
        <a:xfrm>
          <a:off x="0" y="38991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3404" name="TextBox 3403">
          <a:extLst>
            <a:ext uri="{FF2B5EF4-FFF2-40B4-BE49-F238E27FC236}">
              <a16:creationId xmlns:a16="http://schemas.microsoft.com/office/drawing/2014/main" id="{00000000-0008-0000-0000-000007000000}"/>
            </a:ext>
          </a:extLst>
        </xdr:cNvPr>
        <xdr:cNvSpPr txBox="1"/>
      </xdr:nvSpPr>
      <xdr:spPr>
        <a:xfrm>
          <a:off x="0" y="3780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3405" name="TextBox 3404">
          <a:extLst>
            <a:ext uri="{FF2B5EF4-FFF2-40B4-BE49-F238E27FC236}">
              <a16:creationId xmlns:a16="http://schemas.microsoft.com/office/drawing/2014/main" id="{00000000-0008-0000-0000-000007000000}"/>
            </a:ext>
          </a:extLst>
        </xdr:cNvPr>
        <xdr:cNvSpPr txBox="1"/>
      </xdr:nvSpPr>
      <xdr:spPr>
        <a:xfrm>
          <a:off x="0" y="3780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406" name="TextBox 3405">
          <a:extLst>
            <a:ext uri="{FF2B5EF4-FFF2-40B4-BE49-F238E27FC236}">
              <a16:creationId xmlns:a16="http://schemas.microsoft.com/office/drawing/2014/main" id="{00000000-0008-0000-0000-000007000000}"/>
            </a:ext>
          </a:extLst>
        </xdr:cNvPr>
        <xdr:cNvSpPr txBox="1"/>
      </xdr:nvSpPr>
      <xdr:spPr>
        <a:xfrm>
          <a:off x="0" y="38199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407" name="TextBox 3406">
          <a:extLst>
            <a:ext uri="{FF2B5EF4-FFF2-40B4-BE49-F238E27FC236}">
              <a16:creationId xmlns:a16="http://schemas.microsoft.com/office/drawing/2014/main" id="{00000000-0008-0000-0000-000007000000}"/>
            </a:ext>
          </a:extLst>
        </xdr:cNvPr>
        <xdr:cNvSpPr txBox="1"/>
      </xdr:nvSpPr>
      <xdr:spPr>
        <a:xfrm>
          <a:off x="0" y="38199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408" name="TextBox 3407">
          <a:extLst>
            <a:ext uri="{FF2B5EF4-FFF2-40B4-BE49-F238E27FC236}">
              <a16:creationId xmlns:a16="http://schemas.microsoft.com/office/drawing/2014/main" id="{00000000-0008-0000-0000-000007000000}"/>
            </a:ext>
          </a:extLst>
        </xdr:cNvPr>
        <xdr:cNvSpPr txBox="1"/>
      </xdr:nvSpPr>
      <xdr:spPr>
        <a:xfrm>
          <a:off x="0" y="38199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409" name="TextBox 3408">
          <a:extLst>
            <a:ext uri="{FF2B5EF4-FFF2-40B4-BE49-F238E27FC236}">
              <a16:creationId xmlns:a16="http://schemas.microsoft.com/office/drawing/2014/main" id="{00000000-0008-0000-0000-000007000000}"/>
            </a:ext>
          </a:extLst>
        </xdr:cNvPr>
        <xdr:cNvSpPr txBox="1"/>
      </xdr:nvSpPr>
      <xdr:spPr>
        <a:xfrm>
          <a:off x="0" y="38199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410" name="TextBox 3409">
          <a:extLst>
            <a:ext uri="{FF2B5EF4-FFF2-40B4-BE49-F238E27FC236}">
              <a16:creationId xmlns:a16="http://schemas.microsoft.com/office/drawing/2014/main" id="{00000000-0008-0000-0000-000007000000}"/>
            </a:ext>
          </a:extLst>
        </xdr:cNvPr>
        <xdr:cNvSpPr txBox="1"/>
      </xdr:nvSpPr>
      <xdr:spPr>
        <a:xfrm>
          <a:off x="0" y="38199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411" name="TextBox 3410">
          <a:extLst>
            <a:ext uri="{FF2B5EF4-FFF2-40B4-BE49-F238E27FC236}">
              <a16:creationId xmlns:a16="http://schemas.microsoft.com/office/drawing/2014/main" id="{00000000-0008-0000-0000-000007000000}"/>
            </a:ext>
          </a:extLst>
        </xdr:cNvPr>
        <xdr:cNvSpPr txBox="1"/>
      </xdr:nvSpPr>
      <xdr:spPr>
        <a:xfrm>
          <a:off x="0" y="38199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412" name="TextBox 3411">
          <a:extLst>
            <a:ext uri="{FF2B5EF4-FFF2-40B4-BE49-F238E27FC236}">
              <a16:creationId xmlns:a16="http://schemas.microsoft.com/office/drawing/2014/main" id="{00000000-0008-0000-0000-000007000000}"/>
            </a:ext>
          </a:extLst>
        </xdr:cNvPr>
        <xdr:cNvSpPr txBox="1"/>
      </xdr:nvSpPr>
      <xdr:spPr>
        <a:xfrm>
          <a:off x="0" y="38199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413" name="TextBox 3412">
          <a:extLst>
            <a:ext uri="{FF2B5EF4-FFF2-40B4-BE49-F238E27FC236}">
              <a16:creationId xmlns:a16="http://schemas.microsoft.com/office/drawing/2014/main" id="{00000000-0008-0000-0000-000007000000}"/>
            </a:ext>
          </a:extLst>
        </xdr:cNvPr>
        <xdr:cNvSpPr txBox="1"/>
      </xdr:nvSpPr>
      <xdr:spPr>
        <a:xfrm>
          <a:off x="0" y="38199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414" name="TextBox 3413">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415" name="TextBox 3414">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416" name="TextBox 3415">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417" name="TextBox 3416">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418" name="TextBox 3417">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419" name="TextBox 3418">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420" name="TextBox 3419">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421" name="TextBox 3420">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422" name="TextBox 3421">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423" name="TextBox 3422">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424" name="TextBox 3423">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425" name="TextBox 3424">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426" name="TextBox 3425">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427" name="TextBox 3426">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428" name="TextBox 3427">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429" name="TextBox 3428">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430" name="TextBox 3429">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431" name="TextBox 3430">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432" name="TextBox 3431">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433" name="TextBox 3432">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434" name="TextBox 3433">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435" name="TextBox 3434">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436" name="TextBox 3435">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437" name="TextBox 3436">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438" name="TextBox 3437">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439" name="TextBox 3438">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440" name="TextBox 3439">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441" name="TextBox 3440">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442" name="TextBox 3441">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443" name="TextBox 3442">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444" name="TextBox 3443">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445" name="TextBox 3444">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446" name="TextBox 3445">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447" name="TextBox 3446">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448" name="TextBox 3447">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449" name="TextBox 3448">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450" name="TextBox 3449">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451" name="TextBox 3450">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452" name="TextBox 3451">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453" name="TextBox 3452">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454" name="TextBox 3453">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455" name="TextBox 3454">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456" name="TextBox 3455">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457" name="TextBox 3456">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458" name="TextBox 3457">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459" name="TextBox 3458">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460" name="TextBox 3459">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461" name="TextBox 3460">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462" name="TextBox 3461">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463" name="TextBox 3462">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464" name="TextBox 3463">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465" name="TextBox 3464">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466" name="TextBox 3465">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467" name="TextBox 3466">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468" name="TextBox 3467">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469" name="TextBox 3468">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470" name="TextBox 3469">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471" name="TextBox 3470">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472" name="TextBox 3471">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473" name="TextBox 3472">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474" name="TextBox 3473">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475" name="TextBox 3474">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476" name="TextBox 3475">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477" name="TextBox 3476">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153</xdr:row>
      <xdr:rowOff>0</xdr:rowOff>
    </xdr:from>
    <xdr:ext cx="65" cy="172227"/>
    <xdr:sp macro="" textlink="">
      <xdr:nvSpPr>
        <xdr:cNvPr id="3982" name="TextBox 3981">
          <a:extLst>
            <a:ext uri="{FF2B5EF4-FFF2-40B4-BE49-F238E27FC236}">
              <a16:creationId xmlns:a16="http://schemas.microsoft.com/office/drawing/2014/main" id="{00000000-0008-0000-0000-000007000000}"/>
            </a:ext>
          </a:extLst>
        </xdr:cNvPr>
        <xdr:cNvSpPr txBox="1"/>
      </xdr:nvSpPr>
      <xdr:spPr>
        <a:xfrm>
          <a:off x="8267700" y="3425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153</xdr:row>
      <xdr:rowOff>0</xdr:rowOff>
    </xdr:from>
    <xdr:ext cx="65" cy="172227"/>
    <xdr:sp macro="" textlink="">
      <xdr:nvSpPr>
        <xdr:cNvPr id="3986" name="TextBox 3985">
          <a:extLst>
            <a:ext uri="{FF2B5EF4-FFF2-40B4-BE49-F238E27FC236}">
              <a16:creationId xmlns:a16="http://schemas.microsoft.com/office/drawing/2014/main" id="{00000000-0008-0000-0000-000007000000}"/>
            </a:ext>
          </a:extLst>
        </xdr:cNvPr>
        <xdr:cNvSpPr txBox="1"/>
      </xdr:nvSpPr>
      <xdr:spPr>
        <a:xfrm>
          <a:off x="8267700" y="3425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3987" name="TextBox 3986">
          <a:extLst>
            <a:ext uri="{FF2B5EF4-FFF2-40B4-BE49-F238E27FC236}">
              <a16:creationId xmlns:a16="http://schemas.microsoft.com/office/drawing/2014/main" id="{00000000-0008-0000-0000-000007000000}"/>
            </a:ext>
          </a:extLst>
        </xdr:cNvPr>
        <xdr:cNvSpPr txBox="1"/>
      </xdr:nvSpPr>
      <xdr:spPr>
        <a:xfrm>
          <a:off x="8267700" y="3445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3988" name="TextBox 3987">
          <a:extLst>
            <a:ext uri="{FF2B5EF4-FFF2-40B4-BE49-F238E27FC236}">
              <a16:creationId xmlns:a16="http://schemas.microsoft.com/office/drawing/2014/main" id="{00000000-0008-0000-0000-000007000000}"/>
            </a:ext>
          </a:extLst>
        </xdr:cNvPr>
        <xdr:cNvSpPr txBox="1"/>
      </xdr:nvSpPr>
      <xdr:spPr>
        <a:xfrm>
          <a:off x="8267700" y="3445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989" name="TextBox 3988">
          <a:extLst>
            <a:ext uri="{FF2B5EF4-FFF2-40B4-BE49-F238E27FC236}">
              <a16:creationId xmlns:a16="http://schemas.microsoft.com/office/drawing/2014/main" id="{00000000-0008-0000-0000-000007000000}"/>
            </a:ext>
          </a:extLst>
        </xdr:cNvPr>
        <xdr:cNvSpPr txBox="1"/>
      </xdr:nvSpPr>
      <xdr:spPr>
        <a:xfrm>
          <a:off x="8267700" y="34648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990" name="TextBox 3989">
          <a:extLst>
            <a:ext uri="{FF2B5EF4-FFF2-40B4-BE49-F238E27FC236}">
              <a16:creationId xmlns:a16="http://schemas.microsoft.com/office/drawing/2014/main" id="{00000000-0008-0000-0000-000007000000}"/>
            </a:ext>
          </a:extLst>
        </xdr:cNvPr>
        <xdr:cNvSpPr txBox="1"/>
      </xdr:nvSpPr>
      <xdr:spPr>
        <a:xfrm>
          <a:off x="8267700" y="34648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991" name="TextBox 3990">
          <a:extLst>
            <a:ext uri="{FF2B5EF4-FFF2-40B4-BE49-F238E27FC236}">
              <a16:creationId xmlns:a16="http://schemas.microsoft.com/office/drawing/2014/main" id="{00000000-0008-0000-0000-000007000000}"/>
            </a:ext>
          </a:extLst>
        </xdr:cNvPr>
        <xdr:cNvSpPr txBox="1"/>
      </xdr:nvSpPr>
      <xdr:spPr>
        <a:xfrm>
          <a:off x="8267700" y="34846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992" name="TextBox 3991">
          <a:extLst>
            <a:ext uri="{FF2B5EF4-FFF2-40B4-BE49-F238E27FC236}">
              <a16:creationId xmlns:a16="http://schemas.microsoft.com/office/drawing/2014/main" id="{00000000-0008-0000-0000-000007000000}"/>
            </a:ext>
          </a:extLst>
        </xdr:cNvPr>
        <xdr:cNvSpPr txBox="1"/>
      </xdr:nvSpPr>
      <xdr:spPr>
        <a:xfrm>
          <a:off x="8267700" y="34846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3993" name="TextBox 3992">
          <a:extLst>
            <a:ext uri="{FF2B5EF4-FFF2-40B4-BE49-F238E27FC236}">
              <a16:creationId xmlns:a16="http://schemas.microsoft.com/office/drawing/2014/main" id="{00000000-0008-0000-0000-000007000000}"/>
            </a:ext>
          </a:extLst>
        </xdr:cNvPr>
        <xdr:cNvSpPr txBox="1"/>
      </xdr:nvSpPr>
      <xdr:spPr>
        <a:xfrm>
          <a:off x="8267700" y="35044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3994" name="TextBox 3993">
          <a:extLst>
            <a:ext uri="{FF2B5EF4-FFF2-40B4-BE49-F238E27FC236}">
              <a16:creationId xmlns:a16="http://schemas.microsoft.com/office/drawing/2014/main" id="{00000000-0008-0000-0000-000007000000}"/>
            </a:ext>
          </a:extLst>
        </xdr:cNvPr>
        <xdr:cNvSpPr txBox="1"/>
      </xdr:nvSpPr>
      <xdr:spPr>
        <a:xfrm>
          <a:off x="8267700" y="35044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3995" name="TextBox 3994">
          <a:extLst>
            <a:ext uri="{FF2B5EF4-FFF2-40B4-BE49-F238E27FC236}">
              <a16:creationId xmlns:a16="http://schemas.microsoft.com/office/drawing/2014/main" id="{00000000-0008-0000-0000-000007000000}"/>
            </a:ext>
          </a:extLst>
        </xdr:cNvPr>
        <xdr:cNvSpPr txBox="1"/>
      </xdr:nvSpPr>
      <xdr:spPr>
        <a:xfrm>
          <a:off x="8267700" y="35242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3996" name="TextBox 3995">
          <a:extLst>
            <a:ext uri="{FF2B5EF4-FFF2-40B4-BE49-F238E27FC236}">
              <a16:creationId xmlns:a16="http://schemas.microsoft.com/office/drawing/2014/main" id="{00000000-0008-0000-0000-000007000000}"/>
            </a:ext>
          </a:extLst>
        </xdr:cNvPr>
        <xdr:cNvSpPr txBox="1"/>
      </xdr:nvSpPr>
      <xdr:spPr>
        <a:xfrm>
          <a:off x="8267700" y="35242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997" name="TextBox 3996">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998" name="TextBox 3997">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3999" name="TextBox 3998">
          <a:extLst>
            <a:ext uri="{FF2B5EF4-FFF2-40B4-BE49-F238E27FC236}">
              <a16:creationId xmlns:a16="http://schemas.microsoft.com/office/drawing/2014/main" id="{00000000-0008-0000-0000-000007000000}"/>
            </a:ext>
          </a:extLst>
        </xdr:cNvPr>
        <xdr:cNvSpPr txBox="1"/>
      </xdr:nvSpPr>
      <xdr:spPr>
        <a:xfrm>
          <a:off x="8267700" y="35638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000" name="TextBox 3999">
          <a:extLst>
            <a:ext uri="{FF2B5EF4-FFF2-40B4-BE49-F238E27FC236}">
              <a16:creationId xmlns:a16="http://schemas.microsoft.com/office/drawing/2014/main" id="{00000000-0008-0000-0000-000007000000}"/>
            </a:ext>
          </a:extLst>
        </xdr:cNvPr>
        <xdr:cNvSpPr txBox="1"/>
      </xdr:nvSpPr>
      <xdr:spPr>
        <a:xfrm>
          <a:off x="8267700" y="35638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161</xdr:row>
      <xdr:rowOff>0</xdr:rowOff>
    </xdr:from>
    <xdr:ext cx="65" cy="172227"/>
    <xdr:sp macro="" textlink="">
      <xdr:nvSpPr>
        <xdr:cNvPr id="4001" name="TextBox 4000">
          <a:extLst>
            <a:ext uri="{FF2B5EF4-FFF2-40B4-BE49-F238E27FC236}">
              <a16:creationId xmlns:a16="http://schemas.microsoft.com/office/drawing/2014/main" id="{00000000-0008-0000-0000-000007000000}"/>
            </a:ext>
          </a:extLst>
        </xdr:cNvPr>
        <xdr:cNvSpPr txBox="1"/>
      </xdr:nvSpPr>
      <xdr:spPr>
        <a:xfrm>
          <a:off x="8267700" y="35821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161</xdr:row>
      <xdr:rowOff>0</xdr:rowOff>
    </xdr:from>
    <xdr:ext cx="65" cy="172227"/>
    <xdr:sp macro="" textlink="">
      <xdr:nvSpPr>
        <xdr:cNvPr id="4002" name="TextBox 4001">
          <a:extLst>
            <a:ext uri="{FF2B5EF4-FFF2-40B4-BE49-F238E27FC236}">
              <a16:creationId xmlns:a16="http://schemas.microsoft.com/office/drawing/2014/main" id="{00000000-0008-0000-0000-000007000000}"/>
            </a:ext>
          </a:extLst>
        </xdr:cNvPr>
        <xdr:cNvSpPr txBox="1"/>
      </xdr:nvSpPr>
      <xdr:spPr>
        <a:xfrm>
          <a:off x="8267700" y="35821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162</xdr:row>
      <xdr:rowOff>0</xdr:rowOff>
    </xdr:from>
    <xdr:ext cx="65" cy="172227"/>
    <xdr:sp macro="" textlink="">
      <xdr:nvSpPr>
        <xdr:cNvPr id="4003" name="TextBox 4002">
          <a:extLst>
            <a:ext uri="{FF2B5EF4-FFF2-40B4-BE49-F238E27FC236}">
              <a16:creationId xmlns:a16="http://schemas.microsoft.com/office/drawing/2014/main" id="{00000000-0008-0000-0000-000007000000}"/>
            </a:ext>
          </a:extLst>
        </xdr:cNvPr>
        <xdr:cNvSpPr txBox="1"/>
      </xdr:nvSpPr>
      <xdr:spPr>
        <a:xfrm>
          <a:off x="8267700" y="36004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162</xdr:row>
      <xdr:rowOff>0</xdr:rowOff>
    </xdr:from>
    <xdr:ext cx="65" cy="172227"/>
    <xdr:sp macro="" textlink="">
      <xdr:nvSpPr>
        <xdr:cNvPr id="4004" name="TextBox 4003">
          <a:extLst>
            <a:ext uri="{FF2B5EF4-FFF2-40B4-BE49-F238E27FC236}">
              <a16:creationId xmlns:a16="http://schemas.microsoft.com/office/drawing/2014/main" id="{00000000-0008-0000-0000-000007000000}"/>
            </a:ext>
          </a:extLst>
        </xdr:cNvPr>
        <xdr:cNvSpPr txBox="1"/>
      </xdr:nvSpPr>
      <xdr:spPr>
        <a:xfrm>
          <a:off x="8267700" y="36004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4005" name="TextBox 4004">
          <a:extLst>
            <a:ext uri="{FF2B5EF4-FFF2-40B4-BE49-F238E27FC236}">
              <a16:creationId xmlns:a16="http://schemas.microsoft.com/office/drawing/2014/main" id="{00000000-0008-0000-0000-000007000000}"/>
            </a:ext>
          </a:extLst>
        </xdr:cNvPr>
        <xdr:cNvSpPr txBox="1"/>
      </xdr:nvSpPr>
      <xdr:spPr>
        <a:xfrm>
          <a:off x="8267700" y="37101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4006" name="TextBox 4005">
          <a:extLst>
            <a:ext uri="{FF2B5EF4-FFF2-40B4-BE49-F238E27FC236}">
              <a16:creationId xmlns:a16="http://schemas.microsoft.com/office/drawing/2014/main" id="{00000000-0008-0000-0000-000007000000}"/>
            </a:ext>
          </a:extLst>
        </xdr:cNvPr>
        <xdr:cNvSpPr txBox="1"/>
      </xdr:nvSpPr>
      <xdr:spPr>
        <a:xfrm>
          <a:off x="8267700" y="37101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4007" name="TextBox 4006">
          <a:extLst>
            <a:ext uri="{FF2B5EF4-FFF2-40B4-BE49-F238E27FC236}">
              <a16:creationId xmlns:a16="http://schemas.microsoft.com/office/drawing/2014/main" id="{00000000-0008-0000-0000-000007000000}"/>
            </a:ext>
          </a:extLst>
        </xdr:cNvPr>
        <xdr:cNvSpPr txBox="1"/>
      </xdr:nvSpPr>
      <xdr:spPr>
        <a:xfrm>
          <a:off x="8267700" y="37284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4008" name="TextBox 4007">
          <a:extLst>
            <a:ext uri="{FF2B5EF4-FFF2-40B4-BE49-F238E27FC236}">
              <a16:creationId xmlns:a16="http://schemas.microsoft.com/office/drawing/2014/main" id="{00000000-0008-0000-0000-000007000000}"/>
            </a:ext>
          </a:extLst>
        </xdr:cNvPr>
        <xdr:cNvSpPr txBox="1"/>
      </xdr:nvSpPr>
      <xdr:spPr>
        <a:xfrm>
          <a:off x="8267700" y="37284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4009" name="TextBox 4008">
          <a:extLst>
            <a:ext uri="{FF2B5EF4-FFF2-40B4-BE49-F238E27FC236}">
              <a16:creationId xmlns:a16="http://schemas.microsoft.com/office/drawing/2014/main" id="{00000000-0008-0000-0000-000007000000}"/>
            </a:ext>
          </a:extLst>
        </xdr:cNvPr>
        <xdr:cNvSpPr txBox="1"/>
      </xdr:nvSpPr>
      <xdr:spPr>
        <a:xfrm>
          <a:off x="8267700" y="37467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4010" name="TextBox 4009">
          <a:extLst>
            <a:ext uri="{FF2B5EF4-FFF2-40B4-BE49-F238E27FC236}">
              <a16:creationId xmlns:a16="http://schemas.microsoft.com/office/drawing/2014/main" id="{00000000-0008-0000-0000-000007000000}"/>
            </a:ext>
          </a:extLst>
        </xdr:cNvPr>
        <xdr:cNvSpPr txBox="1"/>
      </xdr:nvSpPr>
      <xdr:spPr>
        <a:xfrm>
          <a:off x="8267700" y="37467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4011" name="TextBox 4010">
          <a:extLst>
            <a:ext uri="{FF2B5EF4-FFF2-40B4-BE49-F238E27FC236}">
              <a16:creationId xmlns:a16="http://schemas.microsoft.com/office/drawing/2014/main" id="{00000000-0008-0000-0000-000007000000}"/>
            </a:ext>
          </a:extLst>
        </xdr:cNvPr>
        <xdr:cNvSpPr txBox="1"/>
      </xdr:nvSpPr>
      <xdr:spPr>
        <a:xfrm>
          <a:off x="8267700" y="37650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4012" name="TextBox 4011">
          <a:extLst>
            <a:ext uri="{FF2B5EF4-FFF2-40B4-BE49-F238E27FC236}">
              <a16:creationId xmlns:a16="http://schemas.microsoft.com/office/drawing/2014/main" id="{00000000-0008-0000-0000-000007000000}"/>
            </a:ext>
          </a:extLst>
        </xdr:cNvPr>
        <xdr:cNvSpPr txBox="1"/>
      </xdr:nvSpPr>
      <xdr:spPr>
        <a:xfrm>
          <a:off x="8267700" y="37650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172</xdr:row>
      <xdr:rowOff>0</xdr:rowOff>
    </xdr:from>
    <xdr:ext cx="65" cy="172227"/>
    <xdr:sp macro="" textlink="">
      <xdr:nvSpPr>
        <xdr:cNvPr id="4013" name="TextBox 4012">
          <a:extLst>
            <a:ext uri="{FF2B5EF4-FFF2-40B4-BE49-F238E27FC236}">
              <a16:creationId xmlns:a16="http://schemas.microsoft.com/office/drawing/2014/main" id="{00000000-0008-0000-0000-000007000000}"/>
            </a:ext>
          </a:extLst>
        </xdr:cNvPr>
        <xdr:cNvSpPr txBox="1"/>
      </xdr:nvSpPr>
      <xdr:spPr>
        <a:xfrm>
          <a:off x="8267700" y="3783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172</xdr:row>
      <xdr:rowOff>0</xdr:rowOff>
    </xdr:from>
    <xdr:ext cx="65" cy="172227"/>
    <xdr:sp macro="" textlink="">
      <xdr:nvSpPr>
        <xdr:cNvPr id="4014" name="TextBox 4013">
          <a:extLst>
            <a:ext uri="{FF2B5EF4-FFF2-40B4-BE49-F238E27FC236}">
              <a16:creationId xmlns:a16="http://schemas.microsoft.com/office/drawing/2014/main" id="{00000000-0008-0000-0000-000007000000}"/>
            </a:ext>
          </a:extLst>
        </xdr:cNvPr>
        <xdr:cNvSpPr txBox="1"/>
      </xdr:nvSpPr>
      <xdr:spPr>
        <a:xfrm>
          <a:off x="8267700" y="3783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178</xdr:row>
      <xdr:rowOff>0</xdr:rowOff>
    </xdr:from>
    <xdr:ext cx="65" cy="172227"/>
    <xdr:sp macro="" textlink="">
      <xdr:nvSpPr>
        <xdr:cNvPr id="4015" name="TextBox 4014">
          <a:extLst>
            <a:ext uri="{FF2B5EF4-FFF2-40B4-BE49-F238E27FC236}">
              <a16:creationId xmlns:a16="http://schemas.microsoft.com/office/drawing/2014/main" id="{00000000-0008-0000-0000-000007000000}"/>
            </a:ext>
          </a:extLst>
        </xdr:cNvPr>
        <xdr:cNvSpPr txBox="1"/>
      </xdr:nvSpPr>
      <xdr:spPr>
        <a:xfrm>
          <a:off x="8267700" y="38930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178</xdr:row>
      <xdr:rowOff>0</xdr:rowOff>
    </xdr:from>
    <xdr:ext cx="65" cy="172227"/>
    <xdr:sp macro="" textlink="">
      <xdr:nvSpPr>
        <xdr:cNvPr id="4016" name="TextBox 4015">
          <a:extLst>
            <a:ext uri="{FF2B5EF4-FFF2-40B4-BE49-F238E27FC236}">
              <a16:creationId xmlns:a16="http://schemas.microsoft.com/office/drawing/2014/main" id="{00000000-0008-0000-0000-000007000000}"/>
            </a:ext>
          </a:extLst>
        </xdr:cNvPr>
        <xdr:cNvSpPr txBox="1"/>
      </xdr:nvSpPr>
      <xdr:spPr>
        <a:xfrm>
          <a:off x="8267700" y="38930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179</xdr:row>
      <xdr:rowOff>0</xdr:rowOff>
    </xdr:from>
    <xdr:ext cx="65" cy="172227"/>
    <xdr:sp macro="" textlink="">
      <xdr:nvSpPr>
        <xdr:cNvPr id="4017" name="TextBox 4016">
          <a:extLst>
            <a:ext uri="{FF2B5EF4-FFF2-40B4-BE49-F238E27FC236}">
              <a16:creationId xmlns:a16="http://schemas.microsoft.com/office/drawing/2014/main" id="{00000000-0008-0000-0000-000007000000}"/>
            </a:ext>
          </a:extLst>
        </xdr:cNvPr>
        <xdr:cNvSpPr txBox="1"/>
      </xdr:nvSpPr>
      <xdr:spPr>
        <a:xfrm>
          <a:off x="8267700" y="39113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179</xdr:row>
      <xdr:rowOff>0</xdr:rowOff>
    </xdr:from>
    <xdr:ext cx="65" cy="172227"/>
    <xdr:sp macro="" textlink="">
      <xdr:nvSpPr>
        <xdr:cNvPr id="4018" name="TextBox 4017">
          <a:extLst>
            <a:ext uri="{FF2B5EF4-FFF2-40B4-BE49-F238E27FC236}">
              <a16:creationId xmlns:a16="http://schemas.microsoft.com/office/drawing/2014/main" id="{00000000-0008-0000-0000-000007000000}"/>
            </a:ext>
          </a:extLst>
        </xdr:cNvPr>
        <xdr:cNvSpPr txBox="1"/>
      </xdr:nvSpPr>
      <xdr:spPr>
        <a:xfrm>
          <a:off x="8267700" y="39113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180</xdr:row>
      <xdr:rowOff>0</xdr:rowOff>
    </xdr:from>
    <xdr:ext cx="65" cy="172227"/>
    <xdr:sp macro="" textlink="">
      <xdr:nvSpPr>
        <xdr:cNvPr id="4019" name="TextBox 4018">
          <a:extLst>
            <a:ext uri="{FF2B5EF4-FFF2-40B4-BE49-F238E27FC236}">
              <a16:creationId xmlns:a16="http://schemas.microsoft.com/office/drawing/2014/main" id="{00000000-0008-0000-0000-000007000000}"/>
            </a:ext>
          </a:extLst>
        </xdr:cNvPr>
        <xdr:cNvSpPr txBox="1"/>
      </xdr:nvSpPr>
      <xdr:spPr>
        <a:xfrm>
          <a:off x="8267700" y="39296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180</xdr:row>
      <xdr:rowOff>0</xdr:rowOff>
    </xdr:from>
    <xdr:ext cx="65" cy="172227"/>
    <xdr:sp macro="" textlink="">
      <xdr:nvSpPr>
        <xdr:cNvPr id="4020" name="TextBox 4019">
          <a:extLst>
            <a:ext uri="{FF2B5EF4-FFF2-40B4-BE49-F238E27FC236}">
              <a16:creationId xmlns:a16="http://schemas.microsoft.com/office/drawing/2014/main" id="{00000000-0008-0000-0000-000007000000}"/>
            </a:ext>
          </a:extLst>
        </xdr:cNvPr>
        <xdr:cNvSpPr txBox="1"/>
      </xdr:nvSpPr>
      <xdr:spPr>
        <a:xfrm>
          <a:off x="8267700" y="39296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181</xdr:row>
      <xdr:rowOff>0</xdr:rowOff>
    </xdr:from>
    <xdr:ext cx="65" cy="172227"/>
    <xdr:sp macro="" textlink="">
      <xdr:nvSpPr>
        <xdr:cNvPr id="4021" name="TextBox 4020">
          <a:extLst>
            <a:ext uri="{FF2B5EF4-FFF2-40B4-BE49-F238E27FC236}">
              <a16:creationId xmlns:a16="http://schemas.microsoft.com/office/drawing/2014/main" id="{00000000-0008-0000-0000-000007000000}"/>
            </a:ext>
          </a:extLst>
        </xdr:cNvPr>
        <xdr:cNvSpPr txBox="1"/>
      </xdr:nvSpPr>
      <xdr:spPr>
        <a:xfrm>
          <a:off x="8267700" y="39479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181</xdr:row>
      <xdr:rowOff>0</xdr:rowOff>
    </xdr:from>
    <xdr:ext cx="65" cy="172227"/>
    <xdr:sp macro="" textlink="">
      <xdr:nvSpPr>
        <xdr:cNvPr id="4022" name="TextBox 4021">
          <a:extLst>
            <a:ext uri="{FF2B5EF4-FFF2-40B4-BE49-F238E27FC236}">
              <a16:creationId xmlns:a16="http://schemas.microsoft.com/office/drawing/2014/main" id="{00000000-0008-0000-0000-000007000000}"/>
            </a:ext>
          </a:extLst>
        </xdr:cNvPr>
        <xdr:cNvSpPr txBox="1"/>
      </xdr:nvSpPr>
      <xdr:spPr>
        <a:xfrm>
          <a:off x="8267700" y="39479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182</xdr:row>
      <xdr:rowOff>0</xdr:rowOff>
    </xdr:from>
    <xdr:ext cx="65" cy="172227"/>
    <xdr:sp macro="" textlink="">
      <xdr:nvSpPr>
        <xdr:cNvPr id="4023" name="TextBox 4022">
          <a:extLst>
            <a:ext uri="{FF2B5EF4-FFF2-40B4-BE49-F238E27FC236}">
              <a16:creationId xmlns:a16="http://schemas.microsoft.com/office/drawing/2014/main" id="{00000000-0008-0000-0000-000007000000}"/>
            </a:ext>
          </a:extLst>
        </xdr:cNvPr>
        <xdr:cNvSpPr txBox="1"/>
      </xdr:nvSpPr>
      <xdr:spPr>
        <a:xfrm>
          <a:off x="8267700" y="39662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182</xdr:row>
      <xdr:rowOff>0</xdr:rowOff>
    </xdr:from>
    <xdr:ext cx="65" cy="172227"/>
    <xdr:sp macro="" textlink="">
      <xdr:nvSpPr>
        <xdr:cNvPr id="4024" name="TextBox 4023">
          <a:extLst>
            <a:ext uri="{FF2B5EF4-FFF2-40B4-BE49-F238E27FC236}">
              <a16:creationId xmlns:a16="http://schemas.microsoft.com/office/drawing/2014/main" id="{00000000-0008-0000-0000-000007000000}"/>
            </a:ext>
          </a:extLst>
        </xdr:cNvPr>
        <xdr:cNvSpPr txBox="1"/>
      </xdr:nvSpPr>
      <xdr:spPr>
        <a:xfrm>
          <a:off x="8267700" y="39662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4025" name="TextBox 4024">
          <a:extLst>
            <a:ext uri="{FF2B5EF4-FFF2-40B4-BE49-F238E27FC236}">
              <a16:creationId xmlns:a16="http://schemas.microsoft.com/office/drawing/2014/main" id="{00000000-0008-0000-0000-000007000000}"/>
            </a:ext>
          </a:extLst>
        </xdr:cNvPr>
        <xdr:cNvSpPr txBox="1"/>
      </xdr:nvSpPr>
      <xdr:spPr>
        <a:xfrm>
          <a:off x="8267700" y="4039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4026" name="TextBox 4025">
          <a:extLst>
            <a:ext uri="{FF2B5EF4-FFF2-40B4-BE49-F238E27FC236}">
              <a16:creationId xmlns:a16="http://schemas.microsoft.com/office/drawing/2014/main" id="{00000000-0008-0000-0000-000007000000}"/>
            </a:ext>
          </a:extLst>
        </xdr:cNvPr>
        <xdr:cNvSpPr txBox="1"/>
      </xdr:nvSpPr>
      <xdr:spPr>
        <a:xfrm>
          <a:off x="8267700" y="4039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4027" name="TextBox 4026">
          <a:extLst>
            <a:ext uri="{FF2B5EF4-FFF2-40B4-BE49-F238E27FC236}">
              <a16:creationId xmlns:a16="http://schemas.microsoft.com/office/drawing/2014/main" id="{00000000-0008-0000-0000-000007000000}"/>
            </a:ext>
          </a:extLst>
        </xdr:cNvPr>
        <xdr:cNvSpPr txBox="1"/>
      </xdr:nvSpPr>
      <xdr:spPr>
        <a:xfrm>
          <a:off x="8267700" y="4039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4028" name="TextBox 4027">
          <a:extLst>
            <a:ext uri="{FF2B5EF4-FFF2-40B4-BE49-F238E27FC236}">
              <a16:creationId xmlns:a16="http://schemas.microsoft.com/office/drawing/2014/main" id="{00000000-0008-0000-0000-000007000000}"/>
            </a:ext>
          </a:extLst>
        </xdr:cNvPr>
        <xdr:cNvSpPr txBox="1"/>
      </xdr:nvSpPr>
      <xdr:spPr>
        <a:xfrm>
          <a:off x="8267700" y="4039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4029" name="TextBox 4028">
          <a:extLst>
            <a:ext uri="{FF2B5EF4-FFF2-40B4-BE49-F238E27FC236}">
              <a16:creationId xmlns:a16="http://schemas.microsoft.com/office/drawing/2014/main" id="{00000000-0008-0000-0000-000007000000}"/>
            </a:ext>
          </a:extLst>
        </xdr:cNvPr>
        <xdr:cNvSpPr txBox="1"/>
      </xdr:nvSpPr>
      <xdr:spPr>
        <a:xfrm>
          <a:off x="8267700" y="4039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4030" name="TextBox 4029">
          <a:extLst>
            <a:ext uri="{FF2B5EF4-FFF2-40B4-BE49-F238E27FC236}">
              <a16:creationId xmlns:a16="http://schemas.microsoft.com/office/drawing/2014/main" id="{00000000-0008-0000-0000-000007000000}"/>
            </a:ext>
          </a:extLst>
        </xdr:cNvPr>
        <xdr:cNvSpPr txBox="1"/>
      </xdr:nvSpPr>
      <xdr:spPr>
        <a:xfrm>
          <a:off x="8267700" y="4039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4031" name="TextBox 4030">
          <a:extLst>
            <a:ext uri="{FF2B5EF4-FFF2-40B4-BE49-F238E27FC236}">
              <a16:creationId xmlns:a16="http://schemas.microsoft.com/office/drawing/2014/main" id="{00000000-0008-0000-0000-000007000000}"/>
            </a:ext>
          </a:extLst>
        </xdr:cNvPr>
        <xdr:cNvSpPr txBox="1"/>
      </xdr:nvSpPr>
      <xdr:spPr>
        <a:xfrm>
          <a:off x="8267700" y="4039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4032" name="TextBox 4031">
          <a:extLst>
            <a:ext uri="{FF2B5EF4-FFF2-40B4-BE49-F238E27FC236}">
              <a16:creationId xmlns:a16="http://schemas.microsoft.com/office/drawing/2014/main" id="{00000000-0008-0000-0000-000007000000}"/>
            </a:ext>
          </a:extLst>
        </xdr:cNvPr>
        <xdr:cNvSpPr txBox="1"/>
      </xdr:nvSpPr>
      <xdr:spPr>
        <a:xfrm>
          <a:off x="8267700" y="4039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4033" name="TextBox 4032">
          <a:extLst>
            <a:ext uri="{FF2B5EF4-FFF2-40B4-BE49-F238E27FC236}">
              <a16:creationId xmlns:a16="http://schemas.microsoft.com/office/drawing/2014/main" id="{00000000-0008-0000-0000-000007000000}"/>
            </a:ext>
          </a:extLst>
        </xdr:cNvPr>
        <xdr:cNvSpPr txBox="1"/>
      </xdr:nvSpPr>
      <xdr:spPr>
        <a:xfrm>
          <a:off x="8267700" y="4039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4034" name="TextBox 4033">
          <a:extLst>
            <a:ext uri="{FF2B5EF4-FFF2-40B4-BE49-F238E27FC236}">
              <a16:creationId xmlns:a16="http://schemas.microsoft.com/office/drawing/2014/main" id="{00000000-0008-0000-0000-000007000000}"/>
            </a:ext>
          </a:extLst>
        </xdr:cNvPr>
        <xdr:cNvSpPr txBox="1"/>
      </xdr:nvSpPr>
      <xdr:spPr>
        <a:xfrm>
          <a:off x="8267700" y="4039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4035" name="TextBox 4034">
          <a:extLst>
            <a:ext uri="{FF2B5EF4-FFF2-40B4-BE49-F238E27FC236}">
              <a16:creationId xmlns:a16="http://schemas.microsoft.com/office/drawing/2014/main" id="{00000000-0008-0000-0000-000007000000}"/>
            </a:ext>
          </a:extLst>
        </xdr:cNvPr>
        <xdr:cNvSpPr txBox="1"/>
      </xdr:nvSpPr>
      <xdr:spPr>
        <a:xfrm>
          <a:off x="8267700" y="4039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4036" name="TextBox 4035">
          <a:extLst>
            <a:ext uri="{FF2B5EF4-FFF2-40B4-BE49-F238E27FC236}">
              <a16:creationId xmlns:a16="http://schemas.microsoft.com/office/drawing/2014/main" id="{00000000-0008-0000-0000-000007000000}"/>
            </a:ext>
          </a:extLst>
        </xdr:cNvPr>
        <xdr:cNvSpPr txBox="1"/>
      </xdr:nvSpPr>
      <xdr:spPr>
        <a:xfrm>
          <a:off x="8267700" y="4039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4037" name="TextBox 4036">
          <a:extLst>
            <a:ext uri="{FF2B5EF4-FFF2-40B4-BE49-F238E27FC236}">
              <a16:creationId xmlns:a16="http://schemas.microsoft.com/office/drawing/2014/main" id="{00000000-0008-0000-0000-000007000000}"/>
            </a:ext>
          </a:extLst>
        </xdr:cNvPr>
        <xdr:cNvSpPr txBox="1"/>
      </xdr:nvSpPr>
      <xdr:spPr>
        <a:xfrm>
          <a:off x="8267700" y="4039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4038" name="TextBox 4037">
          <a:extLst>
            <a:ext uri="{FF2B5EF4-FFF2-40B4-BE49-F238E27FC236}">
              <a16:creationId xmlns:a16="http://schemas.microsoft.com/office/drawing/2014/main" id="{00000000-0008-0000-0000-000007000000}"/>
            </a:ext>
          </a:extLst>
        </xdr:cNvPr>
        <xdr:cNvSpPr txBox="1"/>
      </xdr:nvSpPr>
      <xdr:spPr>
        <a:xfrm>
          <a:off x="8267700" y="4039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4039" name="TextBox 4038">
          <a:extLst>
            <a:ext uri="{FF2B5EF4-FFF2-40B4-BE49-F238E27FC236}">
              <a16:creationId xmlns:a16="http://schemas.microsoft.com/office/drawing/2014/main" id="{00000000-0008-0000-0000-000007000000}"/>
            </a:ext>
          </a:extLst>
        </xdr:cNvPr>
        <xdr:cNvSpPr txBox="1"/>
      </xdr:nvSpPr>
      <xdr:spPr>
        <a:xfrm>
          <a:off x="8267700" y="4039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4040" name="TextBox 4039">
          <a:extLst>
            <a:ext uri="{FF2B5EF4-FFF2-40B4-BE49-F238E27FC236}">
              <a16:creationId xmlns:a16="http://schemas.microsoft.com/office/drawing/2014/main" id="{00000000-0008-0000-0000-000007000000}"/>
            </a:ext>
          </a:extLst>
        </xdr:cNvPr>
        <xdr:cNvSpPr txBox="1"/>
      </xdr:nvSpPr>
      <xdr:spPr>
        <a:xfrm>
          <a:off x="8267700" y="4039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4041" name="TextBox 4040">
          <a:extLst>
            <a:ext uri="{FF2B5EF4-FFF2-40B4-BE49-F238E27FC236}">
              <a16:creationId xmlns:a16="http://schemas.microsoft.com/office/drawing/2014/main" id="{00000000-0008-0000-0000-000007000000}"/>
            </a:ext>
          </a:extLst>
        </xdr:cNvPr>
        <xdr:cNvSpPr txBox="1"/>
      </xdr:nvSpPr>
      <xdr:spPr>
        <a:xfrm>
          <a:off x="8267700" y="4039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4042" name="TextBox 4041">
          <a:extLst>
            <a:ext uri="{FF2B5EF4-FFF2-40B4-BE49-F238E27FC236}">
              <a16:creationId xmlns:a16="http://schemas.microsoft.com/office/drawing/2014/main" id="{00000000-0008-0000-0000-000007000000}"/>
            </a:ext>
          </a:extLst>
        </xdr:cNvPr>
        <xdr:cNvSpPr txBox="1"/>
      </xdr:nvSpPr>
      <xdr:spPr>
        <a:xfrm>
          <a:off x="8267700" y="4039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4043" name="TextBox 4042">
          <a:extLst>
            <a:ext uri="{FF2B5EF4-FFF2-40B4-BE49-F238E27FC236}">
              <a16:creationId xmlns:a16="http://schemas.microsoft.com/office/drawing/2014/main" id="{00000000-0008-0000-0000-000007000000}"/>
            </a:ext>
          </a:extLst>
        </xdr:cNvPr>
        <xdr:cNvSpPr txBox="1"/>
      </xdr:nvSpPr>
      <xdr:spPr>
        <a:xfrm>
          <a:off x="8267700" y="4039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4044" name="TextBox 4043">
          <a:extLst>
            <a:ext uri="{FF2B5EF4-FFF2-40B4-BE49-F238E27FC236}">
              <a16:creationId xmlns:a16="http://schemas.microsoft.com/office/drawing/2014/main" id="{00000000-0008-0000-0000-000007000000}"/>
            </a:ext>
          </a:extLst>
        </xdr:cNvPr>
        <xdr:cNvSpPr txBox="1"/>
      </xdr:nvSpPr>
      <xdr:spPr>
        <a:xfrm>
          <a:off x="8267700" y="4039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045" name="TextBox 4044">
          <a:extLst>
            <a:ext uri="{FF2B5EF4-FFF2-40B4-BE49-F238E27FC236}">
              <a16:creationId xmlns:a16="http://schemas.microsoft.com/office/drawing/2014/main" id="{00000000-0008-0000-0000-000007000000}"/>
            </a:ext>
          </a:extLst>
        </xdr:cNvPr>
        <xdr:cNvSpPr txBox="1"/>
      </xdr:nvSpPr>
      <xdr:spPr>
        <a:xfrm>
          <a:off x="8267700" y="34648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046" name="TextBox 4045">
          <a:extLst>
            <a:ext uri="{FF2B5EF4-FFF2-40B4-BE49-F238E27FC236}">
              <a16:creationId xmlns:a16="http://schemas.microsoft.com/office/drawing/2014/main" id="{00000000-0008-0000-0000-000007000000}"/>
            </a:ext>
          </a:extLst>
        </xdr:cNvPr>
        <xdr:cNvSpPr txBox="1"/>
      </xdr:nvSpPr>
      <xdr:spPr>
        <a:xfrm>
          <a:off x="8267700" y="34648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047" name="TextBox 4046">
          <a:extLst>
            <a:ext uri="{FF2B5EF4-FFF2-40B4-BE49-F238E27FC236}">
              <a16:creationId xmlns:a16="http://schemas.microsoft.com/office/drawing/2014/main" id="{00000000-0008-0000-0000-000007000000}"/>
            </a:ext>
          </a:extLst>
        </xdr:cNvPr>
        <xdr:cNvSpPr txBox="1"/>
      </xdr:nvSpPr>
      <xdr:spPr>
        <a:xfrm>
          <a:off x="8267700" y="34846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048" name="TextBox 4047">
          <a:extLst>
            <a:ext uri="{FF2B5EF4-FFF2-40B4-BE49-F238E27FC236}">
              <a16:creationId xmlns:a16="http://schemas.microsoft.com/office/drawing/2014/main" id="{00000000-0008-0000-0000-000007000000}"/>
            </a:ext>
          </a:extLst>
        </xdr:cNvPr>
        <xdr:cNvSpPr txBox="1"/>
      </xdr:nvSpPr>
      <xdr:spPr>
        <a:xfrm>
          <a:off x="8267700" y="34846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049" name="TextBox 4048">
          <a:extLst>
            <a:ext uri="{FF2B5EF4-FFF2-40B4-BE49-F238E27FC236}">
              <a16:creationId xmlns:a16="http://schemas.microsoft.com/office/drawing/2014/main" id="{00000000-0008-0000-0000-000007000000}"/>
            </a:ext>
          </a:extLst>
        </xdr:cNvPr>
        <xdr:cNvSpPr txBox="1"/>
      </xdr:nvSpPr>
      <xdr:spPr>
        <a:xfrm>
          <a:off x="8267700" y="35044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050" name="TextBox 4049">
          <a:extLst>
            <a:ext uri="{FF2B5EF4-FFF2-40B4-BE49-F238E27FC236}">
              <a16:creationId xmlns:a16="http://schemas.microsoft.com/office/drawing/2014/main" id="{00000000-0008-0000-0000-000007000000}"/>
            </a:ext>
          </a:extLst>
        </xdr:cNvPr>
        <xdr:cNvSpPr txBox="1"/>
      </xdr:nvSpPr>
      <xdr:spPr>
        <a:xfrm>
          <a:off x="8267700" y="35044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051" name="TextBox 4050">
          <a:extLst>
            <a:ext uri="{FF2B5EF4-FFF2-40B4-BE49-F238E27FC236}">
              <a16:creationId xmlns:a16="http://schemas.microsoft.com/office/drawing/2014/main" id="{00000000-0008-0000-0000-000007000000}"/>
            </a:ext>
          </a:extLst>
        </xdr:cNvPr>
        <xdr:cNvSpPr txBox="1"/>
      </xdr:nvSpPr>
      <xdr:spPr>
        <a:xfrm>
          <a:off x="8267700" y="35044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052" name="TextBox 4051">
          <a:extLst>
            <a:ext uri="{FF2B5EF4-FFF2-40B4-BE49-F238E27FC236}">
              <a16:creationId xmlns:a16="http://schemas.microsoft.com/office/drawing/2014/main" id="{00000000-0008-0000-0000-000007000000}"/>
            </a:ext>
          </a:extLst>
        </xdr:cNvPr>
        <xdr:cNvSpPr txBox="1"/>
      </xdr:nvSpPr>
      <xdr:spPr>
        <a:xfrm>
          <a:off x="8267700" y="35044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4053" name="TextBox 4052">
          <a:extLst>
            <a:ext uri="{FF2B5EF4-FFF2-40B4-BE49-F238E27FC236}">
              <a16:creationId xmlns:a16="http://schemas.microsoft.com/office/drawing/2014/main" id="{00000000-0008-0000-0000-000007000000}"/>
            </a:ext>
          </a:extLst>
        </xdr:cNvPr>
        <xdr:cNvSpPr txBox="1"/>
      </xdr:nvSpPr>
      <xdr:spPr>
        <a:xfrm>
          <a:off x="8267700" y="3445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4054" name="TextBox 4053">
          <a:extLst>
            <a:ext uri="{FF2B5EF4-FFF2-40B4-BE49-F238E27FC236}">
              <a16:creationId xmlns:a16="http://schemas.microsoft.com/office/drawing/2014/main" id="{00000000-0008-0000-0000-000007000000}"/>
            </a:ext>
          </a:extLst>
        </xdr:cNvPr>
        <xdr:cNvSpPr txBox="1"/>
      </xdr:nvSpPr>
      <xdr:spPr>
        <a:xfrm>
          <a:off x="8267700" y="3445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055" name="TextBox 4054">
          <a:extLst>
            <a:ext uri="{FF2B5EF4-FFF2-40B4-BE49-F238E27FC236}">
              <a16:creationId xmlns:a16="http://schemas.microsoft.com/office/drawing/2014/main" id="{00000000-0008-0000-0000-000007000000}"/>
            </a:ext>
          </a:extLst>
        </xdr:cNvPr>
        <xdr:cNvSpPr txBox="1"/>
      </xdr:nvSpPr>
      <xdr:spPr>
        <a:xfrm>
          <a:off x="8267700" y="34648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056" name="TextBox 4055">
          <a:extLst>
            <a:ext uri="{FF2B5EF4-FFF2-40B4-BE49-F238E27FC236}">
              <a16:creationId xmlns:a16="http://schemas.microsoft.com/office/drawing/2014/main" id="{00000000-0008-0000-0000-000007000000}"/>
            </a:ext>
          </a:extLst>
        </xdr:cNvPr>
        <xdr:cNvSpPr txBox="1"/>
      </xdr:nvSpPr>
      <xdr:spPr>
        <a:xfrm>
          <a:off x="8267700" y="34648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057" name="TextBox 4056">
          <a:extLst>
            <a:ext uri="{FF2B5EF4-FFF2-40B4-BE49-F238E27FC236}">
              <a16:creationId xmlns:a16="http://schemas.microsoft.com/office/drawing/2014/main" id="{00000000-0008-0000-0000-000007000000}"/>
            </a:ext>
          </a:extLst>
        </xdr:cNvPr>
        <xdr:cNvSpPr txBox="1"/>
      </xdr:nvSpPr>
      <xdr:spPr>
        <a:xfrm>
          <a:off x="8267700" y="34648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058" name="TextBox 4057">
          <a:extLst>
            <a:ext uri="{FF2B5EF4-FFF2-40B4-BE49-F238E27FC236}">
              <a16:creationId xmlns:a16="http://schemas.microsoft.com/office/drawing/2014/main" id="{00000000-0008-0000-0000-000007000000}"/>
            </a:ext>
          </a:extLst>
        </xdr:cNvPr>
        <xdr:cNvSpPr txBox="1"/>
      </xdr:nvSpPr>
      <xdr:spPr>
        <a:xfrm>
          <a:off x="8267700" y="34648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059" name="TextBox 4058">
          <a:extLst>
            <a:ext uri="{FF2B5EF4-FFF2-40B4-BE49-F238E27FC236}">
              <a16:creationId xmlns:a16="http://schemas.microsoft.com/office/drawing/2014/main" id="{00000000-0008-0000-0000-000007000000}"/>
            </a:ext>
          </a:extLst>
        </xdr:cNvPr>
        <xdr:cNvSpPr txBox="1"/>
      </xdr:nvSpPr>
      <xdr:spPr>
        <a:xfrm>
          <a:off x="8267700" y="34846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060" name="TextBox 4059">
          <a:extLst>
            <a:ext uri="{FF2B5EF4-FFF2-40B4-BE49-F238E27FC236}">
              <a16:creationId xmlns:a16="http://schemas.microsoft.com/office/drawing/2014/main" id="{00000000-0008-0000-0000-000007000000}"/>
            </a:ext>
          </a:extLst>
        </xdr:cNvPr>
        <xdr:cNvSpPr txBox="1"/>
      </xdr:nvSpPr>
      <xdr:spPr>
        <a:xfrm>
          <a:off x="8267700" y="34846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061" name="TextBox 4060">
          <a:extLst>
            <a:ext uri="{FF2B5EF4-FFF2-40B4-BE49-F238E27FC236}">
              <a16:creationId xmlns:a16="http://schemas.microsoft.com/office/drawing/2014/main" id="{00000000-0008-0000-0000-000007000000}"/>
            </a:ext>
          </a:extLst>
        </xdr:cNvPr>
        <xdr:cNvSpPr txBox="1"/>
      </xdr:nvSpPr>
      <xdr:spPr>
        <a:xfrm>
          <a:off x="8267700" y="34846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062" name="TextBox 4061">
          <a:extLst>
            <a:ext uri="{FF2B5EF4-FFF2-40B4-BE49-F238E27FC236}">
              <a16:creationId xmlns:a16="http://schemas.microsoft.com/office/drawing/2014/main" id="{00000000-0008-0000-0000-000007000000}"/>
            </a:ext>
          </a:extLst>
        </xdr:cNvPr>
        <xdr:cNvSpPr txBox="1"/>
      </xdr:nvSpPr>
      <xdr:spPr>
        <a:xfrm>
          <a:off x="8267700" y="34846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063" name="TextBox 4062">
          <a:extLst>
            <a:ext uri="{FF2B5EF4-FFF2-40B4-BE49-F238E27FC236}">
              <a16:creationId xmlns:a16="http://schemas.microsoft.com/office/drawing/2014/main" id="{00000000-0008-0000-0000-000007000000}"/>
            </a:ext>
          </a:extLst>
        </xdr:cNvPr>
        <xdr:cNvSpPr txBox="1"/>
      </xdr:nvSpPr>
      <xdr:spPr>
        <a:xfrm>
          <a:off x="8267700" y="34846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064" name="TextBox 4063">
          <a:extLst>
            <a:ext uri="{FF2B5EF4-FFF2-40B4-BE49-F238E27FC236}">
              <a16:creationId xmlns:a16="http://schemas.microsoft.com/office/drawing/2014/main" id="{00000000-0008-0000-0000-000007000000}"/>
            </a:ext>
          </a:extLst>
        </xdr:cNvPr>
        <xdr:cNvSpPr txBox="1"/>
      </xdr:nvSpPr>
      <xdr:spPr>
        <a:xfrm>
          <a:off x="8267700" y="34846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065" name="TextBox 4064">
          <a:extLst>
            <a:ext uri="{FF2B5EF4-FFF2-40B4-BE49-F238E27FC236}">
              <a16:creationId xmlns:a16="http://schemas.microsoft.com/office/drawing/2014/main" id="{00000000-0008-0000-0000-000007000000}"/>
            </a:ext>
          </a:extLst>
        </xdr:cNvPr>
        <xdr:cNvSpPr txBox="1"/>
      </xdr:nvSpPr>
      <xdr:spPr>
        <a:xfrm>
          <a:off x="8267700" y="34846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066" name="TextBox 4065">
          <a:extLst>
            <a:ext uri="{FF2B5EF4-FFF2-40B4-BE49-F238E27FC236}">
              <a16:creationId xmlns:a16="http://schemas.microsoft.com/office/drawing/2014/main" id="{00000000-0008-0000-0000-000007000000}"/>
            </a:ext>
          </a:extLst>
        </xdr:cNvPr>
        <xdr:cNvSpPr txBox="1"/>
      </xdr:nvSpPr>
      <xdr:spPr>
        <a:xfrm>
          <a:off x="8267700" y="34846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4067" name="TextBox 4066">
          <a:extLst>
            <a:ext uri="{FF2B5EF4-FFF2-40B4-BE49-F238E27FC236}">
              <a16:creationId xmlns:a16="http://schemas.microsoft.com/office/drawing/2014/main" id="{00000000-0008-0000-0000-000007000000}"/>
            </a:ext>
          </a:extLst>
        </xdr:cNvPr>
        <xdr:cNvSpPr txBox="1"/>
      </xdr:nvSpPr>
      <xdr:spPr>
        <a:xfrm>
          <a:off x="8267700" y="3445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4068" name="TextBox 4067">
          <a:extLst>
            <a:ext uri="{FF2B5EF4-FFF2-40B4-BE49-F238E27FC236}">
              <a16:creationId xmlns:a16="http://schemas.microsoft.com/office/drawing/2014/main" id="{00000000-0008-0000-0000-000007000000}"/>
            </a:ext>
          </a:extLst>
        </xdr:cNvPr>
        <xdr:cNvSpPr txBox="1"/>
      </xdr:nvSpPr>
      <xdr:spPr>
        <a:xfrm>
          <a:off x="8267700" y="3445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4069" name="TextBox 4068">
          <a:extLst>
            <a:ext uri="{FF2B5EF4-FFF2-40B4-BE49-F238E27FC236}">
              <a16:creationId xmlns:a16="http://schemas.microsoft.com/office/drawing/2014/main" id="{00000000-0008-0000-0000-000007000000}"/>
            </a:ext>
          </a:extLst>
        </xdr:cNvPr>
        <xdr:cNvSpPr txBox="1"/>
      </xdr:nvSpPr>
      <xdr:spPr>
        <a:xfrm>
          <a:off x="8267700" y="3445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4070" name="TextBox 4069">
          <a:extLst>
            <a:ext uri="{FF2B5EF4-FFF2-40B4-BE49-F238E27FC236}">
              <a16:creationId xmlns:a16="http://schemas.microsoft.com/office/drawing/2014/main" id="{00000000-0008-0000-0000-000007000000}"/>
            </a:ext>
          </a:extLst>
        </xdr:cNvPr>
        <xdr:cNvSpPr txBox="1"/>
      </xdr:nvSpPr>
      <xdr:spPr>
        <a:xfrm>
          <a:off x="8267700" y="3445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071" name="TextBox 4070">
          <a:extLst>
            <a:ext uri="{FF2B5EF4-FFF2-40B4-BE49-F238E27FC236}">
              <a16:creationId xmlns:a16="http://schemas.microsoft.com/office/drawing/2014/main" id="{00000000-0008-0000-0000-000007000000}"/>
            </a:ext>
          </a:extLst>
        </xdr:cNvPr>
        <xdr:cNvSpPr txBox="1"/>
      </xdr:nvSpPr>
      <xdr:spPr>
        <a:xfrm>
          <a:off x="8267700" y="34648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072" name="TextBox 4071">
          <a:extLst>
            <a:ext uri="{FF2B5EF4-FFF2-40B4-BE49-F238E27FC236}">
              <a16:creationId xmlns:a16="http://schemas.microsoft.com/office/drawing/2014/main" id="{00000000-0008-0000-0000-000007000000}"/>
            </a:ext>
          </a:extLst>
        </xdr:cNvPr>
        <xdr:cNvSpPr txBox="1"/>
      </xdr:nvSpPr>
      <xdr:spPr>
        <a:xfrm>
          <a:off x="8267700" y="34648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073" name="TextBox 4072">
          <a:extLst>
            <a:ext uri="{FF2B5EF4-FFF2-40B4-BE49-F238E27FC236}">
              <a16:creationId xmlns:a16="http://schemas.microsoft.com/office/drawing/2014/main" id="{00000000-0008-0000-0000-000007000000}"/>
            </a:ext>
          </a:extLst>
        </xdr:cNvPr>
        <xdr:cNvSpPr txBox="1"/>
      </xdr:nvSpPr>
      <xdr:spPr>
        <a:xfrm>
          <a:off x="8267700" y="34648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074" name="TextBox 4073">
          <a:extLst>
            <a:ext uri="{FF2B5EF4-FFF2-40B4-BE49-F238E27FC236}">
              <a16:creationId xmlns:a16="http://schemas.microsoft.com/office/drawing/2014/main" id="{00000000-0008-0000-0000-000007000000}"/>
            </a:ext>
          </a:extLst>
        </xdr:cNvPr>
        <xdr:cNvSpPr txBox="1"/>
      </xdr:nvSpPr>
      <xdr:spPr>
        <a:xfrm>
          <a:off x="8267700" y="34648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075" name="TextBox 4074">
          <a:extLst>
            <a:ext uri="{FF2B5EF4-FFF2-40B4-BE49-F238E27FC236}">
              <a16:creationId xmlns:a16="http://schemas.microsoft.com/office/drawing/2014/main" id="{00000000-0008-0000-0000-000007000000}"/>
            </a:ext>
          </a:extLst>
        </xdr:cNvPr>
        <xdr:cNvSpPr txBox="1"/>
      </xdr:nvSpPr>
      <xdr:spPr>
        <a:xfrm>
          <a:off x="8267700" y="34648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076" name="TextBox 4075">
          <a:extLst>
            <a:ext uri="{FF2B5EF4-FFF2-40B4-BE49-F238E27FC236}">
              <a16:creationId xmlns:a16="http://schemas.microsoft.com/office/drawing/2014/main" id="{00000000-0008-0000-0000-000007000000}"/>
            </a:ext>
          </a:extLst>
        </xdr:cNvPr>
        <xdr:cNvSpPr txBox="1"/>
      </xdr:nvSpPr>
      <xdr:spPr>
        <a:xfrm>
          <a:off x="8267700" y="34648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077" name="TextBox 4076">
          <a:extLst>
            <a:ext uri="{FF2B5EF4-FFF2-40B4-BE49-F238E27FC236}">
              <a16:creationId xmlns:a16="http://schemas.microsoft.com/office/drawing/2014/main" id="{00000000-0008-0000-0000-000007000000}"/>
            </a:ext>
          </a:extLst>
        </xdr:cNvPr>
        <xdr:cNvSpPr txBox="1"/>
      </xdr:nvSpPr>
      <xdr:spPr>
        <a:xfrm>
          <a:off x="8267700" y="34648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078" name="TextBox 4077">
          <a:extLst>
            <a:ext uri="{FF2B5EF4-FFF2-40B4-BE49-F238E27FC236}">
              <a16:creationId xmlns:a16="http://schemas.microsoft.com/office/drawing/2014/main" id="{00000000-0008-0000-0000-000007000000}"/>
            </a:ext>
          </a:extLst>
        </xdr:cNvPr>
        <xdr:cNvSpPr txBox="1"/>
      </xdr:nvSpPr>
      <xdr:spPr>
        <a:xfrm>
          <a:off x="8267700" y="34648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079" name="TextBox 4078">
          <a:extLst>
            <a:ext uri="{FF2B5EF4-FFF2-40B4-BE49-F238E27FC236}">
              <a16:creationId xmlns:a16="http://schemas.microsoft.com/office/drawing/2014/main" id="{00000000-0008-0000-0000-000007000000}"/>
            </a:ext>
          </a:extLst>
        </xdr:cNvPr>
        <xdr:cNvSpPr txBox="1"/>
      </xdr:nvSpPr>
      <xdr:spPr>
        <a:xfrm>
          <a:off x="8267700" y="34648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080" name="TextBox 4079">
          <a:extLst>
            <a:ext uri="{FF2B5EF4-FFF2-40B4-BE49-F238E27FC236}">
              <a16:creationId xmlns:a16="http://schemas.microsoft.com/office/drawing/2014/main" id="{00000000-0008-0000-0000-000007000000}"/>
            </a:ext>
          </a:extLst>
        </xdr:cNvPr>
        <xdr:cNvSpPr txBox="1"/>
      </xdr:nvSpPr>
      <xdr:spPr>
        <a:xfrm>
          <a:off x="8267700" y="34648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081" name="TextBox 4080">
          <a:extLst>
            <a:ext uri="{FF2B5EF4-FFF2-40B4-BE49-F238E27FC236}">
              <a16:creationId xmlns:a16="http://schemas.microsoft.com/office/drawing/2014/main" id="{00000000-0008-0000-0000-000007000000}"/>
            </a:ext>
          </a:extLst>
        </xdr:cNvPr>
        <xdr:cNvSpPr txBox="1"/>
      </xdr:nvSpPr>
      <xdr:spPr>
        <a:xfrm>
          <a:off x="8267700" y="34648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082" name="TextBox 4081">
          <a:extLst>
            <a:ext uri="{FF2B5EF4-FFF2-40B4-BE49-F238E27FC236}">
              <a16:creationId xmlns:a16="http://schemas.microsoft.com/office/drawing/2014/main" id="{00000000-0008-0000-0000-000007000000}"/>
            </a:ext>
          </a:extLst>
        </xdr:cNvPr>
        <xdr:cNvSpPr txBox="1"/>
      </xdr:nvSpPr>
      <xdr:spPr>
        <a:xfrm>
          <a:off x="8267700" y="34648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083" name="TextBox 4082">
          <a:extLst>
            <a:ext uri="{FF2B5EF4-FFF2-40B4-BE49-F238E27FC236}">
              <a16:creationId xmlns:a16="http://schemas.microsoft.com/office/drawing/2014/main" id="{00000000-0008-0000-0000-000007000000}"/>
            </a:ext>
          </a:extLst>
        </xdr:cNvPr>
        <xdr:cNvSpPr txBox="1"/>
      </xdr:nvSpPr>
      <xdr:spPr>
        <a:xfrm>
          <a:off x="8267700" y="34648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084" name="TextBox 4083">
          <a:extLst>
            <a:ext uri="{FF2B5EF4-FFF2-40B4-BE49-F238E27FC236}">
              <a16:creationId xmlns:a16="http://schemas.microsoft.com/office/drawing/2014/main" id="{00000000-0008-0000-0000-000007000000}"/>
            </a:ext>
          </a:extLst>
        </xdr:cNvPr>
        <xdr:cNvSpPr txBox="1"/>
      </xdr:nvSpPr>
      <xdr:spPr>
        <a:xfrm>
          <a:off x="8267700" y="34648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085" name="TextBox 4084">
          <a:extLst>
            <a:ext uri="{FF2B5EF4-FFF2-40B4-BE49-F238E27FC236}">
              <a16:creationId xmlns:a16="http://schemas.microsoft.com/office/drawing/2014/main" id="{00000000-0008-0000-0000-000007000000}"/>
            </a:ext>
          </a:extLst>
        </xdr:cNvPr>
        <xdr:cNvSpPr txBox="1"/>
      </xdr:nvSpPr>
      <xdr:spPr>
        <a:xfrm>
          <a:off x="8267700" y="34648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086" name="TextBox 4085">
          <a:extLst>
            <a:ext uri="{FF2B5EF4-FFF2-40B4-BE49-F238E27FC236}">
              <a16:creationId xmlns:a16="http://schemas.microsoft.com/office/drawing/2014/main" id="{00000000-0008-0000-0000-000007000000}"/>
            </a:ext>
          </a:extLst>
        </xdr:cNvPr>
        <xdr:cNvSpPr txBox="1"/>
      </xdr:nvSpPr>
      <xdr:spPr>
        <a:xfrm>
          <a:off x="8267700" y="34648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087" name="TextBox 4086">
          <a:extLst>
            <a:ext uri="{FF2B5EF4-FFF2-40B4-BE49-F238E27FC236}">
              <a16:creationId xmlns:a16="http://schemas.microsoft.com/office/drawing/2014/main" id="{00000000-0008-0000-0000-000007000000}"/>
            </a:ext>
          </a:extLst>
        </xdr:cNvPr>
        <xdr:cNvSpPr txBox="1"/>
      </xdr:nvSpPr>
      <xdr:spPr>
        <a:xfrm>
          <a:off x="12580620" y="34648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088" name="TextBox 4087">
          <a:extLst>
            <a:ext uri="{FF2B5EF4-FFF2-40B4-BE49-F238E27FC236}">
              <a16:creationId xmlns:a16="http://schemas.microsoft.com/office/drawing/2014/main" id="{00000000-0008-0000-0000-000007000000}"/>
            </a:ext>
          </a:extLst>
        </xdr:cNvPr>
        <xdr:cNvSpPr txBox="1"/>
      </xdr:nvSpPr>
      <xdr:spPr>
        <a:xfrm>
          <a:off x="12580620" y="34648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089" name="TextBox 4088">
          <a:extLst>
            <a:ext uri="{FF2B5EF4-FFF2-40B4-BE49-F238E27FC236}">
              <a16:creationId xmlns:a16="http://schemas.microsoft.com/office/drawing/2014/main" id="{00000000-0008-0000-0000-000007000000}"/>
            </a:ext>
          </a:extLst>
        </xdr:cNvPr>
        <xdr:cNvSpPr txBox="1"/>
      </xdr:nvSpPr>
      <xdr:spPr>
        <a:xfrm>
          <a:off x="12580620" y="34648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090" name="TextBox 4089">
          <a:extLst>
            <a:ext uri="{FF2B5EF4-FFF2-40B4-BE49-F238E27FC236}">
              <a16:creationId xmlns:a16="http://schemas.microsoft.com/office/drawing/2014/main" id="{00000000-0008-0000-0000-000007000000}"/>
            </a:ext>
          </a:extLst>
        </xdr:cNvPr>
        <xdr:cNvSpPr txBox="1"/>
      </xdr:nvSpPr>
      <xdr:spPr>
        <a:xfrm>
          <a:off x="12580620" y="34648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091" name="TextBox 4090">
          <a:extLst>
            <a:ext uri="{FF2B5EF4-FFF2-40B4-BE49-F238E27FC236}">
              <a16:creationId xmlns:a16="http://schemas.microsoft.com/office/drawing/2014/main" id="{00000000-0008-0000-0000-000007000000}"/>
            </a:ext>
          </a:extLst>
        </xdr:cNvPr>
        <xdr:cNvSpPr txBox="1"/>
      </xdr:nvSpPr>
      <xdr:spPr>
        <a:xfrm>
          <a:off x="12580620" y="34648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092" name="TextBox 4091">
          <a:extLst>
            <a:ext uri="{FF2B5EF4-FFF2-40B4-BE49-F238E27FC236}">
              <a16:creationId xmlns:a16="http://schemas.microsoft.com/office/drawing/2014/main" id="{00000000-0008-0000-0000-000007000000}"/>
            </a:ext>
          </a:extLst>
        </xdr:cNvPr>
        <xdr:cNvSpPr txBox="1"/>
      </xdr:nvSpPr>
      <xdr:spPr>
        <a:xfrm>
          <a:off x="12580620" y="34648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093" name="TextBox 4092">
          <a:extLst>
            <a:ext uri="{FF2B5EF4-FFF2-40B4-BE49-F238E27FC236}">
              <a16:creationId xmlns:a16="http://schemas.microsoft.com/office/drawing/2014/main" id="{00000000-0008-0000-0000-000007000000}"/>
            </a:ext>
          </a:extLst>
        </xdr:cNvPr>
        <xdr:cNvSpPr txBox="1"/>
      </xdr:nvSpPr>
      <xdr:spPr>
        <a:xfrm>
          <a:off x="12580620" y="34648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094" name="TextBox 4093">
          <a:extLst>
            <a:ext uri="{FF2B5EF4-FFF2-40B4-BE49-F238E27FC236}">
              <a16:creationId xmlns:a16="http://schemas.microsoft.com/office/drawing/2014/main" id="{00000000-0008-0000-0000-000007000000}"/>
            </a:ext>
          </a:extLst>
        </xdr:cNvPr>
        <xdr:cNvSpPr txBox="1"/>
      </xdr:nvSpPr>
      <xdr:spPr>
        <a:xfrm>
          <a:off x="12580620" y="34648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4095" name="TextBox 4094">
          <a:extLst>
            <a:ext uri="{FF2B5EF4-FFF2-40B4-BE49-F238E27FC236}">
              <a16:creationId xmlns:a16="http://schemas.microsoft.com/office/drawing/2014/main" id="{00000000-0008-0000-0000-000007000000}"/>
            </a:ext>
          </a:extLst>
        </xdr:cNvPr>
        <xdr:cNvSpPr txBox="1"/>
      </xdr:nvSpPr>
      <xdr:spPr>
        <a:xfrm>
          <a:off x="8267700" y="3445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4096" name="TextBox 4095">
          <a:extLst>
            <a:ext uri="{FF2B5EF4-FFF2-40B4-BE49-F238E27FC236}">
              <a16:creationId xmlns:a16="http://schemas.microsoft.com/office/drawing/2014/main" id="{00000000-0008-0000-0000-000007000000}"/>
            </a:ext>
          </a:extLst>
        </xdr:cNvPr>
        <xdr:cNvSpPr txBox="1"/>
      </xdr:nvSpPr>
      <xdr:spPr>
        <a:xfrm>
          <a:off x="8267700" y="3445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4097" name="TextBox 4096">
          <a:extLst>
            <a:ext uri="{FF2B5EF4-FFF2-40B4-BE49-F238E27FC236}">
              <a16:creationId xmlns:a16="http://schemas.microsoft.com/office/drawing/2014/main" id="{00000000-0008-0000-0000-000007000000}"/>
            </a:ext>
          </a:extLst>
        </xdr:cNvPr>
        <xdr:cNvSpPr txBox="1"/>
      </xdr:nvSpPr>
      <xdr:spPr>
        <a:xfrm>
          <a:off x="8267700" y="3445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4098" name="TextBox 4097">
          <a:extLst>
            <a:ext uri="{FF2B5EF4-FFF2-40B4-BE49-F238E27FC236}">
              <a16:creationId xmlns:a16="http://schemas.microsoft.com/office/drawing/2014/main" id="{00000000-0008-0000-0000-000007000000}"/>
            </a:ext>
          </a:extLst>
        </xdr:cNvPr>
        <xdr:cNvSpPr txBox="1"/>
      </xdr:nvSpPr>
      <xdr:spPr>
        <a:xfrm>
          <a:off x="8267700" y="3445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099" name="TextBox 4098">
          <a:extLst>
            <a:ext uri="{FF2B5EF4-FFF2-40B4-BE49-F238E27FC236}">
              <a16:creationId xmlns:a16="http://schemas.microsoft.com/office/drawing/2014/main" id="{00000000-0008-0000-0000-000007000000}"/>
            </a:ext>
          </a:extLst>
        </xdr:cNvPr>
        <xdr:cNvSpPr txBox="1"/>
      </xdr:nvSpPr>
      <xdr:spPr>
        <a:xfrm>
          <a:off x="8267700" y="34648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100" name="TextBox 4099">
          <a:extLst>
            <a:ext uri="{FF2B5EF4-FFF2-40B4-BE49-F238E27FC236}">
              <a16:creationId xmlns:a16="http://schemas.microsoft.com/office/drawing/2014/main" id="{00000000-0008-0000-0000-000007000000}"/>
            </a:ext>
          </a:extLst>
        </xdr:cNvPr>
        <xdr:cNvSpPr txBox="1"/>
      </xdr:nvSpPr>
      <xdr:spPr>
        <a:xfrm>
          <a:off x="8267700" y="34648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101" name="TextBox 4100">
          <a:extLst>
            <a:ext uri="{FF2B5EF4-FFF2-40B4-BE49-F238E27FC236}">
              <a16:creationId xmlns:a16="http://schemas.microsoft.com/office/drawing/2014/main" id="{00000000-0008-0000-0000-000007000000}"/>
            </a:ext>
          </a:extLst>
        </xdr:cNvPr>
        <xdr:cNvSpPr txBox="1"/>
      </xdr:nvSpPr>
      <xdr:spPr>
        <a:xfrm>
          <a:off x="8267700" y="34648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102" name="TextBox 4101">
          <a:extLst>
            <a:ext uri="{FF2B5EF4-FFF2-40B4-BE49-F238E27FC236}">
              <a16:creationId xmlns:a16="http://schemas.microsoft.com/office/drawing/2014/main" id="{00000000-0008-0000-0000-000007000000}"/>
            </a:ext>
          </a:extLst>
        </xdr:cNvPr>
        <xdr:cNvSpPr txBox="1"/>
      </xdr:nvSpPr>
      <xdr:spPr>
        <a:xfrm>
          <a:off x="8267700" y="34648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103" name="TextBox 4102">
          <a:extLst>
            <a:ext uri="{FF2B5EF4-FFF2-40B4-BE49-F238E27FC236}">
              <a16:creationId xmlns:a16="http://schemas.microsoft.com/office/drawing/2014/main" id="{00000000-0008-0000-0000-000007000000}"/>
            </a:ext>
          </a:extLst>
        </xdr:cNvPr>
        <xdr:cNvSpPr txBox="1"/>
      </xdr:nvSpPr>
      <xdr:spPr>
        <a:xfrm>
          <a:off x="8267700" y="34648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104" name="TextBox 4103">
          <a:extLst>
            <a:ext uri="{FF2B5EF4-FFF2-40B4-BE49-F238E27FC236}">
              <a16:creationId xmlns:a16="http://schemas.microsoft.com/office/drawing/2014/main" id="{00000000-0008-0000-0000-000007000000}"/>
            </a:ext>
          </a:extLst>
        </xdr:cNvPr>
        <xdr:cNvSpPr txBox="1"/>
      </xdr:nvSpPr>
      <xdr:spPr>
        <a:xfrm>
          <a:off x="8267700" y="34648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105" name="TextBox 4104">
          <a:extLst>
            <a:ext uri="{FF2B5EF4-FFF2-40B4-BE49-F238E27FC236}">
              <a16:creationId xmlns:a16="http://schemas.microsoft.com/office/drawing/2014/main" id="{00000000-0008-0000-0000-000007000000}"/>
            </a:ext>
          </a:extLst>
        </xdr:cNvPr>
        <xdr:cNvSpPr txBox="1"/>
      </xdr:nvSpPr>
      <xdr:spPr>
        <a:xfrm>
          <a:off x="8267700" y="34648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106" name="TextBox 4105">
          <a:extLst>
            <a:ext uri="{FF2B5EF4-FFF2-40B4-BE49-F238E27FC236}">
              <a16:creationId xmlns:a16="http://schemas.microsoft.com/office/drawing/2014/main" id="{00000000-0008-0000-0000-000007000000}"/>
            </a:ext>
          </a:extLst>
        </xdr:cNvPr>
        <xdr:cNvSpPr txBox="1"/>
      </xdr:nvSpPr>
      <xdr:spPr>
        <a:xfrm>
          <a:off x="8267700" y="34648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107" name="TextBox 4106">
          <a:extLst>
            <a:ext uri="{FF2B5EF4-FFF2-40B4-BE49-F238E27FC236}">
              <a16:creationId xmlns:a16="http://schemas.microsoft.com/office/drawing/2014/main" id="{00000000-0008-0000-0000-000007000000}"/>
            </a:ext>
          </a:extLst>
        </xdr:cNvPr>
        <xdr:cNvSpPr txBox="1"/>
      </xdr:nvSpPr>
      <xdr:spPr>
        <a:xfrm>
          <a:off x="8267700" y="34648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108" name="TextBox 4107">
          <a:extLst>
            <a:ext uri="{FF2B5EF4-FFF2-40B4-BE49-F238E27FC236}">
              <a16:creationId xmlns:a16="http://schemas.microsoft.com/office/drawing/2014/main" id="{00000000-0008-0000-0000-000007000000}"/>
            </a:ext>
          </a:extLst>
        </xdr:cNvPr>
        <xdr:cNvSpPr txBox="1"/>
      </xdr:nvSpPr>
      <xdr:spPr>
        <a:xfrm>
          <a:off x="8267700" y="34648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109" name="TextBox 4108">
          <a:extLst>
            <a:ext uri="{FF2B5EF4-FFF2-40B4-BE49-F238E27FC236}">
              <a16:creationId xmlns:a16="http://schemas.microsoft.com/office/drawing/2014/main" id="{00000000-0008-0000-0000-000007000000}"/>
            </a:ext>
          </a:extLst>
        </xdr:cNvPr>
        <xdr:cNvSpPr txBox="1"/>
      </xdr:nvSpPr>
      <xdr:spPr>
        <a:xfrm>
          <a:off x="8267700" y="34648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110" name="TextBox 4109">
          <a:extLst>
            <a:ext uri="{FF2B5EF4-FFF2-40B4-BE49-F238E27FC236}">
              <a16:creationId xmlns:a16="http://schemas.microsoft.com/office/drawing/2014/main" id="{00000000-0008-0000-0000-000007000000}"/>
            </a:ext>
          </a:extLst>
        </xdr:cNvPr>
        <xdr:cNvSpPr txBox="1"/>
      </xdr:nvSpPr>
      <xdr:spPr>
        <a:xfrm>
          <a:off x="8267700" y="34648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111" name="TextBox 4110">
          <a:extLst>
            <a:ext uri="{FF2B5EF4-FFF2-40B4-BE49-F238E27FC236}">
              <a16:creationId xmlns:a16="http://schemas.microsoft.com/office/drawing/2014/main" id="{00000000-0008-0000-0000-000007000000}"/>
            </a:ext>
          </a:extLst>
        </xdr:cNvPr>
        <xdr:cNvSpPr txBox="1"/>
      </xdr:nvSpPr>
      <xdr:spPr>
        <a:xfrm>
          <a:off x="8267700" y="34846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112" name="TextBox 4111">
          <a:extLst>
            <a:ext uri="{FF2B5EF4-FFF2-40B4-BE49-F238E27FC236}">
              <a16:creationId xmlns:a16="http://schemas.microsoft.com/office/drawing/2014/main" id="{00000000-0008-0000-0000-000007000000}"/>
            </a:ext>
          </a:extLst>
        </xdr:cNvPr>
        <xdr:cNvSpPr txBox="1"/>
      </xdr:nvSpPr>
      <xdr:spPr>
        <a:xfrm>
          <a:off x="8267700" y="34846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113" name="TextBox 4112">
          <a:extLst>
            <a:ext uri="{FF2B5EF4-FFF2-40B4-BE49-F238E27FC236}">
              <a16:creationId xmlns:a16="http://schemas.microsoft.com/office/drawing/2014/main" id="{00000000-0008-0000-0000-000007000000}"/>
            </a:ext>
          </a:extLst>
        </xdr:cNvPr>
        <xdr:cNvSpPr txBox="1"/>
      </xdr:nvSpPr>
      <xdr:spPr>
        <a:xfrm>
          <a:off x="8267700" y="34846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114" name="TextBox 4113">
          <a:extLst>
            <a:ext uri="{FF2B5EF4-FFF2-40B4-BE49-F238E27FC236}">
              <a16:creationId xmlns:a16="http://schemas.microsoft.com/office/drawing/2014/main" id="{00000000-0008-0000-0000-000007000000}"/>
            </a:ext>
          </a:extLst>
        </xdr:cNvPr>
        <xdr:cNvSpPr txBox="1"/>
      </xdr:nvSpPr>
      <xdr:spPr>
        <a:xfrm>
          <a:off x="8267700" y="34846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115" name="TextBox 4114">
          <a:extLst>
            <a:ext uri="{FF2B5EF4-FFF2-40B4-BE49-F238E27FC236}">
              <a16:creationId xmlns:a16="http://schemas.microsoft.com/office/drawing/2014/main" id="{00000000-0008-0000-0000-000007000000}"/>
            </a:ext>
          </a:extLst>
        </xdr:cNvPr>
        <xdr:cNvSpPr txBox="1"/>
      </xdr:nvSpPr>
      <xdr:spPr>
        <a:xfrm>
          <a:off x="8267700" y="34846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116" name="TextBox 4115">
          <a:extLst>
            <a:ext uri="{FF2B5EF4-FFF2-40B4-BE49-F238E27FC236}">
              <a16:creationId xmlns:a16="http://schemas.microsoft.com/office/drawing/2014/main" id="{00000000-0008-0000-0000-000007000000}"/>
            </a:ext>
          </a:extLst>
        </xdr:cNvPr>
        <xdr:cNvSpPr txBox="1"/>
      </xdr:nvSpPr>
      <xdr:spPr>
        <a:xfrm>
          <a:off x="8267700" y="34846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117" name="TextBox 4116">
          <a:extLst>
            <a:ext uri="{FF2B5EF4-FFF2-40B4-BE49-F238E27FC236}">
              <a16:creationId xmlns:a16="http://schemas.microsoft.com/office/drawing/2014/main" id="{00000000-0008-0000-0000-000007000000}"/>
            </a:ext>
          </a:extLst>
        </xdr:cNvPr>
        <xdr:cNvSpPr txBox="1"/>
      </xdr:nvSpPr>
      <xdr:spPr>
        <a:xfrm>
          <a:off x="8267700" y="34846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118" name="TextBox 4117">
          <a:extLst>
            <a:ext uri="{FF2B5EF4-FFF2-40B4-BE49-F238E27FC236}">
              <a16:creationId xmlns:a16="http://schemas.microsoft.com/office/drawing/2014/main" id="{00000000-0008-0000-0000-000007000000}"/>
            </a:ext>
          </a:extLst>
        </xdr:cNvPr>
        <xdr:cNvSpPr txBox="1"/>
      </xdr:nvSpPr>
      <xdr:spPr>
        <a:xfrm>
          <a:off x="8267700" y="34846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119" name="TextBox 4118">
          <a:extLst>
            <a:ext uri="{FF2B5EF4-FFF2-40B4-BE49-F238E27FC236}">
              <a16:creationId xmlns:a16="http://schemas.microsoft.com/office/drawing/2014/main" id="{00000000-0008-0000-0000-000007000000}"/>
            </a:ext>
          </a:extLst>
        </xdr:cNvPr>
        <xdr:cNvSpPr txBox="1"/>
      </xdr:nvSpPr>
      <xdr:spPr>
        <a:xfrm>
          <a:off x="8267700" y="34846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120" name="TextBox 4119">
          <a:extLst>
            <a:ext uri="{FF2B5EF4-FFF2-40B4-BE49-F238E27FC236}">
              <a16:creationId xmlns:a16="http://schemas.microsoft.com/office/drawing/2014/main" id="{00000000-0008-0000-0000-000007000000}"/>
            </a:ext>
          </a:extLst>
        </xdr:cNvPr>
        <xdr:cNvSpPr txBox="1"/>
      </xdr:nvSpPr>
      <xdr:spPr>
        <a:xfrm>
          <a:off x="8267700" y="34846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121" name="TextBox 4120">
          <a:extLst>
            <a:ext uri="{FF2B5EF4-FFF2-40B4-BE49-F238E27FC236}">
              <a16:creationId xmlns:a16="http://schemas.microsoft.com/office/drawing/2014/main" id="{00000000-0008-0000-0000-000007000000}"/>
            </a:ext>
          </a:extLst>
        </xdr:cNvPr>
        <xdr:cNvSpPr txBox="1"/>
      </xdr:nvSpPr>
      <xdr:spPr>
        <a:xfrm>
          <a:off x="8267700" y="34846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122" name="TextBox 4121">
          <a:extLst>
            <a:ext uri="{FF2B5EF4-FFF2-40B4-BE49-F238E27FC236}">
              <a16:creationId xmlns:a16="http://schemas.microsoft.com/office/drawing/2014/main" id="{00000000-0008-0000-0000-000007000000}"/>
            </a:ext>
          </a:extLst>
        </xdr:cNvPr>
        <xdr:cNvSpPr txBox="1"/>
      </xdr:nvSpPr>
      <xdr:spPr>
        <a:xfrm>
          <a:off x="8267700" y="34846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123" name="TextBox 4122">
          <a:extLst>
            <a:ext uri="{FF2B5EF4-FFF2-40B4-BE49-F238E27FC236}">
              <a16:creationId xmlns:a16="http://schemas.microsoft.com/office/drawing/2014/main" id="{00000000-0008-0000-0000-000007000000}"/>
            </a:ext>
          </a:extLst>
        </xdr:cNvPr>
        <xdr:cNvSpPr txBox="1"/>
      </xdr:nvSpPr>
      <xdr:spPr>
        <a:xfrm>
          <a:off x="8267700" y="34846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124" name="TextBox 4123">
          <a:extLst>
            <a:ext uri="{FF2B5EF4-FFF2-40B4-BE49-F238E27FC236}">
              <a16:creationId xmlns:a16="http://schemas.microsoft.com/office/drawing/2014/main" id="{00000000-0008-0000-0000-000007000000}"/>
            </a:ext>
          </a:extLst>
        </xdr:cNvPr>
        <xdr:cNvSpPr txBox="1"/>
      </xdr:nvSpPr>
      <xdr:spPr>
        <a:xfrm>
          <a:off x="8267700" y="34846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125" name="TextBox 4124">
          <a:extLst>
            <a:ext uri="{FF2B5EF4-FFF2-40B4-BE49-F238E27FC236}">
              <a16:creationId xmlns:a16="http://schemas.microsoft.com/office/drawing/2014/main" id="{00000000-0008-0000-0000-000007000000}"/>
            </a:ext>
          </a:extLst>
        </xdr:cNvPr>
        <xdr:cNvSpPr txBox="1"/>
      </xdr:nvSpPr>
      <xdr:spPr>
        <a:xfrm>
          <a:off x="8267700" y="34846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126" name="TextBox 4125">
          <a:extLst>
            <a:ext uri="{FF2B5EF4-FFF2-40B4-BE49-F238E27FC236}">
              <a16:creationId xmlns:a16="http://schemas.microsoft.com/office/drawing/2014/main" id="{00000000-0008-0000-0000-000007000000}"/>
            </a:ext>
          </a:extLst>
        </xdr:cNvPr>
        <xdr:cNvSpPr txBox="1"/>
      </xdr:nvSpPr>
      <xdr:spPr>
        <a:xfrm>
          <a:off x="8267700" y="34846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127" name="TextBox 4126">
          <a:extLst>
            <a:ext uri="{FF2B5EF4-FFF2-40B4-BE49-F238E27FC236}">
              <a16:creationId xmlns:a16="http://schemas.microsoft.com/office/drawing/2014/main" id="{00000000-0008-0000-0000-000007000000}"/>
            </a:ext>
          </a:extLst>
        </xdr:cNvPr>
        <xdr:cNvSpPr txBox="1"/>
      </xdr:nvSpPr>
      <xdr:spPr>
        <a:xfrm>
          <a:off x="8267700" y="34846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128" name="TextBox 4127">
          <a:extLst>
            <a:ext uri="{FF2B5EF4-FFF2-40B4-BE49-F238E27FC236}">
              <a16:creationId xmlns:a16="http://schemas.microsoft.com/office/drawing/2014/main" id="{00000000-0008-0000-0000-000007000000}"/>
            </a:ext>
          </a:extLst>
        </xdr:cNvPr>
        <xdr:cNvSpPr txBox="1"/>
      </xdr:nvSpPr>
      <xdr:spPr>
        <a:xfrm>
          <a:off x="8267700" y="34846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129" name="TextBox 4128">
          <a:extLst>
            <a:ext uri="{FF2B5EF4-FFF2-40B4-BE49-F238E27FC236}">
              <a16:creationId xmlns:a16="http://schemas.microsoft.com/office/drawing/2014/main" id="{00000000-0008-0000-0000-000007000000}"/>
            </a:ext>
          </a:extLst>
        </xdr:cNvPr>
        <xdr:cNvSpPr txBox="1"/>
      </xdr:nvSpPr>
      <xdr:spPr>
        <a:xfrm>
          <a:off x="8267700" y="34846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130" name="TextBox 4129">
          <a:extLst>
            <a:ext uri="{FF2B5EF4-FFF2-40B4-BE49-F238E27FC236}">
              <a16:creationId xmlns:a16="http://schemas.microsoft.com/office/drawing/2014/main" id="{00000000-0008-0000-0000-000007000000}"/>
            </a:ext>
          </a:extLst>
        </xdr:cNvPr>
        <xdr:cNvSpPr txBox="1"/>
      </xdr:nvSpPr>
      <xdr:spPr>
        <a:xfrm>
          <a:off x="8267700" y="34846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131" name="TextBox 4130">
          <a:extLst>
            <a:ext uri="{FF2B5EF4-FFF2-40B4-BE49-F238E27FC236}">
              <a16:creationId xmlns:a16="http://schemas.microsoft.com/office/drawing/2014/main" id="{00000000-0008-0000-0000-000007000000}"/>
            </a:ext>
          </a:extLst>
        </xdr:cNvPr>
        <xdr:cNvSpPr txBox="1"/>
      </xdr:nvSpPr>
      <xdr:spPr>
        <a:xfrm>
          <a:off x="8267700" y="34846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132" name="TextBox 4131">
          <a:extLst>
            <a:ext uri="{FF2B5EF4-FFF2-40B4-BE49-F238E27FC236}">
              <a16:creationId xmlns:a16="http://schemas.microsoft.com/office/drawing/2014/main" id="{00000000-0008-0000-0000-000007000000}"/>
            </a:ext>
          </a:extLst>
        </xdr:cNvPr>
        <xdr:cNvSpPr txBox="1"/>
      </xdr:nvSpPr>
      <xdr:spPr>
        <a:xfrm>
          <a:off x="8267700" y="34846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133" name="TextBox 4132">
          <a:extLst>
            <a:ext uri="{FF2B5EF4-FFF2-40B4-BE49-F238E27FC236}">
              <a16:creationId xmlns:a16="http://schemas.microsoft.com/office/drawing/2014/main" id="{00000000-0008-0000-0000-000007000000}"/>
            </a:ext>
          </a:extLst>
        </xdr:cNvPr>
        <xdr:cNvSpPr txBox="1"/>
      </xdr:nvSpPr>
      <xdr:spPr>
        <a:xfrm>
          <a:off x="8267700" y="34846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134" name="TextBox 4133">
          <a:extLst>
            <a:ext uri="{FF2B5EF4-FFF2-40B4-BE49-F238E27FC236}">
              <a16:creationId xmlns:a16="http://schemas.microsoft.com/office/drawing/2014/main" id="{00000000-0008-0000-0000-000007000000}"/>
            </a:ext>
          </a:extLst>
        </xdr:cNvPr>
        <xdr:cNvSpPr txBox="1"/>
      </xdr:nvSpPr>
      <xdr:spPr>
        <a:xfrm>
          <a:off x="8267700" y="34846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135" name="TextBox 4134">
          <a:extLst>
            <a:ext uri="{FF2B5EF4-FFF2-40B4-BE49-F238E27FC236}">
              <a16:creationId xmlns:a16="http://schemas.microsoft.com/office/drawing/2014/main" id="{00000000-0008-0000-0000-000007000000}"/>
            </a:ext>
          </a:extLst>
        </xdr:cNvPr>
        <xdr:cNvSpPr txBox="1"/>
      </xdr:nvSpPr>
      <xdr:spPr>
        <a:xfrm>
          <a:off x="8267700" y="34846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136" name="TextBox 4135">
          <a:extLst>
            <a:ext uri="{FF2B5EF4-FFF2-40B4-BE49-F238E27FC236}">
              <a16:creationId xmlns:a16="http://schemas.microsoft.com/office/drawing/2014/main" id="{00000000-0008-0000-0000-000007000000}"/>
            </a:ext>
          </a:extLst>
        </xdr:cNvPr>
        <xdr:cNvSpPr txBox="1"/>
      </xdr:nvSpPr>
      <xdr:spPr>
        <a:xfrm>
          <a:off x="8267700" y="34846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137" name="TextBox 4136">
          <a:extLst>
            <a:ext uri="{FF2B5EF4-FFF2-40B4-BE49-F238E27FC236}">
              <a16:creationId xmlns:a16="http://schemas.microsoft.com/office/drawing/2014/main" id="{00000000-0008-0000-0000-000007000000}"/>
            </a:ext>
          </a:extLst>
        </xdr:cNvPr>
        <xdr:cNvSpPr txBox="1"/>
      </xdr:nvSpPr>
      <xdr:spPr>
        <a:xfrm>
          <a:off x="8267700" y="34846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138" name="TextBox 4137">
          <a:extLst>
            <a:ext uri="{FF2B5EF4-FFF2-40B4-BE49-F238E27FC236}">
              <a16:creationId xmlns:a16="http://schemas.microsoft.com/office/drawing/2014/main" id="{00000000-0008-0000-0000-000007000000}"/>
            </a:ext>
          </a:extLst>
        </xdr:cNvPr>
        <xdr:cNvSpPr txBox="1"/>
      </xdr:nvSpPr>
      <xdr:spPr>
        <a:xfrm>
          <a:off x="8267700" y="34846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139" name="TextBox 4138">
          <a:extLst>
            <a:ext uri="{FF2B5EF4-FFF2-40B4-BE49-F238E27FC236}">
              <a16:creationId xmlns:a16="http://schemas.microsoft.com/office/drawing/2014/main" id="{00000000-0008-0000-0000-000007000000}"/>
            </a:ext>
          </a:extLst>
        </xdr:cNvPr>
        <xdr:cNvSpPr txBox="1"/>
      </xdr:nvSpPr>
      <xdr:spPr>
        <a:xfrm>
          <a:off x="8267700" y="34846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140" name="TextBox 4139">
          <a:extLst>
            <a:ext uri="{FF2B5EF4-FFF2-40B4-BE49-F238E27FC236}">
              <a16:creationId xmlns:a16="http://schemas.microsoft.com/office/drawing/2014/main" id="{00000000-0008-0000-0000-000007000000}"/>
            </a:ext>
          </a:extLst>
        </xdr:cNvPr>
        <xdr:cNvSpPr txBox="1"/>
      </xdr:nvSpPr>
      <xdr:spPr>
        <a:xfrm>
          <a:off x="8267700" y="34846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141" name="TextBox 4140">
          <a:extLst>
            <a:ext uri="{FF2B5EF4-FFF2-40B4-BE49-F238E27FC236}">
              <a16:creationId xmlns:a16="http://schemas.microsoft.com/office/drawing/2014/main" id="{00000000-0008-0000-0000-000007000000}"/>
            </a:ext>
          </a:extLst>
        </xdr:cNvPr>
        <xdr:cNvSpPr txBox="1"/>
      </xdr:nvSpPr>
      <xdr:spPr>
        <a:xfrm>
          <a:off x="8267700" y="34846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142" name="TextBox 4141">
          <a:extLst>
            <a:ext uri="{FF2B5EF4-FFF2-40B4-BE49-F238E27FC236}">
              <a16:creationId xmlns:a16="http://schemas.microsoft.com/office/drawing/2014/main" id="{00000000-0008-0000-0000-000007000000}"/>
            </a:ext>
          </a:extLst>
        </xdr:cNvPr>
        <xdr:cNvSpPr txBox="1"/>
      </xdr:nvSpPr>
      <xdr:spPr>
        <a:xfrm>
          <a:off x="8267700" y="34846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143" name="TextBox 4142">
          <a:extLst>
            <a:ext uri="{FF2B5EF4-FFF2-40B4-BE49-F238E27FC236}">
              <a16:creationId xmlns:a16="http://schemas.microsoft.com/office/drawing/2014/main" id="{00000000-0008-0000-0000-000007000000}"/>
            </a:ext>
          </a:extLst>
        </xdr:cNvPr>
        <xdr:cNvSpPr txBox="1"/>
      </xdr:nvSpPr>
      <xdr:spPr>
        <a:xfrm>
          <a:off x="8267700" y="34846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144" name="TextBox 4143">
          <a:extLst>
            <a:ext uri="{FF2B5EF4-FFF2-40B4-BE49-F238E27FC236}">
              <a16:creationId xmlns:a16="http://schemas.microsoft.com/office/drawing/2014/main" id="{00000000-0008-0000-0000-000007000000}"/>
            </a:ext>
          </a:extLst>
        </xdr:cNvPr>
        <xdr:cNvSpPr txBox="1"/>
      </xdr:nvSpPr>
      <xdr:spPr>
        <a:xfrm>
          <a:off x="8267700" y="34846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145" name="TextBox 4144">
          <a:extLst>
            <a:ext uri="{FF2B5EF4-FFF2-40B4-BE49-F238E27FC236}">
              <a16:creationId xmlns:a16="http://schemas.microsoft.com/office/drawing/2014/main" id="{00000000-0008-0000-0000-000007000000}"/>
            </a:ext>
          </a:extLst>
        </xdr:cNvPr>
        <xdr:cNvSpPr txBox="1"/>
      </xdr:nvSpPr>
      <xdr:spPr>
        <a:xfrm>
          <a:off x="8267700" y="34846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146" name="TextBox 4145">
          <a:extLst>
            <a:ext uri="{FF2B5EF4-FFF2-40B4-BE49-F238E27FC236}">
              <a16:creationId xmlns:a16="http://schemas.microsoft.com/office/drawing/2014/main" id="{00000000-0008-0000-0000-000007000000}"/>
            </a:ext>
          </a:extLst>
        </xdr:cNvPr>
        <xdr:cNvSpPr txBox="1"/>
      </xdr:nvSpPr>
      <xdr:spPr>
        <a:xfrm>
          <a:off x="8267700" y="34846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147" name="TextBox 4146">
          <a:extLst>
            <a:ext uri="{FF2B5EF4-FFF2-40B4-BE49-F238E27FC236}">
              <a16:creationId xmlns:a16="http://schemas.microsoft.com/office/drawing/2014/main" id="{00000000-0008-0000-0000-000007000000}"/>
            </a:ext>
          </a:extLst>
        </xdr:cNvPr>
        <xdr:cNvSpPr txBox="1"/>
      </xdr:nvSpPr>
      <xdr:spPr>
        <a:xfrm>
          <a:off x="12580620" y="34846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148" name="TextBox 4147">
          <a:extLst>
            <a:ext uri="{FF2B5EF4-FFF2-40B4-BE49-F238E27FC236}">
              <a16:creationId xmlns:a16="http://schemas.microsoft.com/office/drawing/2014/main" id="{00000000-0008-0000-0000-000007000000}"/>
            </a:ext>
          </a:extLst>
        </xdr:cNvPr>
        <xdr:cNvSpPr txBox="1"/>
      </xdr:nvSpPr>
      <xdr:spPr>
        <a:xfrm>
          <a:off x="12580620" y="34846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149" name="TextBox 4148">
          <a:extLst>
            <a:ext uri="{FF2B5EF4-FFF2-40B4-BE49-F238E27FC236}">
              <a16:creationId xmlns:a16="http://schemas.microsoft.com/office/drawing/2014/main" id="{00000000-0008-0000-0000-000007000000}"/>
            </a:ext>
          </a:extLst>
        </xdr:cNvPr>
        <xdr:cNvSpPr txBox="1"/>
      </xdr:nvSpPr>
      <xdr:spPr>
        <a:xfrm>
          <a:off x="12580620" y="34846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150" name="TextBox 4149">
          <a:extLst>
            <a:ext uri="{FF2B5EF4-FFF2-40B4-BE49-F238E27FC236}">
              <a16:creationId xmlns:a16="http://schemas.microsoft.com/office/drawing/2014/main" id="{00000000-0008-0000-0000-000007000000}"/>
            </a:ext>
          </a:extLst>
        </xdr:cNvPr>
        <xdr:cNvSpPr txBox="1"/>
      </xdr:nvSpPr>
      <xdr:spPr>
        <a:xfrm>
          <a:off x="12580620" y="34846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151" name="TextBox 4150">
          <a:extLst>
            <a:ext uri="{FF2B5EF4-FFF2-40B4-BE49-F238E27FC236}">
              <a16:creationId xmlns:a16="http://schemas.microsoft.com/office/drawing/2014/main" id="{00000000-0008-0000-0000-000007000000}"/>
            </a:ext>
          </a:extLst>
        </xdr:cNvPr>
        <xdr:cNvSpPr txBox="1"/>
      </xdr:nvSpPr>
      <xdr:spPr>
        <a:xfrm>
          <a:off x="12580620" y="34846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152" name="TextBox 4151">
          <a:extLst>
            <a:ext uri="{FF2B5EF4-FFF2-40B4-BE49-F238E27FC236}">
              <a16:creationId xmlns:a16="http://schemas.microsoft.com/office/drawing/2014/main" id="{00000000-0008-0000-0000-000007000000}"/>
            </a:ext>
          </a:extLst>
        </xdr:cNvPr>
        <xdr:cNvSpPr txBox="1"/>
      </xdr:nvSpPr>
      <xdr:spPr>
        <a:xfrm>
          <a:off x="12580620" y="34846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153" name="TextBox 4152">
          <a:extLst>
            <a:ext uri="{FF2B5EF4-FFF2-40B4-BE49-F238E27FC236}">
              <a16:creationId xmlns:a16="http://schemas.microsoft.com/office/drawing/2014/main" id="{00000000-0008-0000-0000-000007000000}"/>
            </a:ext>
          </a:extLst>
        </xdr:cNvPr>
        <xdr:cNvSpPr txBox="1"/>
      </xdr:nvSpPr>
      <xdr:spPr>
        <a:xfrm>
          <a:off x="12580620" y="34846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154" name="TextBox 4153">
          <a:extLst>
            <a:ext uri="{FF2B5EF4-FFF2-40B4-BE49-F238E27FC236}">
              <a16:creationId xmlns:a16="http://schemas.microsoft.com/office/drawing/2014/main" id="{00000000-0008-0000-0000-000007000000}"/>
            </a:ext>
          </a:extLst>
        </xdr:cNvPr>
        <xdr:cNvSpPr txBox="1"/>
      </xdr:nvSpPr>
      <xdr:spPr>
        <a:xfrm>
          <a:off x="12580620" y="34846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155" name="TextBox 4154">
          <a:extLst>
            <a:ext uri="{FF2B5EF4-FFF2-40B4-BE49-F238E27FC236}">
              <a16:creationId xmlns:a16="http://schemas.microsoft.com/office/drawing/2014/main" id="{00000000-0008-0000-0000-000007000000}"/>
            </a:ext>
          </a:extLst>
        </xdr:cNvPr>
        <xdr:cNvSpPr txBox="1"/>
      </xdr:nvSpPr>
      <xdr:spPr>
        <a:xfrm>
          <a:off x="8267700" y="35044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156" name="TextBox 4155">
          <a:extLst>
            <a:ext uri="{FF2B5EF4-FFF2-40B4-BE49-F238E27FC236}">
              <a16:creationId xmlns:a16="http://schemas.microsoft.com/office/drawing/2014/main" id="{00000000-0008-0000-0000-000007000000}"/>
            </a:ext>
          </a:extLst>
        </xdr:cNvPr>
        <xdr:cNvSpPr txBox="1"/>
      </xdr:nvSpPr>
      <xdr:spPr>
        <a:xfrm>
          <a:off x="8267700" y="35044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157" name="TextBox 4156">
          <a:extLst>
            <a:ext uri="{FF2B5EF4-FFF2-40B4-BE49-F238E27FC236}">
              <a16:creationId xmlns:a16="http://schemas.microsoft.com/office/drawing/2014/main" id="{00000000-0008-0000-0000-000007000000}"/>
            </a:ext>
          </a:extLst>
        </xdr:cNvPr>
        <xdr:cNvSpPr txBox="1"/>
      </xdr:nvSpPr>
      <xdr:spPr>
        <a:xfrm>
          <a:off x="8267700" y="35044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158" name="TextBox 4157">
          <a:extLst>
            <a:ext uri="{FF2B5EF4-FFF2-40B4-BE49-F238E27FC236}">
              <a16:creationId xmlns:a16="http://schemas.microsoft.com/office/drawing/2014/main" id="{00000000-0008-0000-0000-000007000000}"/>
            </a:ext>
          </a:extLst>
        </xdr:cNvPr>
        <xdr:cNvSpPr txBox="1"/>
      </xdr:nvSpPr>
      <xdr:spPr>
        <a:xfrm>
          <a:off x="8267700" y="35044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159" name="TextBox 4158">
          <a:extLst>
            <a:ext uri="{FF2B5EF4-FFF2-40B4-BE49-F238E27FC236}">
              <a16:creationId xmlns:a16="http://schemas.microsoft.com/office/drawing/2014/main" id="{00000000-0008-0000-0000-000007000000}"/>
            </a:ext>
          </a:extLst>
        </xdr:cNvPr>
        <xdr:cNvSpPr txBox="1"/>
      </xdr:nvSpPr>
      <xdr:spPr>
        <a:xfrm>
          <a:off x="8267700" y="35044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160" name="TextBox 4159">
          <a:extLst>
            <a:ext uri="{FF2B5EF4-FFF2-40B4-BE49-F238E27FC236}">
              <a16:creationId xmlns:a16="http://schemas.microsoft.com/office/drawing/2014/main" id="{00000000-0008-0000-0000-000007000000}"/>
            </a:ext>
          </a:extLst>
        </xdr:cNvPr>
        <xdr:cNvSpPr txBox="1"/>
      </xdr:nvSpPr>
      <xdr:spPr>
        <a:xfrm>
          <a:off x="8267700" y="35044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161" name="TextBox 4160">
          <a:extLst>
            <a:ext uri="{FF2B5EF4-FFF2-40B4-BE49-F238E27FC236}">
              <a16:creationId xmlns:a16="http://schemas.microsoft.com/office/drawing/2014/main" id="{00000000-0008-0000-0000-000007000000}"/>
            </a:ext>
          </a:extLst>
        </xdr:cNvPr>
        <xdr:cNvSpPr txBox="1"/>
      </xdr:nvSpPr>
      <xdr:spPr>
        <a:xfrm>
          <a:off x="8267700" y="35044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162" name="TextBox 4161">
          <a:extLst>
            <a:ext uri="{FF2B5EF4-FFF2-40B4-BE49-F238E27FC236}">
              <a16:creationId xmlns:a16="http://schemas.microsoft.com/office/drawing/2014/main" id="{00000000-0008-0000-0000-000007000000}"/>
            </a:ext>
          </a:extLst>
        </xdr:cNvPr>
        <xdr:cNvSpPr txBox="1"/>
      </xdr:nvSpPr>
      <xdr:spPr>
        <a:xfrm>
          <a:off x="8267700" y="35044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163" name="TextBox 4162">
          <a:extLst>
            <a:ext uri="{FF2B5EF4-FFF2-40B4-BE49-F238E27FC236}">
              <a16:creationId xmlns:a16="http://schemas.microsoft.com/office/drawing/2014/main" id="{00000000-0008-0000-0000-000007000000}"/>
            </a:ext>
          </a:extLst>
        </xdr:cNvPr>
        <xdr:cNvSpPr txBox="1"/>
      </xdr:nvSpPr>
      <xdr:spPr>
        <a:xfrm>
          <a:off x="8267700" y="35044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164" name="TextBox 4163">
          <a:extLst>
            <a:ext uri="{FF2B5EF4-FFF2-40B4-BE49-F238E27FC236}">
              <a16:creationId xmlns:a16="http://schemas.microsoft.com/office/drawing/2014/main" id="{00000000-0008-0000-0000-000007000000}"/>
            </a:ext>
          </a:extLst>
        </xdr:cNvPr>
        <xdr:cNvSpPr txBox="1"/>
      </xdr:nvSpPr>
      <xdr:spPr>
        <a:xfrm>
          <a:off x="8267700" y="35044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165" name="TextBox 4164">
          <a:extLst>
            <a:ext uri="{FF2B5EF4-FFF2-40B4-BE49-F238E27FC236}">
              <a16:creationId xmlns:a16="http://schemas.microsoft.com/office/drawing/2014/main" id="{00000000-0008-0000-0000-000007000000}"/>
            </a:ext>
          </a:extLst>
        </xdr:cNvPr>
        <xdr:cNvSpPr txBox="1"/>
      </xdr:nvSpPr>
      <xdr:spPr>
        <a:xfrm>
          <a:off x="8267700" y="35044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166" name="TextBox 4165">
          <a:extLst>
            <a:ext uri="{FF2B5EF4-FFF2-40B4-BE49-F238E27FC236}">
              <a16:creationId xmlns:a16="http://schemas.microsoft.com/office/drawing/2014/main" id="{00000000-0008-0000-0000-000007000000}"/>
            </a:ext>
          </a:extLst>
        </xdr:cNvPr>
        <xdr:cNvSpPr txBox="1"/>
      </xdr:nvSpPr>
      <xdr:spPr>
        <a:xfrm>
          <a:off x="8267700" y="35044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167" name="TextBox 4166">
          <a:extLst>
            <a:ext uri="{FF2B5EF4-FFF2-40B4-BE49-F238E27FC236}">
              <a16:creationId xmlns:a16="http://schemas.microsoft.com/office/drawing/2014/main" id="{00000000-0008-0000-0000-000007000000}"/>
            </a:ext>
          </a:extLst>
        </xdr:cNvPr>
        <xdr:cNvSpPr txBox="1"/>
      </xdr:nvSpPr>
      <xdr:spPr>
        <a:xfrm>
          <a:off x="8267700" y="35044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168" name="TextBox 4167">
          <a:extLst>
            <a:ext uri="{FF2B5EF4-FFF2-40B4-BE49-F238E27FC236}">
              <a16:creationId xmlns:a16="http://schemas.microsoft.com/office/drawing/2014/main" id="{00000000-0008-0000-0000-000007000000}"/>
            </a:ext>
          </a:extLst>
        </xdr:cNvPr>
        <xdr:cNvSpPr txBox="1"/>
      </xdr:nvSpPr>
      <xdr:spPr>
        <a:xfrm>
          <a:off x="8267700" y="35044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169" name="TextBox 4168">
          <a:extLst>
            <a:ext uri="{FF2B5EF4-FFF2-40B4-BE49-F238E27FC236}">
              <a16:creationId xmlns:a16="http://schemas.microsoft.com/office/drawing/2014/main" id="{00000000-0008-0000-0000-000007000000}"/>
            </a:ext>
          </a:extLst>
        </xdr:cNvPr>
        <xdr:cNvSpPr txBox="1"/>
      </xdr:nvSpPr>
      <xdr:spPr>
        <a:xfrm>
          <a:off x="8267700" y="35044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170" name="TextBox 4169">
          <a:extLst>
            <a:ext uri="{FF2B5EF4-FFF2-40B4-BE49-F238E27FC236}">
              <a16:creationId xmlns:a16="http://schemas.microsoft.com/office/drawing/2014/main" id="{00000000-0008-0000-0000-000007000000}"/>
            </a:ext>
          </a:extLst>
        </xdr:cNvPr>
        <xdr:cNvSpPr txBox="1"/>
      </xdr:nvSpPr>
      <xdr:spPr>
        <a:xfrm>
          <a:off x="8267700" y="35044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171" name="TextBox 4170">
          <a:extLst>
            <a:ext uri="{FF2B5EF4-FFF2-40B4-BE49-F238E27FC236}">
              <a16:creationId xmlns:a16="http://schemas.microsoft.com/office/drawing/2014/main" id="{00000000-0008-0000-0000-000007000000}"/>
            </a:ext>
          </a:extLst>
        </xdr:cNvPr>
        <xdr:cNvSpPr txBox="1"/>
      </xdr:nvSpPr>
      <xdr:spPr>
        <a:xfrm>
          <a:off x="8267700" y="35044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172" name="TextBox 4171">
          <a:extLst>
            <a:ext uri="{FF2B5EF4-FFF2-40B4-BE49-F238E27FC236}">
              <a16:creationId xmlns:a16="http://schemas.microsoft.com/office/drawing/2014/main" id="{00000000-0008-0000-0000-000007000000}"/>
            </a:ext>
          </a:extLst>
        </xdr:cNvPr>
        <xdr:cNvSpPr txBox="1"/>
      </xdr:nvSpPr>
      <xdr:spPr>
        <a:xfrm>
          <a:off x="8267700" y="35044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173" name="TextBox 4172">
          <a:extLst>
            <a:ext uri="{FF2B5EF4-FFF2-40B4-BE49-F238E27FC236}">
              <a16:creationId xmlns:a16="http://schemas.microsoft.com/office/drawing/2014/main" id="{00000000-0008-0000-0000-000007000000}"/>
            </a:ext>
          </a:extLst>
        </xdr:cNvPr>
        <xdr:cNvSpPr txBox="1"/>
      </xdr:nvSpPr>
      <xdr:spPr>
        <a:xfrm>
          <a:off x="8267700" y="35044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174" name="TextBox 4173">
          <a:extLst>
            <a:ext uri="{FF2B5EF4-FFF2-40B4-BE49-F238E27FC236}">
              <a16:creationId xmlns:a16="http://schemas.microsoft.com/office/drawing/2014/main" id="{00000000-0008-0000-0000-000007000000}"/>
            </a:ext>
          </a:extLst>
        </xdr:cNvPr>
        <xdr:cNvSpPr txBox="1"/>
      </xdr:nvSpPr>
      <xdr:spPr>
        <a:xfrm>
          <a:off x="8267700" y="35044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175" name="TextBox 4174">
          <a:extLst>
            <a:ext uri="{FF2B5EF4-FFF2-40B4-BE49-F238E27FC236}">
              <a16:creationId xmlns:a16="http://schemas.microsoft.com/office/drawing/2014/main" id="{00000000-0008-0000-0000-000007000000}"/>
            </a:ext>
          </a:extLst>
        </xdr:cNvPr>
        <xdr:cNvSpPr txBox="1"/>
      </xdr:nvSpPr>
      <xdr:spPr>
        <a:xfrm>
          <a:off x="8267700" y="35044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176" name="TextBox 4175">
          <a:extLst>
            <a:ext uri="{FF2B5EF4-FFF2-40B4-BE49-F238E27FC236}">
              <a16:creationId xmlns:a16="http://schemas.microsoft.com/office/drawing/2014/main" id="{00000000-0008-0000-0000-000007000000}"/>
            </a:ext>
          </a:extLst>
        </xdr:cNvPr>
        <xdr:cNvSpPr txBox="1"/>
      </xdr:nvSpPr>
      <xdr:spPr>
        <a:xfrm>
          <a:off x="8267700" y="35044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177" name="TextBox 4176">
          <a:extLst>
            <a:ext uri="{FF2B5EF4-FFF2-40B4-BE49-F238E27FC236}">
              <a16:creationId xmlns:a16="http://schemas.microsoft.com/office/drawing/2014/main" id="{00000000-0008-0000-0000-000007000000}"/>
            </a:ext>
          </a:extLst>
        </xdr:cNvPr>
        <xdr:cNvSpPr txBox="1"/>
      </xdr:nvSpPr>
      <xdr:spPr>
        <a:xfrm>
          <a:off x="8267700" y="35044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178" name="TextBox 4177">
          <a:extLst>
            <a:ext uri="{FF2B5EF4-FFF2-40B4-BE49-F238E27FC236}">
              <a16:creationId xmlns:a16="http://schemas.microsoft.com/office/drawing/2014/main" id="{00000000-0008-0000-0000-000007000000}"/>
            </a:ext>
          </a:extLst>
        </xdr:cNvPr>
        <xdr:cNvSpPr txBox="1"/>
      </xdr:nvSpPr>
      <xdr:spPr>
        <a:xfrm>
          <a:off x="8267700" y="35044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179" name="TextBox 4178">
          <a:extLst>
            <a:ext uri="{FF2B5EF4-FFF2-40B4-BE49-F238E27FC236}">
              <a16:creationId xmlns:a16="http://schemas.microsoft.com/office/drawing/2014/main" id="{00000000-0008-0000-0000-000007000000}"/>
            </a:ext>
          </a:extLst>
        </xdr:cNvPr>
        <xdr:cNvSpPr txBox="1"/>
      </xdr:nvSpPr>
      <xdr:spPr>
        <a:xfrm>
          <a:off x="8267700" y="35044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180" name="TextBox 4179">
          <a:extLst>
            <a:ext uri="{FF2B5EF4-FFF2-40B4-BE49-F238E27FC236}">
              <a16:creationId xmlns:a16="http://schemas.microsoft.com/office/drawing/2014/main" id="{00000000-0008-0000-0000-000007000000}"/>
            </a:ext>
          </a:extLst>
        </xdr:cNvPr>
        <xdr:cNvSpPr txBox="1"/>
      </xdr:nvSpPr>
      <xdr:spPr>
        <a:xfrm>
          <a:off x="8267700" y="35044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181" name="TextBox 4180">
          <a:extLst>
            <a:ext uri="{FF2B5EF4-FFF2-40B4-BE49-F238E27FC236}">
              <a16:creationId xmlns:a16="http://schemas.microsoft.com/office/drawing/2014/main" id="{00000000-0008-0000-0000-000007000000}"/>
            </a:ext>
          </a:extLst>
        </xdr:cNvPr>
        <xdr:cNvSpPr txBox="1"/>
      </xdr:nvSpPr>
      <xdr:spPr>
        <a:xfrm>
          <a:off x="8267700" y="35044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182" name="TextBox 4181">
          <a:extLst>
            <a:ext uri="{FF2B5EF4-FFF2-40B4-BE49-F238E27FC236}">
              <a16:creationId xmlns:a16="http://schemas.microsoft.com/office/drawing/2014/main" id="{00000000-0008-0000-0000-000007000000}"/>
            </a:ext>
          </a:extLst>
        </xdr:cNvPr>
        <xdr:cNvSpPr txBox="1"/>
      </xdr:nvSpPr>
      <xdr:spPr>
        <a:xfrm>
          <a:off x="8267700" y="35044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183" name="TextBox 4182">
          <a:extLst>
            <a:ext uri="{FF2B5EF4-FFF2-40B4-BE49-F238E27FC236}">
              <a16:creationId xmlns:a16="http://schemas.microsoft.com/office/drawing/2014/main" id="{00000000-0008-0000-0000-000007000000}"/>
            </a:ext>
          </a:extLst>
        </xdr:cNvPr>
        <xdr:cNvSpPr txBox="1"/>
      </xdr:nvSpPr>
      <xdr:spPr>
        <a:xfrm>
          <a:off x="8267700" y="35044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184" name="TextBox 4183">
          <a:extLst>
            <a:ext uri="{FF2B5EF4-FFF2-40B4-BE49-F238E27FC236}">
              <a16:creationId xmlns:a16="http://schemas.microsoft.com/office/drawing/2014/main" id="{00000000-0008-0000-0000-000007000000}"/>
            </a:ext>
          </a:extLst>
        </xdr:cNvPr>
        <xdr:cNvSpPr txBox="1"/>
      </xdr:nvSpPr>
      <xdr:spPr>
        <a:xfrm>
          <a:off x="8267700" y="35044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185" name="TextBox 4184">
          <a:extLst>
            <a:ext uri="{FF2B5EF4-FFF2-40B4-BE49-F238E27FC236}">
              <a16:creationId xmlns:a16="http://schemas.microsoft.com/office/drawing/2014/main" id="{00000000-0008-0000-0000-000007000000}"/>
            </a:ext>
          </a:extLst>
        </xdr:cNvPr>
        <xdr:cNvSpPr txBox="1"/>
      </xdr:nvSpPr>
      <xdr:spPr>
        <a:xfrm>
          <a:off x="8267700" y="35044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186" name="TextBox 4185">
          <a:extLst>
            <a:ext uri="{FF2B5EF4-FFF2-40B4-BE49-F238E27FC236}">
              <a16:creationId xmlns:a16="http://schemas.microsoft.com/office/drawing/2014/main" id="{00000000-0008-0000-0000-000007000000}"/>
            </a:ext>
          </a:extLst>
        </xdr:cNvPr>
        <xdr:cNvSpPr txBox="1"/>
      </xdr:nvSpPr>
      <xdr:spPr>
        <a:xfrm>
          <a:off x="8267700" y="35044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187" name="TextBox 4186">
          <a:extLst>
            <a:ext uri="{FF2B5EF4-FFF2-40B4-BE49-F238E27FC236}">
              <a16:creationId xmlns:a16="http://schemas.microsoft.com/office/drawing/2014/main" id="{00000000-0008-0000-0000-000007000000}"/>
            </a:ext>
          </a:extLst>
        </xdr:cNvPr>
        <xdr:cNvSpPr txBox="1"/>
      </xdr:nvSpPr>
      <xdr:spPr>
        <a:xfrm>
          <a:off x="8267700" y="35044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188" name="TextBox 4187">
          <a:extLst>
            <a:ext uri="{FF2B5EF4-FFF2-40B4-BE49-F238E27FC236}">
              <a16:creationId xmlns:a16="http://schemas.microsoft.com/office/drawing/2014/main" id="{00000000-0008-0000-0000-000007000000}"/>
            </a:ext>
          </a:extLst>
        </xdr:cNvPr>
        <xdr:cNvSpPr txBox="1"/>
      </xdr:nvSpPr>
      <xdr:spPr>
        <a:xfrm>
          <a:off x="8267700" y="35044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189" name="TextBox 4188">
          <a:extLst>
            <a:ext uri="{FF2B5EF4-FFF2-40B4-BE49-F238E27FC236}">
              <a16:creationId xmlns:a16="http://schemas.microsoft.com/office/drawing/2014/main" id="{00000000-0008-0000-0000-000007000000}"/>
            </a:ext>
          </a:extLst>
        </xdr:cNvPr>
        <xdr:cNvSpPr txBox="1"/>
      </xdr:nvSpPr>
      <xdr:spPr>
        <a:xfrm>
          <a:off x="8267700" y="35044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190" name="TextBox 4189">
          <a:extLst>
            <a:ext uri="{FF2B5EF4-FFF2-40B4-BE49-F238E27FC236}">
              <a16:creationId xmlns:a16="http://schemas.microsoft.com/office/drawing/2014/main" id="{00000000-0008-0000-0000-000007000000}"/>
            </a:ext>
          </a:extLst>
        </xdr:cNvPr>
        <xdr:cNvSpPr txBox="1"/>
      </xdr:nvSpPr>
      <xdr:spPr>
        <a:xfrm>
          <a:off x="8267700" y="35044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191" name="TextBox 4190">
          <a:extLst>
            <a:ext uri="{FF2B5EF4-FFF2-40B4-BE49-F238E27FC236}">
              <a16:creationId xmlns:a16="http://schemas.microsoft.com/office/drawing/2014/main" id="{00000000-0008-0000-0000-000007000000}"/>
            </a:ext>
          </a:extLst>
        </xdr:cNvPr>
        <xdr:cNvSpPr txBox="1"/>
      </xdr:nvSpPr>
      <xdr:spPr>
        <a:xfrm>
          <a:off x="8267700" y="35044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192" name="TextBox 4191">
          <a:extLst>
            <a:ext uri="{FF2B5EF4-FFF2-40B4-BE49-F238E27FC236}">
              <a16:creationId xmlns:a16="http://schemas.microsoft.com/office/drawing/2014/main" id="{00000000-0008-0000-0000-000007000000}"/>
            </a:ext>
          </a:extLst>
        </xdr:cNvPr>
        <xdr:cNvSpPr txBox="1"/>
      </xdr:nvSpPr>
      <xdr:spPr>
        <a:xfrm>
          <a:off x="8267700" y="35044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193" name="TextBox 4192">
          <a:extLst>
            <a:ext uri="{FF2B5EF4-FFF2-40B4-BE49-F238E27FC236}">
              <a16:creationId xmlns:a16="http://schemas.microsoft.com/office/drawing/2014/main" id="{00000000-0008-0000-0000-000007000000}"/>
            </a:ext>
          </a:extLst>
        </xdr:cNvPr>
        <xdr:cNvSpPr txBox="1"/>
      </xdr:nvSpPr>
      <xdr:spPr>
        <a:xfrm>
          <a:off x="8267700" y="35044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194" name="TextBox 4193">
          <a:extLst>
            <a:ext uri="{FF2B5EF4-FFF2-40B4-BE49-F238E27FC236}">
              <a16:creationId xmlns:a16="http://schemas.microsoft.com/office/drawing/2014/main" id="{00000000-0008-0000-0000-000007000000}"/>
            </a:ext>
          </a:extLst>
        </xdr:cNvPr>
        <xdr:cNvSpPr txBox="1"/>
      </xdr:nvSpPr>
      <xdr:spPr>
        <a:xfrm>
          <a:off x="8267700" y="35044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195" name="TextBox 4194">
          <a:extLst>
            <a:ext uri="{FF2B5EF4-FFF2-40B4-BE49-F238E27FC236}">
              <a16:creationId xmlns:a16="http://schemas.microsoft.com/office/drawing/2014/main" id="{00000000-0008-0000-0000-000007000000}"/>
            </a:ext>
          </a:extLst>
        </xdr:cNvPr>
        <xdr:cNvSpPr txBox="1"/>
      </xdr:nvSpPr>
      <xdr:spPr>
        <a:xfrm>
          <a:off x="8267700" y="35044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196" name="TextBox 4195">
          <a:extLst>
            <a:ext uri="{FF2B5EF4-FFF2-40B4-BE49-F238E27FC236}">
              <a16:creationId xmlns:a16="http://schemas.microsoft.com/office/drawing/2014/main" id="{00000000-0008-0000-0000-000007000000}"/>
            </a:ext>
          </a:extLst>
        </xdr:cNvPr>
        <xdr:cNvSpPr txBox="1"/>
      </xdr:nvSpPr>
      <xdr:spPr>
        <a:xfrm>
          <a:off x="8267700" y="35044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197" name="TextBox 4196">
          <a:extLst>
            <a:ext uri="{FF2B5EF4-FFF2-40B4-BE49-F238E27FC236}">
              <a16:creationId xmlns:a16="http://schemas.microsoft.com/office/drawing/2014/main" id="{00000000-0008-0000-0000-000007000000}"/>
            </a:ext>
          </a:extLst>
        </xdr:cNvPr>
        <xdr:cNvSpPr txBox="1"/>
      </xdr:nvSpPr>
      <xdr:spPr>
        <a:xfrm>
          <a:off x="8267700" y="35044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198" name="TextBox 4197">
          <a:extLst>
            <a:ext uri="{FF2B5EF4-FFF2-40B4-BE49-F238E27FC236}">
              <a16:creationId xmlns:a16="http://schemas.microsoft.com/office/drawing/2014/main" id="{00000000-0008-0000-0000-000007000000}"/>
            </a:ext>
          </a:extLst>
        </xdr:cNvPr>
        <xdr:cNvSpPr txBox="1"/>
      </xdr:nvSpPr>
      <xdr:spPr>
        <a:xfrm>
          <a:off x="8267700" y="35044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199" name="TextBox 4198">
          <a:extLst>
            <a:ext uri="{FF2B5EF4-FFF2-40B4-BE49-F238E27FC236}">
              <a16:creationId xmlns:a16="http://schemas.microsoft.com/office/drawing/2014/main" id="{00000000-0008-0000-0000-000007000000}"/>
            </a:ext>
          </a:extLst>
        </xdr:cNvPr>
        <xdr:cNvSpPr txBox="1"/>
      </xdr:nvSpPr>
      <xdr:spPr>
        <a:xfrm>
          <a:off x="8267700" y="35044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200" name="TextBox 4199">
          <a:extLst>
            <a:ext uri="{FF2B5EF4-FFF2-40B4-BE49-F238E27FC236}">
              <a16:creationId xmlns:a16="http://schemas.microsoft.com/office/drawing/2014/main" id="{00000000-0008-0000-0000-000007000000}"/>
            </a:ext>
          </a:extLst>
        </xdr:cNvPr>
        <xdr:cNvSpPr txBox="1"/>
      </xdr:nvSpPr>
      <xdr:spPr>
        <a:xfrm>
          <a:off x="8267700" y="35044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201" name="TextBox 4200">
          <a:extLst>
            <a:ext uri="{FF2B5EF4-FFF2-40B4-BE49-F238E27FC236}">
              <a16:creationId xmlns:a16="http://schemas.microsoft.com/office/drawing/2014/main" id="{00000000-0008-0000-0000-000007000000}"/>
            </a:ext>
          </a:extLst>
        </xdr:cNvPr>
        <xdr:cNvSpPr txBox="1"/>
      </xdr:nvSpPr>
      <xdr:spPr>
        <a:xfrm>
          <a:off x="8267700" y="35044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202" name="TextBox 4201">
          <a:extLst>
            <a:ext uri="{FF2B5EF4-FFF2-40B4-BE49-F238E27FC236}">
              <a16:creationId xmlns:a16="http://schemas.microsoft.com/office/drawing/2014/main" id="{00000000-0008-0000-0000-000007000000}"/>
            </a:ext>
          </a:extLst>
        </xdr:cNvPr>
        <xdr:cNvSpPr txBox="1"/>
      </xdr:nvSpPr>
      <xdr:spPr>
        <a:xfrm>
          <a:off x="8267700" y="35044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203" name="TextBox 4202">
          <a:extLst>
            <a:ext uri="{FF2B5EF4-FFF2-40B4-BE49-F238E27FC236}">
              <a16:creationId xmlns:a16="http://schemas.microsoft.com/office/drawing/2014/main" id="{00000000-0008-0000-0000-000007000000}"/>
            </a:ext>
          </a:extLst>
        </xdr:cNvPr>
        <xdr:cNvSpPr txBox="1"/>
      </xdr:nvSpPr>
      <xdr:spPr>
        <a:xfrm>
          <a:off x="12580620" y="35044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204" name="TextBox 4203">
          <a:extLst>
            <a:ext uri="{FF2B5EF4-FFF2-40B4-BE49-F238E27FC236}">
              <a16:creationId xmlns:a16="http://schemas.microsoft.com/office/drawing/2014/main" id="{00000000-0008-0000-0000-000007000000}"/>
            </a:ext>
          </a:extLst>
        </xdr:cNvPr>
        <xdr:cNvSpPr txBox="1"/>
      </xdr:nvSpPr>
      <xdr:spPr>
        <a:xfrm>
          <a:off x="12580620" y="35044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205" name="TextBox 4204">
          <a:extLst>
            <a:ext uri="{FF2B5EF4-FFF2-40B4-BE49-F238E27FC236}">
              <a16:creationId xmlns:a16="http://schemas.microsoft.com/office/drawing/2014/main" id="{00000000-0008-0000-0000-000007000000}"/>
            </a:ext>
          </a:extLst>
        </xdr:cNvPr>
        <xdr:cNvSpPr txBox="1"/>
      </xdr:nvSpPr>
      <xdr:spPr>
        <a:xfrm>
          <a:off x="12580620" y="35044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206" name="TextBox 4205">
          <a:extLst>
            <a:ext uri="{FF2B5EF4-FFF2-40B4-BE49-F238E27FC236}">
              <a16:creationId xmlns:a16="http://schemas.microsoft.com/office/drawing/2014/main" id="{00000000-0008-0000-0000-000007000000}"/>
            </a:ext>
          </a:extLst>
        </xdr:cNvPr>
        <xdr:cNvSpPr txBox="1"/>
      </xdr:nvSpPr>
      <xdr:spPr>
        <a:xfrm>
          <a:off x="12580620" y="35044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207" name="TextBox 4206">
          <a:extLst>
            <a:ext uri="{FF2B5EF4-FFF2-40B4-BE49-F238E27FC236}">
              <a16:creationId xmlns:a16="http://schemas.microsoft.com/office/drawing/2014/main" id="{00000000-0008-0000-0000-000007000000}"/>
            </a:ext>
          </a:extLst>
        </xdr:cNvPr>
        <xdr:cNvSpPr txBox="1"/>
      </xdr:nvSpPr>
      <xdr:spPr>
        <a:xfrm>
          <a:off x="12580620" y="35044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208" name="TextBox 4207">
          <a:extLst>
            <a:ext uri="{FF2B5EF4-FFF2-40B4-BE49-F238E27FC236}">
              <a16:creationId xmlns:a16="http://schemas.microsoft.com/office/drawing/2014/main" id="{00000000-0008-0000-0000-000007000000}"/>
            </a:ext>
          </a:extLst>
        </xdr:cNvPr>
        <xdr:cNvSpPr txBox="1"/>
      </xdr:nvSpPr>
      <xdr:spPr>
        <a:xfrm>
          <a:off x="12580620" y="35044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209" name="TextBox 4208">
          <a:extLst>
            <a:ext uri="{FF2B5EF4-FFF2-40B4-BE49-F238E27FC236}">
              <a16:creationId xmlns:a16="http://schemas.microsoft.com/office/drawing/2014/main" id="{00000000-0008-0000-0000-000007000000}"/>
            </a:ext>
          </a:extLst>
        </xdr:cNvPr>
        <xdr:cNvSpPr txBox="1"/>
      </xdr:nvSpPr>
      <xdr:spPr>
        <a:xfrm>
          <a:off x="12580620" y="35044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210" name="TextBox 4209">
          <a:extLst>
            <a:ext uri="{FF2B5EF4-FFF2-40B4-BE49-F238E27FC236}">
              <a16:creationId xmlns:a16="http://schemas.microsoft.com/office/drawing/2014/main" id="{00000000-0008-0000-0000-000007000000}"/>
            </a:ext>
          </a:extLst>
        </xdr:cNvPr>
        <xdr:cNvSpPr txBox="1"/>
      </xdr:nvSpPr>
      <xdr:spPr>
        <a:xfrm>
          <a:off x="12580620" y="35044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211" name="TextBox 4210">
          <a:extLst>
            <a:ext uri="{FF2B5EF4-FFF2-40B4-BE49-F238E27FC236}">
              <a16:creationId xmlns:a16="http://schemas.microsoft.com/office/drawing/2014/main" id="{00000000-0008-0000-0000-000007000000}"/>
            </a:ext>
          </a:extLst>
        </xdr:cNvPr>
        <xdr:cNvSpPr txBox="1"/>
      </xdr:nvSpPr>
      <xdr:spPr>
        <a:xfrm>
          <a:off x="8267700" y="35242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212" name="TextBox 4211">
          <a:extLst>
            <a:ext uri="{FF2B5EF4-FFF2-40B4-BE49-F238E27FC236}">
              <a16:creationId xmlns:a16="http://schemas.microsoft.com/office/drawing/2014/main" id="{00000000-0008-0000-0000-000007000000}"/>
            </a:ext>
          </a:extLst>
        </xdr:cNvPr>
        <xdr:cNvSpPr txBox="1"/>
      </xdr:nvSpPr>
      <xdr:spPr>
        <a:xfrm>
          <a:off x="8267700" y="35242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213" name="TextBox 4212">
          <a:extLst>
            <a:ext uri="{FF2B5EF4-FFF2-40B4-BE49-F238E27FC236}">
              <a16:creationId xmlns:a16="http://schemas.microsoft.com/office/drawing/2014/main" id="{00000000-0008-0000-0000-000007000000}"/>
            </a:ext>
          </a:extLst>
        </xdr:cNvPr>
        <xdr:cNvSpPr txBox="1"/>
      </xdr:nvSpPr>
      <xdr:spPr>
        <a:xfrm>
          <a:off x="8267700" y="35242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214" name="TextBox 4213">
          <a:extLst>
            <a:ext uri="{FF2B5EF4-FFF2-40B4-BE49-F238E27FC236}">
              <a16:creationId xmlns:a16="http://schemas.microsoft.com/office/drawing/2014/main" id="{00000000-0008-0000-0000-000007000000}"/>
            </a:ext>
          </a:extLst>
        </xdr:cNvPr>
        <xdr:cNvSpPr txBox="1"/>
      </xdr:nvSpPr>
      <xdr:spPr>
        <a:xfrm>
          <a:off x="8267700" y="35242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215" name="TextBox 4214">
          <a:extLst>
            <a:ext uri="{FF2B5EF4-FFF2-40B4-BE49-F238E27FC236}">
              <a16:creationId xmlns:a16="http://schemas.microsoft.com/office/drawing/2014/main" id="{00000000-0008-0000-0000-000007000000}"/>
            </a:ext>
          </a:extLst>
        </xdr:cNvPr>
        <xdr:cNvSpPr txBox="1"/>
      </xdr:nvSpPr>
      <xdr:spPr>
        <a:xfrm>
          <a:off x="8267700" y="35242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216" name="TextBox 4215">
          <a:extLst>
            <a:ext uri="{FF2B5EF4-FFF2-40B4-BE49-F238E27FC236}">
              <a16:creationId xmlns:a16="http://schemas.microsoft.com/office/drawing/2014/main" id="{00000000-0008-0000-0000-000007000000}"/>
            </a:ext>
          </a:extLst>
        </xdr:cNvPr>
        <xdr:cNvSpPr txBox="1"/>
      </xdr:nvSpPr>
      <xdr:spPr>
        <a:xfrm>
          <a:off x="8267700" y="35242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217" name="TextBox 4216">
          <a:extLst>
            <a:ext uri="{FF2B5EF4-FFF2-40B4-BE49-F238E27FC236}">
              <a16:creationId xmlns:a16="http://schemas.microsoft.com/office/drawing/2014/main" id="{00000000-0008-0000-0000-000007000000}"/>
            </a:ext>
          </a:extLst>
        </xdr:cNvPr>
        <xdr:cNvSpPr txBox="1"/>
      </xdr:nvSpPr>
      <xdr:spPr>
        <a:xfrm>
          <a:off x="8267700" y="35242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218" name="TextBox 4217">
          <a:extLst>
            <a:ext uri="{FF2B5EF4-FFF2-40B4-BE49-F238E27FC236}">
              <a16:creationId xmlns:a16="http://schemas.microsoft.com/office/drawing/2014/main" id="{00000000-0008-0000-0000-000007000000}"/>
            </a:ext>
          </a:extLst>
        </xdr:cNvPr>
        <xdr:cNvSpPr txBox="1"/>
      </xdr:nvSpPr>
      <xdr:spPr>
        <a:xfrm>
          <a:off x="8267700" y="35242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219" name="TextBox 4218">
          <a:extLst>
            <a:ext uri="{FF2B5EF4-FFF2-40B4-BE49-F238E27FC236}">
              <a16:creationId xmlns:a16="http://schemas.microsoft.com/office/drawing/2014/main" id="{00000000-0008-0000-0000-000007000000}"/>
            </a:ext>
          </a:extLst>
        </xdr:cNvPr>
        <xdr:cNvSpPr txBox="1"/>
      </xdr:nvSpPr>
      <xdr:spPr>
        <a:xfrm>
          <a:off x="8267700" y="35242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220" name="TextBox 4219">
          <a:extLst>
            <a:ext uri="{FF2B5EF4-FFF2-40B4-BE49-F238E27FC236}">
              <a16:creationId xmlns:a16="http://schemas.microsoft.com/office/drawing/2014/main" id="{00000000-0008-0000-0000-000007000000}"/>
            </a:ext>
          </a:extLst>
        </xdr:cNvPr>
        <xdr:cNvSpPr txBox="1"/>
      </xdr:nvSpPr>
      <xdr:spPr>
        <a:xfrm>
          <a:off x="8267700" y="35242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221" name="TextBox 4220">
          <a:extLst>
            <a:ext uri="{FF2B5EF4-FFF2-40B4-BE49-F238E27FC236}">
              <a16:creationId xmlns:a16="http://schemas.microsoft.com/office/drawing/2014/main" id="{00000000-0008-0000-0000-000007000000}"/>
            </a:ext>
          </a:extLst>
        </xdr:cNvPr>
        <xdr:cNvSpPr txBox="1"/>
      </xdr:nvSpPr>
      <xdr:spPr>
        <a:xfrm>
          <a:off x="8267700" y="35242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222" name="TextBox 4221">
          <a:extLst>
            <a:ext uri="{FF2B5EF4-FFF2-40B4-BE49-F238E27FC236}">
              <a16:creationId xmlns:a16="http://schemas.microsoft.com/office/drawing/2014/main" id="{00000000-0008-0000-0000-000007000000}"/>
            </a:ext>
          </a:extLst>
        </xdr:cNvPr>
        <xdr:cNvSpPr txBox="1"/>
      </xdr:nvSpPr>
      <xdr:spPr>
        <a:xfrm>
          <a:off x="8267700" y="35242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223" name="TextBox 4222">
          <a:extLst>
            <a:ext uri="{FF2B5EF4-FFF2-40B4-BE49-F238E27FC236}">
              <a16:creationId xmlns:a16="http://schemas.microsoft.com/office/drawing/2014/main" id="{00000000-0008-0000-0000-000007000000}"/>
            </a:ext>
          </a:extLst>
        </xdr:cNvPr>
        <xdr:cNvSpPr txBox="1"/>
      </xdr:nvSpPr>
      <xdr:spPr>
        <a:xfrm>
          <a:off x="8267700" y="35242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224" name="TextBox 4223">
          <a:extLst>
            <a:ext uri="{FF2B5EF4-FFF2-40B4-BE49-F238E27FC236}">
              <a16:creationId xmlns:a16="http://schemas.microsoft.com/office/drawing/2014/main" id="{00000000-0008-0000-0000-000007000000}"/>
            </a:ext>
          </a:extLst>
        </xdr:cNvPr>
        <xdr:cNvSpPr txBox="1"/>
      </xdr:nvSpPr>
      <xdr:spPr>
        <a:xfrm>
          <a:off x="8267700" y="35242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225" name="TextBox 4224">
          <a:extLst>
            <a:ext uri="{FF2B5EF4-FFF2-40B4-BE49-F238E27FC236}">
              <a16:creationId xmlns:a16="http://schemas.microsoft.com/office/drawing/2014/main" id="{00000000-0008-0000-0000-000007000000}"/>
            </a:ext>
          </a:extLst>
        </xdr:cNvPr>
        <xdr:cNvSpPr txBox="1"/>
      </xdr:nvSpPr>
      <xdr:spPr>
        <a:xfrm>
          <a:off x="8267700" y="35242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226" name="TextBox 4225">
          <a:extLst>
            <a:ext uri="{FF2B5EF4-FFF2-40B4-BE49-F238E27FC236}">
              <a16:creationId xmlns:a16="http://schemas.microsoft.com/office/drawing/2014/main" id="{00000000-0008-0000-0000-000007000000}"/>
            </a:ext>
          </a:extLst>
        </xdr:cNvPr>
        <xdr:cNvSpPr txBox="1"/>
      </xdr:nvSpPr>
      <xdr:spPr>
        <a:xfrm>
          <a:off x="8267700" y="35242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227" name="TextBox 4226">
          <a:extLst>
            <a:ext uri="{FF2B5EF4-FFF2-40B4-BE49-F238E27FC236}">
              <a16:creationId xmlns:a16="http://schemas.microsoft.com/office/drawing/2014/main" id="{00000000-0008-0000-0000-000007000000}"/>
            </a:ext>
          </a:extLst>
        </xdr:cNvPr>
        <xdr:cNvSpPr txBox="1"/>
      </xdr:nvSpPr>
      <xdr:spPr>
        <a:xfrm>
          <a:off x="8267700" y="35242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228" name="TextBox 4227">
          <a:extLst>
            <a:ext uri="{FF2B5EF4-FFF2-40B4-BE49-F238E27FC236}">
              <a16:creationId xmlns:a16="http://schemas.microsoft.com/office/drawing/2014/main" id="{00000000-0008-0000-0000-000007000000}"/>
            </a:ext>
          </a:extLst>
        </xdr:cNvPr>
        <xdr:cNvSpPr txBox="1"/>
      </xdr:nvSpPr>
      <xdr:spPr>
        <a:xfrm>
          <a:off x="8267700" y="35242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229" name="TextBox 4228">
          <a:extLst>
            <a:ext uri="{FF2B5EF4-FFF2-40B4-BE49-F238E27FC236}">
              <a16:creationId xmlns:a16="http://schemas.microsoft.com/office/drawing/2014/main" id="{00000000-0008-0000-0000-000007000000}"/>
            </a:ext>
          </a:extLst>
        </xdr:cNvPr>
        <xdr:cNvSpPr txBox="1"/>
      </xdr:nvSpPr>
      <xdr:spPr>
        <a:xfrm>
          <a:off x="8267700" y="35242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230" name="TextBox 4229">
          <a:extLst>
            <a:ext uri="{FF2B5EF4-FFF2-40B4-BE49-F238E27FC236}">
              <a16:creationId xmlns:a16="http://schemas.microsoft.com/office/drawing/2014/main" id="{00000000-0008-0000-0000-000007000000}"/>
            </a:ext>
          </a:extLst>
        </xdr:cNvPr>
        <xdr:cNvSpPr txBox="1"/>
      </xdr:nvSpPr>
      <xdr:spPr>
        <a:xfrm>
          <a:off x="8267700" y="35242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231" name="TextBox 4230">
          <a:extLst>
            <a:ext uri="{FF2B5EF4-FFF2-40B4-BE49-F238E27FC236}">
              <a16:creationId xmlns:a16="http://schemas.microsoft.com/office/drawing/2014/main" id="{00000000-0008-0000-0000-000007000000}"/>
            </a:ext>
          </a:extLst>
        </xdr:cNvPr>
        <xdr:cNvSpPr txBox="1"/>
      </xdr:nvSpPr>
      <xdr:spPr>
        <a:xfrm>
          <a:off x="8267700" y="35242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232" name="TextBox 4231">
          <a:extLst>
            <a:ext uri="{FF2B5EF4-FFF2-40B4-BE49-F238E27FC236}">
              <a16:creationId xmlns:a16="http://schemas.microsoft.com/office/drawing/2014/main" id="{00000000-0008-0000-0000-000007000000}"/>
            </a:ext>
          </a:extLst>
        </xdr:cNvPr>
        <xdr:cNvSpPr txBox="1"/>
      </xdr:nvSpPr>
      <xdr:spPr>
        <a:xfrm>
          <a:off x="8267700" y="35242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233" name="TextBox 4232">
          <a:extLst>
            <a:ext uri="{FF2B5EF4-FFF2-40B4-BE49-F238E27FC236}">
              <a16:creationId xmlns:a16="http://schemas.microsoft.com/office/drawing/2014/main" id="{00000000-0008-0000-0000-000007000000}"/>
            </a:ext>
          </a:extLst>
        </xdr:cNvPr>
        <xdr:cNvSpPr txBox="1"/>
      </xdr:nvSpPr>
      <xdr:spPr>
        <a:xfrm>
          <a:off x="8267700" y="35242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234" name="TextBox 4233">
          <a:extLst>
            <a:ext uri="{FF2B5EF4-FFF2-40B4-BE49-F238E27FC236}">
              <a16:creationId xmlns:a16="http://schemas.microsoft.com/office/drawing/2014/main" id="{00000000-0008-0000-0000-000007000000}"/>
            </a:ext>
          </a:extLst>
        </xdr:cNvPr>
        <xdr:cNvSpPr txBox="1"/>
      </xdr:nvSpPr>
      <xdr:spPr>
        <a:xfrm>
          <a:off x="8267700" y="35242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235" name="TextBox 4234">
          <a:extLst>
            <a:ext uri="{FF2B5EF4-FFF2-40B4-BE49-F238E27FC236}">
              <a16:creationId xmlns:a16="http://schemas.microsoft.com/office/drawing/2014/main" id="{00000000-0008-0000-0000-000007000000}"/>
            </a:ext>
          </a:extLst>
        </xdr:cNvPr>
        <xdr:cNvSpPr txBox="1"/>
      </xdr:nvSpPr>
      <xdr:spPr>
        <a:xfrm>
          <a:off x="8267700" y="35242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236" name="TextBox 4235">
          <a:extLst>
            <a:ext uri="{FF2B5EF4-FFF2-40B4-BE49-F238E27FC236}">
              <a16:creationId xmlns:a16="http://schemas.microsoft.com/office/drawing/2014/main" id="{00000000-0008-0000-0000-000007000000}"/>
            </a:ext>
          </a:extLst>
        </xdr:cNvPr>
        <xdr:cNvSpPr txBox="1"/>
      </xdr:nvSpPr>
      <xdr:spPr>
        <a:xfrm>
          <a:off x="8267700" y="35242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237" name="TextBox 4236">
          <a:extLst>
            <a:ext uri="{FF2B5EF4-FFF2-40B4-BE49-F238E27FC236}">
              <a16:creationId xmlns:a16="http://schemas.microsoft.com/office/drawing/2014/main" id="{00000000-0008-0000-0000-000007000000}"/>
            </a:ext>
          </a:extLst>
        </xdr:cNvPr>
        <xdr:cNvSpPr txBox="1"/>
      </xdr:nvSpPr>
      <xdr:spPr>
        <a:xfrm>
          <a:off x="8267700" y="35242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238" name="TextBox 4237">
          <a:extLst>
            <a:ext uri="{FF2B5EF4-FFF2-40B4-BE49-F238E27FC236}">
              <a16:creationId xmlns:a16="http://schemas.microsoft.com/office/drawing/2014/main" id="{00000000-0008-0000-0000-000007000000}"/>
            </a:ext>
          </a:extLst>
        </xdr:cNvPr>
        <xdr:cNvSpPr txBox="1"/>
      </xdr:nvSpPr>
      <xdr:spPr>
        <a:xfrm>
          <a:off x="8267700" y="35242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239" name="TextBox 4238">
          <a:extLst>
            <a:ext uri="{FF2B5EF4-FFF2-40B4-BE49-F238E27FC236}">
              <a16:creationId xmlns:a16="http://schemas.microsoft.com/office/drawing/2014/main" id="{00000000-0008-0000-0000-000007000000}"/>
            </a:ext>
          </a:extLst>
        </xdr:cNvPr>
        <xdr:cNvSpPr txBox="1"/>
      </xdr:nvSpPr>
      <xdr:spPr>
        <a:xfrm>
          <a:off x="8267700" y="35242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240" name="TextBox 4239">
          <a:extLst>
            <a:ext uri="{FF2B5EF4-FFF2-40B4-BE49-F238E27FC236}">
              <a16:creationId xmlns:a16="http://schemas.microsoft.com/office/drawing/2014/main" id="{00000000-0008-0000-0000-000007000000}"/>
            </a:ext>
          </a:extLst>
        </xdr:cNvPr>
        <xdr:cNvSpPr txBox="1"/>
      </xdr:nvSpPr>
      <xdr:spPr>
        <a:xfrm>
          <a:off x="8267700" y="35242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241" name="TextBox 4240">
          <a:extLst>
            <a:ext uri="{FF2B5EF4-FFF2-40B4-BE49-F238E27FC236}">
              <a16:creationId xmlns:a16="http://schemas.microsoft.com/office/drawing/2014/main" id="{00000000-0008-0000-0000-000007000000}"/>
            </a:ext>
          </a:extLst>
        </xdr:cNvPr>
        <xdr:cNvSpPr txBox="1"/>
      </xdr:nvSpPr>
      <xdr:spPr>
        <a:xfrm>
          <a:off x="8267700" y="35242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242" name="TextBox 4241">
          <a:extLst>
            <a:ext uri="{FF2B5EF4-FFF2-40B4-BE49-F238E27FC236}">
              <a16:creationId xmlns:a16="http://schemas.microsoft.com/office/drawing/2014/main" id="{00000000-0008-0000-0000-000007000000}"/>
            </a:ext>
          </a:extLst>
        </xdr:cNvPr>
        <xdr:cNvSpPr txBox="1"/>
      </xdr:nvSpPr>
      <xdr:spPr>
        <a:xfrm>
          <a:off x="8267700" y="35242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243" name="TextBox 4242">
          <a:extLst>
            <a:ext uri="{FF2B5EF4-FFF2-40B4-BE49-F238E27FC236}">
              <a16:creationId xmlns:a16="http://schemas.microsoft.com/office/drawing/2014/main" id="{00000000-0008-0000-0000-000007000000}"/>
            </a:ext>
          </a:extLst>
        </xdr:cNvPr>
        <xdr:cNvSpPr txBox="1"/>
      </xdr:nvSpPr>
      <xdr:spPr>
        <a:xfrm>
          <a:off x="8267700" y="35242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244" name="TextBox 4243">
          <a:extLst>
            <a:ext uri="{FF2B5EF4-FFF2-40B4-BE49-F238E27FC236}">
              <a16:creationId xmlns:a16="http://schemas.microsoft.com/office/drawing/2014/main" id="{00000000-0008-0000-0000-000007000000}"/>
            </a:ext>
          </a:extLst>
        </xdr:cNvPr>
        <xdr:cNvSpPr txBox="1"/>
      </xdr:nvSpPr>
      <xdr:spPr>
        <a:xfrm>
          <a:off x="8267700" y="35242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245" name="TextBox 4244">
          <a:extLst>
            <a:ext uri="{FF2B5EF4-FFF2-40B4-BE49-F238E27FC236}">
              <a16:creationId xmlns:a16="http://schemas.microsoft.com/office/drawing/2014/main" id="{00000000-0008-0000-0000-000007000000}"/>
            </a:ext>
          </a:extLst>
        </xdr:cNvPr>
        <xdr:cNvSpPr txBox="1"/>
      </xdr:nvSpPr>
      <xdr:spPr>
        <a:xfrm>
          <a:off x="8267700" y="35242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246" name="TextBox 4245">
          <a:extLst>
            <a:ext uri="{FF2B5EF4-FFF2-40B4-BE49-F238E27FC236}">
              <a16:creationId xmlns:a16="http://schemas.microsoft.com/office/drawing/2014/main" id="{00000000-0008-0000-0000-000007000000}"/>
            </a:ext>
          </a:extLst>
        </xdr:cNvPr>
        <xdr:cNvSpPr txBox="1"/>
      </xdr:nvSpPr>
      <xdr:spPr>
        <a:xfrm>
          <a:off x="8267700" y="35242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247" name="TextBox 4246">
          <a:extLst>
            <a:ext uri="{FF2B5EF4-FFF2-40B4-BE49-F238E27FC236}">
              <a16:creationId xmlns:a16="http://schemas.microsoft.com/office/drawing/2014/main" id="{00000000-0008-0000-0000-000007000000}"/>
            </a:ext>
          </a:extLst>
        </xdr:cNvPr>
        <xdr:cNvSpPr txBox="1"/>
      </xdr:nvSpPr>
      <xdr:spPr>
        <a:xfrm>
          <a:off x="8267700" y="35242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248" name="TextBox 4247">
          <a:extLst>
            <a:ext uri="{FF2B5EF4-FFF2-40B4-BE49-F238E27FC236}">
              <a16:creationId xmlns:a16="http://schemas.microsoft.com/office/drawing/2014/main" id="{00000000-0008-0000-0000-000007000000}"/>
            </a:ext>
          </a:extLst>
        </xdr:cNvPr>
        <xdr:cNvSpPr txBox="1"/>
      </xdr:nvSpPr>
      <xdr:spPr>
        <a:xfrm>
          <a:off x="8267700" y="35242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249" name="TextBox 4248">
          <a:extLst>
            <a:ext uri="{FF2B5EF4-FFF2-40B4-BE49-F238E27FC236}">
              <a16:creationId xmlns:a16="http://schemas.microsoft.com/office/drawing/2014/main" id="{00000000-0008-0000-0000-000007000000}"/>
            </a:ext>
          </a:extLst>
        </xdr:cNvPr>
        <xdr:cNvSpPr txBox="1"/>
      </xdr:nvSpPr>
      <xdr:spPr>
        <a:xfrm>
          <a:off x="8267700" y="35242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250" name="TextBox 4249">
          <a:extLst>
            <a:ext uri="{FF2B5EF4-FFF2-40B4-BE49-F238E27FC236}">
              <a16:creationId xmlns:a16="http://schemas.microsoft.com/office/drawing/2014/main" id="{00000000-0008-0000-0000-000007000000}"/>
            </a:ext>
          </a:extLst>
        </xdr:cNvPr>
        <xdr:cNvSpPr txBox="1"/>
      </xdr:nvSpPr>
      <xdr:spPr>
        <a:xfrm>
          <a:off x="8267700" y="35242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251" name="TextBox 4250">
          <a:extLst>
            <a:ext uri="{FF2B5EF4-FFF2-40B4-BE49-F238E27FC236}">
              <a16:creationId xmlns:a16="http://schemas.microsoft.com/office/drawing/2014/main" id="{00000000-0008-0000-0000-000007000000}"/>
            </a:ext>
          </a:extLst>
        </xdr:cNvPr>
        <xdr:cNvSpPr txBox="1"/>
      </xdr:nvSpPr>
      <xdr:spPr>
        <a:xfrm>
          <a:off x="8267700" y="35242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252" name="TextBox 4251">
          <a:extLst>
            <a:ext uri="{FF2B5EF4-FFF2-40B4-BE49-F238E27FC236}">
              <a16:creationId xmlns:a16="http://schemas.microsoft.com/office/drawing/2014/main" id="{00000000-0008-0000-0000-000007000000}"/>
            </a:ext>
          </a:extLst>
        </xdr:cNvPr>
        <xdr:cNvSpPr txBox="1"/>
      </xdr:nvSpPr>
      <xdr:spPr>
        <a:xfrm>
          <a:off x="8267700" y="35242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253" name="TextBox 4252">
          <a:extLst>
            <a:ext uri="{FF2B5EF4-FFF2-40B4-BE49-F238E27FC236}">
              <a16:creationId xmlns:a16="http://schemas.microsoft.com/office/drawing/2014/main" id="{00000000-0008-0000-0000-000007000000}"/>
            </a:ext>
          </a:extLst>
        </xdr:cNvPr>
        <xdr:cNvSpPr txBox="1"/>
      </xdr:nvSpPr>
      <xdr:spPr>
        <a:xfrm>
          <a:off x="8267700" y="35242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254" name="TextBox 4253">
          <a:extLst>
            <a:ext uri="{FF2B5EF4-FFF2-40B4-BE49-F238E27FC236}">
              <a16:creationId xmlns:a16="http://schemas.microsoft.com/office/drawing/2014/main" id="{00000000-0008-0000-0000-000007000000}"/>
            </a:ext>
          </a:extLst>
        </xdr:cNvPr>
        <xdr:cNvSpPr txBox="1"/>
      </xdr:nvSpPr>
      <xdr:spPr>
        <a:xfrm>
          <a:off x="8267700" y="35242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255" name="TextBox 4254">
          <a:extLst>
            <a:ext uri="{FF2B5EF4-FFF2-40B4-BE49-F238E27FC236}">
              <a16:creationId xmlns:a16="http://schemas.microsoft.com/office/drawing/2014/main" id="{00000000-0008-0000-0000-000007000000}"/>
            </a:ext>
          </a:extLst>
        </xdr:cNvPr>
        <xdr:cNvSpPr txBox="1"/>
      </xdr:nvSpPr>
      <xdr:spPr>
        <a:xfrm>
          <a:off x="8267700" y="35242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256" name="TextBox 4255">
          <a:extLst>
            <a:ext uri="{FF2B5EF4-FFF2-40B4-BE49-F238E27FC236}">
              <a16:creationId xmlns:a16="http://schemas.microsoft.com/office/drawing/2014/main" id="{00000000-0008-0000-0000-000007000000}"/>
            </a:ext>
          </a:extLst>
        </xdr:cNvPr>
        <xdr:cNvSpPr txBox="1"/>
      </xdr:nvSpPr>
      <xdr:spPr>
        <a:xfrm>
          <a:off x="8267700" y="35242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257" name="TextBox 4256">
          <a:extLst>
            <a:ext uri="{FF2B5EF4-FFF2-40B4-BE49-F238E27FC236}">
              <a16:creationId xmlns:a16="http://schemas.microsoft.com/office/drawing/2014/main" id="{00000000-0008-0000-0000-000007000000}"/>
            </a:ext>
          </a:extLst>
        </xdr:cNvPr>
        <xdr:cNvSpPr txBox="1"/>
      </xdr:nvSpPr>
      <xdr:spPr>
        <a:xfrm>
          <a:off x="8267700" y="35242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258" name="TextBox 4257">
          <a:extLst>
            <a:ext uri="{FF2B5EF4-FFF2-40B4-BE49-F238E27FC236}">
              <a16:creationId xmlns:a16="http://schemas.microsoft.com/office/drawing/2014/main" id="{00000000-0008-0000-0000-000007000000}"/>
            </a:ext>
          </a:extLst>
        </xdr:cNvPr>
        <xdr:cNvSpPr txBox="1"/>
      </xdr:nvSpPr>
      <xdr:spPr>
        <a:xfrm>
          <a:off x="8267700" y="35242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259" name="TextBox 4258">
          <a:extLst>
            <a:ext uri="{FF2B5EF4-FFF2-40B4-BE49-F238E27FC236}">
              <a16:creationId xmlns:a16="http://schemas.microsoft.com/office/drawing/2014/main" id="{00000000-0008-0000-0000-000007000000}"/>
            </a:ext>
          </a:extLst>
        </xdr:cNvPr>
        <xdr:cNvSpPr txBox="1"/>
      </xdr:nvSpPr>
      <xdr:spPr>
        <a:xfrm>
          <a:off x="8267700" y="35242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260" name="TextBox 4259">
          <a:extLst>
            <a:ext uri="{FF2B5EF4-FFF2-40B4-BE49-F238E27FC236}">
              <a16:creationId xmlns:a16="http://schemas.microsoft.com/office/drawing/2014/main" id="{00000000-0008-0000-0000-000007000000}"/>
            </a:ext>
          </a:extLst>
        </xdr:cNvPr>
        <xdr:cNvSpPr txBox="1"/>
      </xdr:nvSpPr>
      <xdr:spPr>
        <a:xfrm>
          <a:off x="8267700" y="35242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261" name="TextBox 4260">
          <a:extLst>
            <a:ext uri="{FF2B5EF4-FFF2-40B4-BE49-F238E27FC236}">
              <a16:creationId xmlns:a16="http://schemas.microsoft.com/office/drawing/2014/main" id="{00000000-0008-0000-0000-000007000000}"/>
            </a:ext>
          </a:extLst>
        </xdr:cNvPr>
        <xdr:cNvSpPr txBox="1"/>
      </xdr:nvSpPr>
      <xdr:spPr>
        <a:xfrm>
          <a:off x="8267700" y="35242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262" name="TextBox 4261">
          <a:extLst>
            <a:ext uri="{FF2B5EF4-FFF2-40B4-BE49-F238E27FC236}">
              <a16:creationId xmlns:a16="http://schemas.microsoft.com/office/drawing/2014/main" id="{00000000-0008-0000-0000-000007000000}"/>
            </a:ext>
          </a:extLst>
        </xdr:cNvPr>
        <xdr:cNvSpPr txBox="1"/>
      </xdr:nvSpPr>
      <xdr:spPr>
        <a:xfrm>
          <a:off x="8267700" y="35242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263" name="TextBox 4262">
          <a:extLst>
            <a:ext uri="{FF2B5EF4-FFF2-40B4-BE49-F238E27FC236}">
              <a16:creationId xmlns:a16="http://schemas.microsoft.com/office/drawing/2014/main" id="{00000000-0008-0000-0000-000007000000}"/>
            </a:ext>
          </a:extLst>
        </xdr:cNvPr>
        <xdr:cNvSpPr txBox="1"/>
      </xdr:nvSpPr>
      <xdr:spPr>
        <a:xfrm>
          <a:off x="8267700" y="35242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264" name="TextBox 4263">
          <a:extLst>
            <a:ext uri="{FF2B5EF4-FFF2-40B4-BE49-F238E27FC236}">
              <a16:creationId xmlns:a16="http://schemas.microsoft.com/office/drawing/2014/main" id="{00000000-0008-0000-0000-000007000000}"/>
            </a:ext>
          </a:extLst>
        </xdr:cNvPr>
        <xdr:cNvSpPr txBox="1"/>
      </xdr:nvSpPr>
      <xdr:spPr>
        <a:xfrm>
          <a:off x="8267700" y="35242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265" name="TextBox 4264">
          <a:extLst>
            <a:ext uri="{FF2B5EF4-FFF2-40B4-BE49-F238E27FC236}">
              <a16:creationId xmlns:a16="http://schemas.microsoft.com/office/drawing/2014/main" id="{00000000-0008-0000-0000-000007000000}"/>
            </a:ext>
          </a:extLst>
        </xdr:cNvPr>
        <xdr:cNvSpPr txBox="1"/>
      </xdr:nvSpPr>
      <xdr:spPr>
        <a:xfrm>
          <a:off x="12580620" y="35242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266" name="TextBox 4265">
          <a:extLst>
            <a:ext uri="{FF2B5EF4-FFF2-40B4-BE49-F238E27FC236}">
              <a16:creationId xmlns:a16="http://schemas.microsoft.com/office/drawing/2014/main" id="{00000000-0008-0000-0000-000007000000}"/>
            </a:ext>
          </a:extLst>
        </xdr:cNvPr>
        <xdr:cNvSpPr txBox="1"/>
      </xdr:nvSpPr>
      <xdr:spPr>
        <a:xfrm>
          <a:off x="12580620" y="35242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267" name="TextBox 4266">
          <a:extLst>
            <a:ext uri="{FF2B5EF4-FFF2-40B4-BE49-F238E27FC236}">
              <a16:creationId xmlns:a16="http://schemas.microsoft.com/office/drawing/2014/main" id="{00000000-0008-0000-0000-000007000000}"/>
            </a:ext>
          </a:extLst>
        </xdr:cNvPr>
        <xdr:cNvSpPr txBox="1"/>
      </xdr:nvSpPr>
      <xdr:spPr>
        <a:xfrm>
          <a:off x="12580620" y="35242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268" name="TextBox 4267">
          <a:extLst>
            <a:ext uri="{FF2B5EF4-FFF2-40B4-BE49-F238E27FC236}">
              <a16:creationId xmlns:a16="http://schemas.microsoft.com/office/drawing/2014/main" id="{00000000-0008-0000-0000-000007000000}"/>
            </a:ext>
          </a:extLst>
        </xdr:cNvPr>
        <xdr:cNvSpPr txBox="1"/>
      </xdr:nvSpPr>
      <xdr:spPr>
        <a:xfrm>
          <a:off x="12580620" y="35242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269" name="TextBox 4268">
          <a:extLst>
            <a:ext uri="{FF2B5EF4-FFF2-40B4-BE49-F238E27FC236}">
              <a16:creationId xmlns:a16="http://schemas.microsoft.com/office/drawing/2014/main" id="{00000000-0008-0000-0000-000007000000}"/>
            </a:ext>
          </a:extLst>
        </xdr:cNvPr>
        <xdr:cNvSpPr txBox="1"/>
      </xdr:nvSpPr>
      <xdr:spPr>
        <a:xfrm>
          <a:off x="12580620" y="35242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270" name="TextBox 4269">
          <a:extLst>
            <a:ext uri="{FF2B5EF4-FFF2-40B4-BE49-F238E27FC236}">
              <a16:creationId xmlns:a16="http://schemas.microsoft.com/office/drawing/2014/main" id="{00000000-0008-0000-0000-000007000000}"/>
            </a:ext>
          </a:extLst>
        </xdr:cNvPr>
        <xdr:cNvSpPr txBox="1"/>
      </xdr:nvSpPr>
      <xdr:spPr>
        <a:xfrm>
          <a:off x="12580620" y="35242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271" name="TextBox 4270">
          <a:extLst>
            <a:ext uri="{FF2B5EF4-FFF2-40B4-BE49-F238E27FC236}">
              <a16:creationId xmlns:a16="http://schemas.microsoft.com/office/drawing/2014/main" id="{00000000-0008-0000-0000-000007000000}"/>
            </a:ext>
          </a:extLst>
        </xdr:cNvPr>
        <xdr:cNvSpPr txBox="1"/>
      </xdr:nvSpPr>
      <xdr:spPr>
        <a:xfrm>
          <a:off x="12580620" y="35242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272" name="TextBox 4271">
          <a:extLst>
            <a:ext uri="{FF2B5EF4-FFF2-40B4-BE49-F238E27FC236}">
              <a16:creationId xmlns:a16="http://schemas.microsoft.com/office/drawing/2014/main" id="{00000000-0008-0000-0000-000007000000}"/>
            </a:ext>
          </a:extLst>
        </xdr:cNvPr>
        <xdr:cNvSpPr txBox="1"/>
      </xdr:nvSpPr>
      <xdr:spPr>
        <a:xfrm>
          <a:off x="12580620" y="35242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273" name="TextBox 4272">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274" name="TextBox 4273">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275" name="TextBox 4274">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276" name="TextBox 4275">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277" name="TextBox 4276">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278" name="TextBox 4277">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279" name="TextBox 4278">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280" name="TextBox 4279">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281" name="TextBox 4280">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282" name="TextBox 4281">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283" name="TextBox 4282">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284" name="TextBox 4283">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285" name="TextBox 4284">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286" name="TextBox 4285">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287" name="TextBox 4286">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288" name="TextBox 4287">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289" name="TextBox 4288">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290" name="TextBox 4289">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291" name="TextBox 4290">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292" name="TextBox 4291">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293" name="TextBox 4292">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294" name="TextBox 4293">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295" name="TextBox 4294">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296" name="TextBox 4295">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297" name="TextBox 4296">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298" name="TextBox 4297">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299" name="TextBox 4298">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300" name="TextBox 4299">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301" name="TextBox 4300">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302" name="TextBox 4301">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303" name="TextBox 4302">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304" name="TextBox 4303">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305" name="TextBox 4304">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306" name="TextBox 4305">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307" name="TextBox 4306">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308" name="TextBox 4307">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309" name="TextBox 4308">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310" name="TextBox 4309">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311" name="TextBox 4310">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312" name="TextBox 4311">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313" name="TextBox 4312">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314" name="TextBox 4313">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315" name="TextBox 4314">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316" name="TextBox 4315">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317" name="TextBox 4316">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318" name="TextBox 4317">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319" name="TextBox 4318">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320" name="TextBox 4319">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321" name="TextBox 4320">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322" name="TextBox 4321">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323" name="TextBox 4322">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324" name="TextBox 4323">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325" name="TextBox 4324">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326" name="TextBox 4325">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327" name="TextBox 4326">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328" name="TextBox 4327">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329" name="TextBox 4328">
          <a:extLst>
            <a:ext uri="{FF2B5EF4-FFF2-40B4-BE49-F238E27FC236}">
              <a16:creationId xmlns:a16="http://schemas.microsoft.com/office/drawing/2014/main" id="{00000000-0008-0000-0000-000007000000}"/>
            </a:ext>
          </a:extLst>
        </xdr:cNvPr>
        <xdr:cNvSpPr txBox="1"/>
      </xdr:nvSpPr>
      <xdr:spPr>
        <a:xfrm>
          <a:off x="1258062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330" name="TextBox 4329">
          <a:extLst>
            <a:ext uri="{FF2B5EF4-FFF2-40B4-BE49-F238E27FC236}">
              <a16:creationId xmlns:a16="http://schemas.microsoft.com/office/drawing/2014/main" id="{00000000-0008-0000-0000-000007000000}"/>
            </a:ext>
          </a:extLst>
        </xdr:cNvPr>
        <xdr:cNvSpPr txBox="1"/>
      </xdr:nvSpPr>
      <xdr:spPr>
        <a:xfrm>
          <a:off x="1258062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331" name="TextBox 4330">
          <a:extLst>
            <a:ext uri="{FF2B5EF4-FFF2-40B4-BE49-F238E27FC236}">
              <a16:creationId xmlns:a16="http://schemas.microsoft.com/office/drawing/2014/main" id="{00000000-0008-0000-0000-000007000000}"/>
            </a:ext>
          </a:extLst>
        </xdr:cNvPr>
        <xdr:cNvSpPr txBox="1"/>
      </xdr:nvSpPr>
      <xdr:spPr>
        <a:xfrm>
          <a:off x="1258062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332" name="TextBox 4331">
          <a:extLst>
            <a:ext uri="{FF2B5EF4-FFF2-40B4-BE49-F238E27FC236}">
              <a16:creationId xmlns:a16="http://schemas.microsoft.com/office/drawing/2014/main" id="{00000000-0008-0000-0000-000007000000}"/>
            </a:ext>
          </a:extLst>
        </xdr:cNvPr>
        <xdr:cNvSpPr txBox="1"/>
      </xdr:nvSpPr>
      <xdr:spPr>
        <a:xfrm>
          <a:off x="1258062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333" name="TextBox 4332">
          <a:extLst>
            <a:ext uri="{FF2B5EF4-FFF2-40B4-BE49-F238E27FC236}">
              <a16:creationId xmlns:a16="http://schemas.microsoft.com/office/drawing/2014/main" id="{00000000-0008-0000-0000-000007000000}"/>
            </a:ext>
          </a:extLst>
        </xdr:cNvPr>
        <xdr:cNvSpPr txBox="1"/>
      </xdr:nvSpPr>
      <xdr:spPr>
        <a:xfrm>
          <a:off x="1258062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334" name="TextBox 4333">
          <a:extLst>
            <a:ext uri="{FF2B5EF4-FFF2-40B4-BE49-F238E27FC236}">
              <a16:creationId xmlns:a16="http://schemas.microsoft.com/office/drawing/2014/main" id="{00000000-0008-0000-0000-000007000000}"/>
            </a:ext>
          </a:extLst>
        </xdr:cNvPr>
        <xdr:cNvSpPr txBox="1"/>
      </xdr:nvSpPr>
      <xdr:spPr>
        <a:xfrm>
          <a:off x="1258062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335" name="TextBox 4334">
          <a:extLst>
            <a:ext uri="{FF2B5EF4-FFF2-40B4-BE49-F238E27FC236}">
              <a16:creationId xmlns:a16="http://schemas.microsoft.com/office/drawing/2014/main" id="{00000000-0008-0000-0000-000007000000}"/>
            </a:ext>
          </a:extLst>
        </xdr:cNvPr>
        <xdr:cNvSpPr txBox="1"/>
      </xdr:nvSpPr>
      <xdr:spPr>
        <a:xfrm>
          <a:off x="1258062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336" name="TextBox 4335">
          <a:extLst>
            <a:ext uri="{FF2B5EF4-FFF2-40B4-BE49-F238E27FC236}">
              <a16:creationId xmlns:a16="http://schemas.microsoft.com/office/drawing/2014/main" id="{00000000-0008-0000-0000-000007000000}"/>
            </a:ext>
          </a:extLst>
        </xdr:cNvPr>
        <xdr:cNvSpPr txBox="1"/>
      </xdr:nvSpPr>
      <xdr:spPr>
        <a:xfrm>
          <a:off x="1258062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337" name="TextBox 4336">
          <a:extLst>
            <a:ext uri="{FF2B5EF4-FFF2-40B4-BE49-F238E27FC236}">
              <a16:creationId xmlns:a16="http://schemas.microsoft.com/office/drawing/2014/main" id="{00000000-0008-0000-0000-000007000000}"/>
            </a:ext>
          </a:extLst>
        </xdr:cNvPr>
        <xdr:cNvSpPr txBox="1"/>
      </xdr:nvSpPr>
      <xdr:spPr>
        <a:xfrm>
          <a:off x="8267700" y="35638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338" name="TextBox 4337">
          <a:extLst>
            <a:ext uri="{FF2B5EF4-FFF2-40B4-BE49-F238E27FC236}">
              <a16:creationId xmlns:a16="http://schemas.microsoft.com/office/drawing/2014/main" id="{00000000-0008-0000-0000-000007000000}"/>
            </a:ext>
          </a:extLst>
        </xdr:cNvPr>
        <xdr:cNvSpPr txBox="1"/>
      </xdr:nvSpPr>
      <xdr:spPr>
        <a:xfrm>
          <a:off x="8267700" y="35638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339" name="TextBox 4338">
          <a:extLst>
            <a:ext uri="{FF2B5EF4-FFF2-40B4-BE49-F238E27FC236}">
              <a16:creationId xmlns:a16="http://schemas.microsoft.com/office/drawing/2014/main" id="{00000000-0008-0000-0000-000007000000}"/>
            </a:ext>
          </a:extLst>
        </xdr:cNvPr>
        <xdr:cNvSpPr txBox="1"/>
      </xdr:nvSpPr>
      <xdr:spPr>
        <a:xfrm>
          <a:off x="8267700" y="35638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340" name="TextBox 4339">
          <a:extLst>
            <a:ext uri="{FF2B5EF4-FFF2-40B4-BE49-F238E27FC236}">
              <a16:creationId xmlns:a16="http://schemas.microsoft.com/office/drawing/2014/main" id="{00000000-0008-0000-0000-000007000000}"/>
            </a:ext>
          </a:extLst>
        </xdr:cNvPr>
        <xdr:cNvSpPr txBox="1"/>
      </xdr:nvSpPr>
      <xdr:spPr>
        <a:xfrm>
          <a:off x="8267700" y="35638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341" name="TextBox 4340">
          <a:extLst>
            <a:ext uri="{FF2B5EF4-FFF2-40B4-BE49-F238E27FC236}">
              <a16:creationId xmlns:a16="http://schemas.microsoft.com/office/drawing/2014/main" id="{00000000-0008-0000-0000-000007000000}"/>
            </a:ext>
          </a:extLst>
        </xdr:cNvPr>
        <xdr:cNvSpPr txBox="1"/>
      </xdr:nvSpPr>
      <xdr:spPr>
        <a:xfrm>
          <a:off x="8267700" y="35638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342" name="TextBox 4341">
          <a:extLst>
            <a:ext uri="{FF2B5EF4-FFF2-40B4-BE49-F238E27FC236}">
              <a16:creationId xmlns:a16="http://schemas.microsoft.com/office/drawing/2014/main" id="{00000000-0008-0000-0000-000007000000}"/>
            </a:ext>
          </a:extLst>
        </xdr:cNvPr>
        <xdr:cNvSpPr txBox="1"/>
      </xdr:nvSpPr>
      <xdr:spPr>
        <a:xfrm>
          <a:off x="8267700" y="35638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343" name="TextBox 4342">
          <a:extLst>
            <a:ext uri="{FF2B5EF4-FFF2-40B4-BE49-F238E27FC236}">
              <a16:creationId xmlns:a16="http://schemas.microsoft.com/office/drawing/2014/main" id="{00000000-0008-0000-0000-000007000000}"/>
            </a:ext>
          </a:extLst>
        </xdr:cNvPr>
        <xdr:cNvSpPr txBox="1"/>
      </xdr:nvSpPr>
      <xdr:spPr>
        <a:xfrm>
          <a:off x="8267700" y="35638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344" name="TextBox 4343">
          <a:extLst>
            <a:ext uri="{FF2B5EF4-FFF2-40B4-BE49-F238E27FC236}">
              <a16:creationId xmlns:a16="http://schemas.microsoft.com/office/drawing/2014/main" id="{00000000-0008-0000-0000-000007000000}"/>
            </a:ext>
          </a:extLst>
        </xdr:cNvPr>
        <xdr:cNvSpPr txBox="1"/>
      </xdr:nvSpPr>
      <xdr:spPr>
        <a:xfrm>
          <a:off x="8267700" y="35638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345" name="TextBox 4344">
          <a:extLst>
            <a:ext uri="{FF2B5EF4-FFF2-40B4-BE49-F238E27FC236}">
              <a16:creationId xmlns:a16="http://schemas.microsoft.com/office/drawing/2014/main" id="{00000000-0008-0000-0000-000007000000}"/>
            </a:ext>
          </a:extLst>
        </xdr:cNvPr>
        <xdr:cNvSpPr txBox="1"/>
      </xdr:nvSpPr>
      <xdr:spPr>
        <a:xfrm>
          <a:off x="8267700" y="35638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346" name="TextBox 4345">
          <a:extLst>
            <a:ext uri="{FF2B5EF4-FFF2-40B4-BE49-F238E27FC236}">
              <a16:creationId xmlns:a16="http://schemas.microsoft.com/office/drawing/2014/main" id="{00000000-0008-0000-0000-000007000000}"/>
            </a:ext>
          </a:extLst>
        </xdr:cNvPr>
        <xdr:cNvSpPr txBox="1"/>
      </xdr:nvSpPr>
      <xdr:spPr>
        <a:xfrm>
          <a:off x="8267700" y="35638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347" name="TextBox 4346">
          <a:extLst>
            <a:ext uri="{FF2B5EF4-FFF2-40B4-BE49-F238E27FC236}">
              <a16:creationId xmlns:a16="http://schemas.microsoft.com/office/drawing/2014/main" id="{00000000-0008-0000-0000-000007000000}"/>
            </a:ext>
          </a:extLst>
        </xdr:cNvPr>
        <xdr:cNvSpPr txBox="1"/>
      </xdr:nvSpPr>
      <xdr:spPr>
        <a:xfrm>
          <a:off x="8267700" y="35638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348" name="TextBox 4347">
          <a:extLst>
            <a:ext uri="{FF2B5EF4-FFF2-40B4-BE49-F238E27FC236}">
              <a16:creationId xmlns:a16="http://schemas.microsoft.com/office/drawing/2014/main" id="{00000000-0008-0000-0000-000007000000}"/>
            </a:ext>
          </a:extLst>
        </xdr:cNvPr>
        <xdr:cNvSpPr txBox="1"/>
      </xdr:nvSpPr>
      <xdr:spPr>
        <a:xfrm>
          <a:off x="8267700" y="35638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349" name="TextBox 4348">
          <a:extLst>
            <a:ext uri="{FF2B5EF4-FFF2-40B4-BE49-F238E27FC236}">
              <a16:creationId xmlns:a16="http://schemas.microsoft.com/office/drawing/2014/main" id="{00000000-0008-0000-0000-000007000000}"/>
            </a:ext>
          </a:extLst>
        </xdr:cNvPr>
        <xdr:cNvSpPr txBox="1"/>
      </xdr:nvSpPr>
      <xdr:spPr>
        <a:xfrm>
          <a:off x="8267700" y="35638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350" name="TextBox 4349">
          <a:extLst>
            <a:ext uri="{FF2B5EF4-FFF2-40B4-BE49-F238E27FC236}">
              <a16:creationId xmlns:a16="http://schemas.microsoft.com/office/drawing/2014/main" id="{00000000-0008-0000-0000-000007000000}"/>
            </a:ext>
          </a:extLst>
        </xdr:cNvPr>
        <xdr:cNvSpPr txBox="1"/>
      </xdr:nvSpPr>
      <xdr:spPr>
        <a:xfrm>
          <a:off x="8267700" y="35638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351" name="TextBox 4350">
          <a:extLst>
            <a:ext uri="{FF2B5EF4-FFF2-40B4-BE49-F238E27FC236}">
              <a16:creationId xmlns:a16="http://schemas.microsoft.com/office/drawing/2014/main" id="{00000000-0008-0000-0000-000007000000}"/>
            </a:ext>
          </a:extLst>
        </xdr:cNvPr>
        <xdr:cNvSpPr txBox="1"/>
      </xdr:nvSpPr>
      <xdr:spPr>
        <a:xfrm>
          <a:off x="8267700" y="35638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352" name="TextBox 4351">
          <a:extLst>
            <a:ext uri="{FF2B5EF4-FFF2-40B4-BE49-F238E27FC236}">
              <a16:creationId xmlns:a16="http://schemas.microsoft.com/office/drawing/2014/main" id="{00000000-0008-0000-0000-000007000000}"/>
            </a:ext>
          </a:extLst>
        </xdr:cNvPr>
        <xdr:cNvSpPr txBox="1"/>
      </xdr:nvSpPr>
      <xdr:spPr>
        <a:xfrm>
          <a:off x="8267700" y="35638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353" name="TextBox 4352">
          <a:extLst>
            <a:ext uri="{FF2B5EF4-FFF2-40B4-BE49-F238E27FC236}">
              <a16:creationId xmlns:a16="http://schemas.microsoft.com/office/drawing/2014/main" id="{00000000-0008-0000-0000-000007000000}"/>
            </a:ext>
          </a:extLst>
        </xdr:cNvPr>
        <xdr:cNvSpPr txBox="1"/>
      </xdr:nvSpPr>
      <xdr:spPr>
        <a:xfrm>
          <a:off x="8267700" y="35638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354" name="TextBox 4353">
          <a:extLst>
            <a:ext uri="{FF2B5EF4-FFF2-40B4-BE49-F238E27FC236}">
              <a16:creationId xmlns:a16="http://schemas.microsoft.com/office/drawing/2014/main" id="{00000000-0008-0000-0000-000007000000}"/>
            </a:ext>
          </a:extLst>
        </xdr:cNvPr>
        <xdr:cNvSpPr txBox="1"/>
      </xdr:nvSpPr>
      <xdr:spPr>
        <a:xfrm>
          <a:off x="8267700" y="35638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355" name="TextBox 4354">
          <a:extLst>
            <a:ext uri="{FF2B5EF4-FFF2-40B4-BE49-F238E27FC236}">
              <a16:creationId xmlns:a16="http://schemas.microsoft.com/office/drawing/2014/main" id="{00000000-0008-0000-0000-000007000000}"/>
            </a:ext>
          </a:extLst>
        </xdr:cNvPr>
        <xdr:cNvSpPr txBox="1"/>
      </xdr:nvSpPr>
      <xdr:spPr>
        <a:xfrm>
          <a:off x="8267700" y="35638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356" name="TextBox 4355">
          <a:extLst>
            <a:ext uri="{FF2B5EF4-FFF2-40B4-BE49-F238E27FC236}">
              <a16:creationId xmlns:a16="http://schemas.microsoft.com/office/drawing/2014/main" id="{00000000-0008-0000-0000-000007000000}"/>
            </a:ext>
          </a:extLst>
        </xdr:cNvPr>
        <xdr:cNvSpPr txBox="1"/>
      </xdr:nvSpPr>
      <xdr:spPr>
        <a:xfrm>
          <a:off x="8267700" y="35638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357" name="TextBox 4356">
          <a:extLst>
            <a:ext uri="{FF2B5EF4-FFF2-40B4-BE49-F238E27FC236}">
              <a16:creationId xmlns:a16="http://schemas.microsoft.com/office/drawing/2014/main" id="{00000000-0008-0000-0000-000007000000}"/>
            </a:ext>
          </a:extLst>
        </xdr:cNvPr>
        <xdr:cNvSpPr txBox="1"/>
      </xdr:nvSpPr>
      <xdr:spPr>
        <a:xfrm>
          <a:off x="8267700" y="35638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358" name="TextBox 4357">
          <a:extLst>
            <a:ext uri="{FF2B5EF4-FFF2-40B4-BE49-F238E27FC236}">
              <a16:creationId xmlns:a16="http://schemas.microsoft.com/office/drawing/2014/main" id="{00000000-0008-0000-0000-000007000000}"/>
            </a:ext>
          </a:extLst>
        </xdr:cNvPr>
        <xdr:cNvSpPr txBox="1"/>
      </xdr:nvSpPr>
      <xdr:spPr>
        <a:xfrm>
          <a:off x="8267700" y="35638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359" name="TextBox 4358">
          <a:extLst>
            <a:ext uri="{FF2B5EF4-FFF2-40B4-BE49-F238E27FC236}">
              <a16:creationId xmlns:a16="http://schemas.microsoft.com/office/drawing/2014/main" id="{00000000-0008-0000-0000-000007000000}"/>
            </a:ext>
          </a:extLst>
        </xdr:cNvPr>
        <xdr:cNvSpPr txBox="1"/>
      </xdr:nvSpPr>
      <xdr:spPr>
        <a:xfrm>
          <a:off x="8267700" y="35638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360" name="TextBox 4359">
          <a:extLst>
            <a:ext uri="{FF2B5EF4-FFF2-40B4-BE49-F238E27FC236}">
              <a16:creationId xmlns:a16="http://schemas.microsoft.com/office/drawing/2014/main" id="{00000000-0008-0000-0000-000007000000}"/>
            </a:ext>
          </a:extLst>
        </xdr:cNvPr>
        <xdr:cNvSpPr txBox="1"/>
      </xdr:nvSpPr>
      <xdr:spPr>
        <a:xfrm>
          <a:off x="8267700" y="35638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361" name="TextBox 4360">
          <a:extLst>
            <a:ext uri="{FF2B5EF4-FFF2-40B4-BE49-F238E27FC236}">
              <a16:creationId xmlns:a16="http://schemas.microsoft.com/office/drawing/2014/main" id="{00000000-0008-0000-0000-000007000000}"/>
            </a:ext>
          </a:extLst>
        </xdr:cNvPr>
        <xdr:cNvSpPr txBox="1"/>
      </xdr:nvSpPr>
      <xdr:spPr>
        <a:xfrm>
          <a:off x="8267700" y="35638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362" name="TextBox 4361">
          <a:extLst>
            <a:ext uri="{FF2B5EF4-FFF2-40B4-BE49-F238E27FC236}">
              <a16:creationId xmlns:a16="http://schemas.microsoft.com/office/drawing/2014/main" id="{00000000-0008-0000-0000-000007000000}"/>
            </a:ext>
          </a:extLst>
        </xdr:cNvPr>
        <xdr:cNvSpPr txBox="1"/>
      </xdr:nvSpPr>
      <xdr:spPr>
        <a:xfrm>
          <a:off x="8267700" y="35638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363" name="TextBox 4362">
          <a:extLst>
            <a:ext uri="{FF2B5EF4-FFF2-40B4-BE49-F238E27FC236}">
              <a16:creationId xmlns:a16="http://schemas.microsoft.com/office/drawing/2014/main" id="{00000000-0008-0000-0000-000007000000}"/>
            </a:ext>
          </a:extLst>
        </xdr:cNvPr>
        <xdr:cNvSpPr txBox="1"/>
      </xdr:nvSpPr>
      <xdr:spPr>
        <a:xfrm>
          <a:off x="8267700" y="35638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364" name="TextBox 4363">
          <a:extLst>
            <a:ext uri="{FF2B5EF4-FFF2-40B4-BE49-F238E27FC236}">
              <a16:creationId xmlns:a16="http://schemas.microsoft.com/office/drawing/2014/main" id="{00000000-0008-0000-0000-000007000000}"/>
            </a:ext>
          </a:extLst>
        </xdr:cNvPr>
        <xdr:cNvSpPr txBox="1"/>
      </xdr:nvSpPr>
      <xdr:spPr>
        <a:xfrm>
          <a:off x="8267700" y="35638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365" name="TextBox 4364">
          <a:extLst>
            <a:ext uri="{FF2B5EF4-FFF2-40B4-BE49-F238E27FC236}">
              <a16:creationId xmlns:a16="http://schemas.microsoft.com/office/drawing/2014/main" id="{00000000-0008-0000-0000-000007000000}"/>
            </a:ext>
          </a:extLst>
        </xdr:cNvPr>
        <xdr:cNvSpPr txBox="1"/>
      </xdr:nvSpPr>
      <xdr:spPr>
        <a:xfrm>
          <a:off x="8267700" y="35638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366" name="TextBox 4365">
          <a:extLst>
            <a:ext uri="{FF2B5EF4-FFF2-40B4-BE49-F238E27FC236}">
              <a16:creationId xmlns:a16="http://schemas.microsoft.com/office/drawing/2014/main" id="{00000000-0008-0000-0000-000007000000}"/>
            </a:ext>
          </a:extLst>
        </xdr:cNvPr>
        <xdr:cNvSpPr txBox="1"/>
      </xdr:nvSpPr>
      <xdr:spPr>
        <a:xfrm>
          <a:off x="8267700" y="35638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367" name="TextBox 4366">
          <a:extLst>
            <a:ext uri="{FF2B5EF4-FFF2-40B4-BE49-F238E27FC236}">
              <a16:creationId xmlns:a16="http://schemas.microsoft.com/office/drawing/2014/main" id="{00000000-0008-0000-0000-000007000000}"/>
            </a:ext>
          </a:extLst>
        </xdr:cNvPr>
        <xdr:cNvSpPr txBox="1"/>
      </xdr:nvSpPr>
      <xdr:spPr>
        <a:xfrm>
          <a:off x="8267700" y="35638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368" name="TextBox 4367">
          <a:extLst>
            <a:ext uri="{FF2B5EF4-FFF2-40B4-BE49-F238E27FC236}">
              <a16:creationId xmlns:a16="http://schemas.microsoft.com/office/drawing/2014/main" id="{00000000-0008-0000-0000-000007000000}"/>
            </a:ext>
          </a:extLst>
        </xdr:cNvPr>
        <xdr:cNvSpPr txBox="1"/>
      </xdr:nvSpPr>
      <xdr:spPr>
        <a:xfrm>
          <a:off x="8267700" y="35638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369" name="TextBox 4368">
          <a:extLst>
            <a:ext uri="{FF2B5EF4-FFF2-40B4-BE49-F238E27FC236}">
              <a16:creationId xmlns:a16="http://schemas.microsoft.com/office/drawing/2014/main" id="{00000000-0008-0000-0000-000007000000}"/>
            </a:ext>
          </a:extLst>
        </xdr:cNvPr>
        <xdr:cNvSpPr txBox="1"/>
      </xdr:nvSpPr>
      <xdr:spPr>
        <a:xfrm>
          <a:off x="8267700" y="35638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370" name="TextBox 4369">
          <a:extLst>
            <a:ext uri="{FF2B5EF4-FFF2-40B4-BE49-F238E27FC236}">
              <a16:creationId xmlns:a16="http://schemas.microsoft.com/office/drawing/2014/main" id="{00000000-0008-0000-0000-000007000000}"/>
            </a:ext>
          </a:extLst>
        </xdr:cNvPr>
        <xdr:cNvSpPr txBox="1"/>
      </xdr:nvSpPr>
      <xdr:spPr>
        <a:xfrm>
          <a:off x="8267700" y="35638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371" name="TextBox 4370">
          <a:extLst>
            <a:ext uri="{FF2B5EF4-FFF2-40B4-BE49-F238E27FC236}">
              <a16:creationId xmlns:a16="http://schemas.microsoft.com/office/drawing/2014/main" id="{00000000-0008-0000-0000-000007000000}"/>
            </a:ext>
          </a:extLst>
        </xdr:cNvPr>
        <xdr:cNvSpPr txBox="1"/>
      </xdr:nvSpPr>
      <xdr:spPr>
        <a:xfrm>
          <a:off x="8267700" y="35638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372" name="TextBox 4371">
          <a:extLst>
            <a:ext uri="{FF2B5EF4-FFF2-40B4-BE49-F238E27FC236}">
              <a16:creationId xmlns:a16="http://schemas.microsoft.com/office/drawing/2014/main" id="{00000000-0008-0000-0000-000007000000}"/>
            </a:ext>
          </a:extLst>
        </xdr:cNvPr>
        <xdr:cNvSpPr txBox="1"/>
      </xdr:nvSpPr>
      <xdr:spPr>
        <a:xfrm>
          <a:off x="8267700" y="35638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373" name="TextBox 4372">
          <a:extLst>
            <a:ext uri="{FF2B5EF4-FFF2-40B4-BE49-F238E27FC236}">
              <a16:creationId xmlns:a16="http://schemas.microsoft.com/office/drawing/2014/main" id="{00000000-0008-0000-0000-000007000000}"/>
            </a:ext>
          </a:extLst>
        </xdr:cNvPr>
        <xdr:cNvSpPr txBox="1"/>
      </xdr:nvSpPr>
      <xdr:spPr>
        <a:xfrm>
          <a:off x="8267700" y="35638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374" name="TextBox 4373">
          <a:extLst>
            <a:ext uri="{FF2B5EF4-FFF2-40B4-BE49-F238E27FC236}">
              <a16:creationId xmlns:a16="http://schemas.microsoft.com/office/drawing/2014/main" id="{00000000-0008-0000-0000-000007000000}"/>
            </a:ext>
          </a:extLst>
        </xdr:cNvPr>
        <xdr:cNvSpPr txBox="1"/>
      </xdr:nvSpPr>
      <xdr:spPr>
        <a:xfrm>
          <a:off x="8267700" y="35638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375" name="TextBox 4374">
          <a:extLst>
            <a:ext uri="{FF2B5EF4-FFF2-40B4-BE49-F238E27FC236}">
              <a16:creationId xmlns:a16="http://schemas.microsoft.com/office/drawing/2014/main" id="{00000000-0008-0000-0000-000007000000}"/>
            </a:ext>
          </a:extLst>
        </xdr:cNvPr>
        <xdr:cNvSpPr txBox="1"/>
      </xdr:nvSpPr>
      <xdr:spPr>
        <a:xfrm>
          <a:off x="8267700" y="35638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376" name="TextBox 4375">
          <a:extLst>
            <a:ext uri="{FF2B5EF4-FFF2-40B4-BE49-F238E27FC236}">
              <a16:creationId xmlns:a16="http://schemas.microsoft.com/office/drawing/2014/main" id="{00000000-0008-0000-0000-000007000000}"/>
            </a:ext>
          </a:extLst>
        </xdr:cNvPr>
        <xdr:cNvSpPr txBox="1"/>
      </xdr:nvSpPr>
      <xdr:spPr>
        <a:xfrm>
          <a:off x="8267700" y="35638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377" name="TextBox 4376">
          <a:extLst>
            <a:ext uri="{FF2B5EF4-FFF2-40B4-BE49-F238E27FC236}">
              <a16:creationId xmlns:a16="http://schemas.microsoft.com/office/drawing/2014/main" id="{00000000-0008-0000-0000-000007000000}"/>
            </a:ext>
          </a:extLst>
        </xdr:cNvPr>
        <xdr:cNvSpPr txBox="1"/>
      </xdr:nvSpPr>
      <xdr:spPr>
        <a:xfrm>
          <a:off x="8267700" y="35638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378" name="TextBox 4377">
          <a:extLst>
            <a:ext uri="{FF2B5EF4-FFF2-40B4-BE49-F238E27FC236}">
              <a16:creationId xmlns:a16="http://schemas.microsoft.com/office/drawing/2014/main" id="{00000000-0008-0000-0000-000007000000}"/>
            </a:ext>
          </a:extLst>
        </xdr:cNvPr>
        <xdr:cNvSpPr txBox="1"/>
      </xdr:nvSpPr>
      <xdr:spPr>
        <a:xfrm>
          <a:off x="8267700" y="35638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379" name="TextBox 4378">
          <a:extLst>
            <a:ext uri="{FF2B5EF4-FFF2-40B4-BE49-F238E27FC236}">
              <a16:creationId xmlns:a16="http://schemas.microsoft.com/office/drawing/2014/main" id="{00000000-0008-0000-0000-000007000000}"/>
            </a:ext>
          </a:extLst>
        </xdr:cNvPr>
        <xdr:cNvSpPr txBox="1"/>
      </xdr:nvSpPr>
      <xdr:spPr>
        <a:xfrm>
          <a:off x="8267700" y="35638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380" name="TextBox 4379">
          <a:extLst>
            <a:ext uri="{FF2B5EF4-FFF2-40B4-BE49-F238E27FC236}">
              <a16:creationId xmlns:a16="http://schemas.microsoft.com/office/drawing/2014/main" id="{00000000-0008-0000-0000-000007000000}"/>
            </a:ext>
          </a:extLst>
        </xdr:cNvPr>
        <xdr:cNvSpPr txBox="1"/>
      </xdr:nvSpPr>
      <xdr:spPr>
        <a:xfrm>
          <a:off x="8267700" y="35638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381" name="TextBox 4380">
          <a:extLst>
            <a:ext uri="{FF2B5EF4-FFF2-40B4-BE49-F238E27FC236}">
              <a16:creationId xmlns:a16="http://schemas.microsoft.com/office/drawing/2014/main" id="{00000000-0008-0000-0000-000007000000}"/>
            </a:ext>
          </a:extLst>
        </xdr:cNvPr>
        <xdr:cNvSpPr txBox="1"/>
      </xdr:nvSpPr>
      <xdr:spPr>
        <a:xfrm>
          <a:off x="8267700" y="35638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382" name="TextBox 4381">
          <a:extLst>
            <a:ext uri="{FF2B5EF4-FFF2-40B4-BE49-F238E27FC236}">
              <a16:creationId xmlns:a16="http://schemas.microsoft.com/office/drawing/2014/main" id="{00000000-0008-0000-0000-000007000000}"/>
            </a:ext>
          </a:extLst>
        </xdr:cNvPr>
        <xdr:cNvSpPr txBox="1"/>
      </xdr:nvSpPr>
      <xdr:spPr>
        <a:xfrm>
          <a:off x="8267700" y="35638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383" name="TextBox 4382">
          <a:extLst>
            <a:ext uri="{FF2B5EF4-FFF2-40B4-BE49-F238E27FC236}">
              <a16:creationId xmlns:a16="http://schemas.microsoft.com/office/drawing/2014/main" id="{00000000-0008-0000-0000-000007000000}"/>
            </a:ext>
          </a:extLst>
        </xdr:cNvPr>
        <xdr:cNvSpPr txBox="1"/>
      </xdr:nvSpPr>
      <xdr:spPr>
        <a:xfrm>
          <a:off x="8267700" y="35638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384" name="TextBox 4383">
          <a:extLst>
            <a:ext uri="{FF2B5EF4-FFF2-40B4-BE49-F238E27FC236}">
              <a16:creationId xmlns:a16="http://schemas.microsoft.com/office/drawing/2014/main" id="{00000000-0008-0000-0000-000007000000}"/>
            </a:ext>
          </a:extLst>
        </xdr:cNvPr>
        <xdr:cNvSpPr txBox="1"/>
      </xdr:nvSpPr>
      <xdr:spPr>
        <a:xfrm>
          <a:off x="8267700" y="35638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385" name="TextBox 4384">
          <a:extLst>
            <a:ext uri="{FF2B5EF4-FFF2-40B4-BE49-F238E27FC236}">
              <a16:creationId xmlns:a16="http://schemas.microsoft.com/office/drawing/2014/main" id="{00000000-0008-0000-0000-000007000000}"/>
            </a:ext>
          </a:extLst>
        </xdr:cNvPr>
        <xdr:cNvSpPr txBox="1"/>
      </xdr:nvSpPr>
      <xdr:spPr>
        <a:xfrm>
          <a:off x="8267700" y="35638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386" name="TextBox 4385">
          <a:extLst>
            <a:ext uri="{FF2B5EF4-FFF2-40B4-BE49-F238E27FC236}">
              <a16:creationId xmlns:a16="http://schemas.microsoft.com/office/drawing/2014/main" id="{00000000-0008-0000-0000-000007000000}"/>
            </a:ext>
          </a:extLst>
        </xdr:cNvPr>
        <xdr:cNvSpPr txBox="1"/>
      </xdr:nvSpPr>
      <xdr:spPr>
        <a:xfrm>
          <a:off x="8267700" y="35638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387" name="TextBox 4386">
          <a:extLst>
            <a:ext uri="{FF2B5EF4-FFF2-40B4-BE49-F238E27FC236}">
              <a16:creationId xmlns:a16="http://schemas.microsoft.com/office/drawing/2014/main" id="{00000000-0008-0000-0000-000007000000}"/>
            </a:ext>
          </a:extLst>
        </xdr:cNvPr>
        <xdr:cNvSpPr txBox="1"/>
      </xdr:nvSpPr>
      <xdr:spPr>
        <a:xfrm>
          <a:off x="8267700" y="35638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388" name="TextBox 4387">
          <a:extLst>
            <a:ext uri="{FF2B5EF4-FFF2-40B4-BE49-F238E27FC236}">
              <a16:creationId xmlns:a16="http://schemas.microsoft.com/office/drawing/2014/main" id="{00000000-0008-0000-0000-000007000000}"/>
            </a:ext>
          </a:extLst>
        </xdr:cNvPr>
        <xdr:cNvSpPr txBox="1"/>
      </xdr:nvSpPr>
      <xdr:spPr>
        <a:xfrm>
          <a:off x="8267700" y="35638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389" name="TextBox 4388">
          <a:extLst>
            <a:ext uri="{FF2B5EF4-FFF2-40B4-BE49-F238E27FC236}">
              <a16:creationId xmlns:a16="http://schemas.microsoft.com/office/drawing/2014/main" id="{00000000-0008-0000-0000-000007000000}"/>
            </a:ext>
          </a:extLst>
        </xdr:cNvPr>
        <xdr:cNvSpPr txBox="1"/>
      </xdr:nvSpPr>
      <xdr:spPr>
        <a:xfrm>
          <a:off x="8267700" y="35638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390" name="TextBox 4389">
          <a:extLst>
            <a:ext uri="{FF2B5EF4-FFF2-40B4-BE49-F238E27FC236}">
              <a16:creationId xmlns:a16="http://schemas.microsoft.com/office/drawing/2014/main" id="{00000000-0008-0000-0000-000007000000}"/>
            </a:ext>
          </a:extLst>
        </xdr:cNvPr>
        <xdr:cNvSpPr txBox="1"/>
      </xdr:nvSpPr>
      <xdr:spPr>
        <a:xfrm>
          <a:off x="8267700" y="35638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391" name="TextBox 4390">
          <a:extLst>
            <a:ext uri="{FF2B5EF4-FFF2-40B4-BE49-F238E27FC236}">
              <a16:creationId xmlns:a16="http://schemas.microsoft.com/office/drawing/2014/main" id="{00000000-0008-0000-0000-000007000000}"/>
            </a:ext>
          </a:extLst>
        </xdr:cNvPr>
        <xdr:cNvSpPr txBox="1"/>
      </xdr:nvSpPr>
      <xdr:spPr>
        <a:xfrm>
          <a:off x="8267700" y="35638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392" name="TextBox 4391">
          <a:extLst>
            <a:ext uri="{FF2B5EF4-FFF2-40B4-BE49-F238E27FC236}">
              <a16:creationId xmlns:a16="http://schemas.microsoft.com/office/drawing/2014/main" id="{00000000-0008-0000-0000-000007000000}"/>
            </a:ext>
          </a:extLst>
        </xdr:cNvPr>
        <xdr:cNvSpPr txBox="1"/>
      </xdr:nvSpPr>
      <xdr:spPr>
        <a:xfrm>
          <a:off x="8267700" y="35638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393" name="TextBox 4392">
          <a:extLst>
            <a:ext uri="{FF2B5EF4-FFF2-40B4-BE49-F238E27FC236}">
              <a16:creationId xmlns:a16="http://schemas.microsoft.com/office/drawing/2014/main" id="{00000000-0008-0000-0000-000007000000}"/>
            </a:ext>
          </a:extLst>
        </xdr:cNvPr>
        <xdr:cNvSpPr txBox="1"/>
      </xdr:nvSpPr>
      <xdr:spPr>
        <a:xfrm>
          <a:off x="8267700" y="35638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394" name="TextBox 4393">
          <a:extLst>
            <a:ext uri="{FF2B5EF4-FFF2-40B4-BE49-F238E27FC236}">
              <a16:creationId xmlns:a16="http://schemas.microsoft.com/office/drawing/2014/main" id="{00000000-0008-0000-0000-000007000000}"/>
            </a:ext>
          </a:extLst>
        </xdr:cNvPr>
        <xdr:cNvSpPr txBox="1"/>
      </xdr:nvSpPr>
      <xdr:spPr>
        <a:xfrm>
          <a:off x="8267700" y="35638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395" name="TextBox 4394">
          <a:extLst>
            <a:ext uri="{FF2B5EF4-FFF2-40B4-BE49-F238E27FC236}">
              <a16:creationId xmlns:a16="http://schemas.microsoft.com/office/drawing/2014/main" id="{00000000-0008-0000-0000-000007000000}"/>
            </a:ext>
          </a:extLst>
        </xdr:cNvPr>
        <xdr:cNvSpPr txBox="1"/>
      </xdr:nvSpPr>
      <xdr:spPr>
        <a:xfrm>
          <a:off x="12580620" y="35638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396" name="TextBox 4395">
          <a:extLst>
            <a:ext uri="{FF2B5EF4-FFF2-40B4-BE49-F238E27FC236}">
              <a16:creationId xmlns:a16="http://schemas.microsoft.com/office/drawing/2014/main" id="{00000000-0008-0000-0000-000007000000}"/>
            </a:ext>
          </a:extLst>
        </xdr:cNvPr>
        <xdr:cNvSpPr txBox="1"/>
      </xdr:nvSpPr>
      <xdr:spPr>
        <a:xfrm>
          <a:off x="12580620" y="35638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397" name="TextBox 4396">
          <a:extLst>
            <a:ext uri="{FF2B5EF4-FFF2-40B4-BE49-F238E27FC236}">
              <a16:creationId xmlns:a16="http://schemas.microsoft.com/office/drawing/2014/main" id="{00000000-0008-0000-0000-000007000000}"/>
            </a:ext>
          </a:extLst>
        </xdr:cNvPr>
        <xdr:cNvSpPr txBox="1"/>
      </xdr:nvSpPr>
      <xdr:spPr>
        <a:xfrm>
          <a:off x="12580620" y="35638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398" name="TextBox 4397">
          <a:extLst>
            <a:ext uri="{FF2B5EF4-FFF2-40B4-BE49-F238E27FC236}">
              <a16:creationId xmlns:a16="http://schemas.microsoft.com/office/drawing/2014/main" id="{00000000-0008-0000-0000-000007000000}"/>
            </a:ext>
          </a:extLst>
        </xdr:cNvPr>
        <xdr:cNvSpPr txBox="1"/>
      </xdr:nvSpPr>
      <xdr:spPr>
        <a:xfrm>
          <a:off x="12580620" y="35638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399" name="TextBox 4398">
          <a:extLst>
            <a:ext uri="{FF2B5EF4-FFF2-40B4-BE49-F238E27FC236}">
              <a16:creationId xmlns:a16="http://schemas.microsoft.com/office/drawing/2014/main" id="{00000000-0008-0000-0000-000007000000}"/>
            </a:ext>
          </a:extLst>
        </xdr:cNvPr>
        <xdr:cNvSpPr txBox="1"/>
      </xdr:nvSpPr>
      <xdr:spPr>
        <a:xfrm>
          <a:off x="12580620" y="35638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400" name="TextBox 4399">
          <a:extLst>
            <a:ext uri="{FF2B5EF4-FFF2-40B4-BE49-F238E27FC236}">
              <a16:creationId xmlns:a16="http://schemas.microsoft.com/office/drawing/2014/main" id="{00000000-0008-0000-0000-000007000000}"/>
            </a:ext>
          </a:extLst>
        </xdr:cNvPr>
        <xdr:cNvSpPr txBox="1"/>
      </xdr:nvSpPr>
      <xdr:spPr>
        <a:xfrm>
          <a:off x="12580620" y="35638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401" name="TextBox 4400">
          <a:extLst>
            <a:ext uri="{FF2B5EF4-FFF2-40B4-BE49-F238E27FC236}">
              <a16:creationId xmlns:a16="http://schemas.microsoft.com/office/drawing/2014/main" id="{00000000-0008-0000-0000-000007000000}"/>
            </a:ext>
          </a:extLst>
        </xdr:cNvPr>
        <xdr:cNvSpPr txBox="1"/>
      </xdr:nvSpPr>
      <xdr:spPr>
        <a:xfrm>
          <a:off x="12580620" y="35638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402" name="TextBox 4401">
          <a:extLst>
            <a:ext uri="{FF2B5EF4-FFF2-40B4-BE49-F238E27FC236}">
              <a16:creationId xmlns:a16="http://schemas.microsoft.com/office/drawing/2014/main" id="{00000000-0008-0000-0000-000007000000}"/>
            </a:ext>
          </a:extLst>
        </xdr:cNvPr>
        <xdr:cNvSpPr txBox="1"/>
      </xdr:nvSpPr>
      <xdr:spPr>
        <a:xfrm>
          <a:off x="12580620" y="35638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4403" name="TextBox 4402">
          <a:extLst>
            <a:ext uri="{FF2B5EF4-FFF2-40B4-BE49-F238E27FC236}">
              <a16:creationId xmlns:a16="http://schemas.microsoft.com/office/drawing/2014/main" id="{00000000-0008-0000-0000-000007000000}"/>
            </a:ext>
          </a:extLst>
        </xdr:cNvPr>
        <xdr:cNvSpPr txBox="1"/>
      </xdr:nvSpPr>
      <xdr:spPr>
        <a:xfrm>
          <a:off x="8267700" y="3445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4404" name="TextBox 4403">
          <a:extLst>
            <a:ext uri="{FF2B5EF4-FFF2-40B4-BE49-F238E27FC236}">
              <a16:creationId xmlns:a16="http://schemas.microsoft.com/office/drawing/2014/main" id="{00000000-0008-0000-0000-000007000000}"/>
            </a:ext>
          </a:extLst>
        </xdr:cNvPr>
        <xdr:cNvSpPr txBox="1"/>
      </xdr:nvSpPr>
      <xdr:spPr>
        <a:xfrm>
          <a:off x="8267700" y="3445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405" name="TextBox 4404">
          <a:extLst>
            <a:ext uri="{FF2B5EF4-FFF2-40B4-BE49-F238E27FC236}">
              <a16:creationId xmlns:a16="http://schemas.microsoft.com/office/drawing/2014/main" id="{00000000-0008-0000-0000-000007000000}"/>
            </a:ext>
          </a:extLst>
        </xdr:cNvPr>
        <xdr:cNvSpPr txBox="1"/>
      </xdr:nvSpPr>
      <xdr:spPr>
        <a:xfrm>
          <a:off x="12580620" y="34846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406" name="TextBox 4405">
          <a:extLst>
            <a:ext uri="{FF2B5EF4-FFF2-40B4-BE49-F238E27FC236}">
              <a16:creationId xmlns:a16="http://schemas.microsoft.com/office/drawing/2014/main" id="{00000000-0008-0000-0000-000007000000}"/>
            </a:ext>
          </a:extLst>
        </xdr:cNvPr>
        <xdr:cNvSpPr txBox="1"/>
      </xdr:nvSpPr>
      <xdr:spPr>
        <a:xfrm>
          <a:off x="12580620" y="34846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407" name="TextBox 4406">
          <a:extLst>
            <a:ext uri="{FF2B5EF4-FFF2-40B4-BE49-F238E27FC236}">
              <a16:creationId xmlns:a16="http://schemas.microsoft.com/office/drawing/2014/main" id="{00000000-0008-0000-0000-000007000000}"/>
            </a:ext>
          </a:extLst>
        </xdr:cNvPr>
        <xdr:cNvSpPr txBox="1"/>
      </xdr:nvSpPr>
      <xdr:spPr>
        <a:xfrm>
          <a:off x="12580620" y="34846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408" name="TextBox 4407">
          <a:extLst>
            <a:ext uri="{FF2B5EF4-FFF2-40B4-BE49-F238E27FC236}">
              <a16:creationId xmlns:a16="http://schemas.microsoft.com/office/drawing/2014/main" id="{00000000-0008-0000-0000-000007000000}"/>
            </a:ext>
          </a:extLst>
        </xdr:cNvPr>
        <xdr:cNvSpPr txBox="1"/>
      </xdr:nvSpPr>
      <xdr:spPr>
        <a:xfrm>
          <a:off x="12580620" y="34846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409" name="TextBox 4408">
          <a:extLst>
            <a:ext uri="{FF2B5EF4-FFF2-40B4-BE49-F238E27FC236}">
              <a16:creationId xmlns:a16="http://schemas.microsoft.com/office/drawing/2014/main" id="{00000000-0008-0000-0000-000007000000}"/>
            </a:ext>
          </a:extLst>
        </xdr:cNvPr>
        <xdr:cNvSpPr txBox="1"/>
      </xdr:nvSpPr>
      <xdr:spPr>
        <a:xfrm>
          <a:off x="12580620" y="34846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410" name="TextBox 4409">
          <a:extLst>
            <a:ext uri="{FF2B5EF4-FFF2-40B4-BE49-F238E27FC236}">
              <a16:creationId xmlns:a16="http://schemas.microsoft.com/office/drawing/2014/main" id="{00000000-0008-0000-0000-000007000000}"/>
            </a:ext>
          </a:extLst>
        </xdr:cNvPr>
        <xdr:cNvSpPr txBox="1"/>
      </xdr:nvSpPr>
      <xdr:spPr>
        <a:xfrm>
          <a:off x="12580620" y="34846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411" name="TextBox 4410">
          <a:extLst>
            <a:ext uri="{FF2B5EF4-FFF2-40B4-BE49-F238E27FC236}">
              <a16:creationId xmlns:a16="http://schemas.microsoft.com/office/drawing/2014/main" id="{00000000-0008-0000-0000-000007000000}"/>
            </a:ext>
          </a:extLst>
        </xdr:cNvPr>
        <xdr:cNvSpPr txBox="1"/>
      </xdr:nvSpPr>
      <xdr:spPr>
        <a:xfrm>
          <a:off x="12580620" y="34846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412" name="TextBox 4411">
          <a:extLst>
            <a:ext uri="{FF2B5EF4-FFF2-40B4-BE49-F238E27FC236}">
              <a16:creationId xmlns:a16="http://schemas.microsoft.com/office/drawing/2014/main" id="{00000000-0008-0000-0000-000007000000}"/>
            </a:ext>
          </a:extLst>
        </xdr:cNvPr>
        <xdr:cNvSpPr txBox="1"/>
      </xdr:nvSpPr>
      <xdr:spPr>
        <a:xfrm>
          <a:off x="12580620" y="34846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413" name="TextBox 4412">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414" name="TextBox 4413">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415" name="TextBox 4414">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416" name="TextBox 4415">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417" name="TextBox 4416">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418" name="TextBox 4417">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419" name="TextBox 4418">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420" name="TextBox 4419">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421" name="TextBox 4420">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422" name="TextBox 4421">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423" name="TextBox 4422">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424" name="TextBox 4423">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425" name="TextBox 4424">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426" name="TextBox 4425">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427" name="TextBox 4426">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428" name="TextBox 4427">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429" name="TextBox 4428">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430" name="TextBox 4429">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431" name="TextBox 4430">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432" name="TextBox 4431">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433" name="TextBox 4432">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434" name="TextBox 4433">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435" name="TextBox 4434">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436" name="TextBox 4435">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437" name="TextBox 4436">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438" name="TextBox 4437">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439" name="TextBox 4438">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440" name="TextBox 4439">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441" name="TextBox 4440">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442" name="TextBox 4441">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443" name="TextBox 4442">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444" name="TextBox 4443">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445" name="TextBox 4444">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446" name="TextBox 4445">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447" name="TextBox 4446">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448" name="TextBox 4447">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449" name="TextBox 4448">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450" name="TextBox 4449">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451" name="TextBox 4450">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452" name="TextBox 4451">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453" name="TextBox 4452">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454" name="TextBox 4453">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455" name="TextBox 4454">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456" name="TextBox 4455">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457" name="TextBox 4456">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458" name="TextBox 4457">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459" name="TextBox 4458">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460" name="TextBox 4459">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461" name="TextBox 4460">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462" name="TextBox 4461">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463" name="TextBox 4462">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464" name="TextBox 4463">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465" name="TextBox 4464">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466" name="TextBox 4465">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467" name="TextBox 4466">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468" name="TextBox 4467">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469" name="TextBox 4468">
          <a:extLst>
            <a:ext uri="{FF2B5EF4-FFF2-40B4-BE49-F238E27FC236}">
              <a16:creationId xmlns:a16="http://schemas.microsoft.com/office/drawing/2014/main" id="{00000000-0008-0000-0000-000007000000}"/>
            </a:ext>
          </a:extLst>
        </xdr:cNvPr>
        <xdr:cNvSpPr txBox="1"/>
      </xdr:nvSpPr>
      <xdr:spPr>
        <a:xfrm>
          <a:off x="1258062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470" name="TextBox 4469">
          <a:extLst>
            <a:ext uri="{FF2B5EF4-FFF2-40B4-BE49-F238E27FC236}">
              <a16:creationId xmlns:a16="http://schemas.microsoft.com/office/drawing/2014/main" id="{00000000-0008-0000-0000-000007000000}"/>
            </a:ext>
          </a:extLst>
        </xdr:cNvPr>
        <xdr:cNvSpPr txBox="1"/>
      </xdr:nvSpPr>
      <xdr:spPr>
        <a:xfrm>
          <a:off x="1258062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471" name="TextBox 4470">
          <a:extLst>
            <a:ext uri="{FF2B5EF4-FFF2-40B4-BE49-F238E27FC236}">
              <a16:creationId xmlns:a16="http://schemas.microsoft.com/office/drawing/2014/main" id="{00000000-0008-0000-0000-000007000000}"/>
            </a:ext>
          </a:extLst>
        </xdr:cNvPr>
        <xdr:cNvSpPr txBox="1"/>
      </xdr:nvSpPr>
      <xdr:spPr>
        <a:xfrm>
          <a:off x="1258062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472" name="TextBox 4471">
          <a:extLst>
            <a:ext uri="{FF2B5EF4-FFF2-40B4-BE49-F238E27FC236}">
              <a16:creationId xmlns:a16="http://schemas.microsoft.com/office/drawing/2014/main" id="{00000000-0008-0000-0000-000007000000}"/>
            </a:ext>
          </a:extLst>
        </xdr:cNvPr>
        <xdr:cNvSpPr txBox="1"/>
      </xdr:nvSpPr>
      <xdr:spPr>
        <a:xfrm>
          <a:off x="1258062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473" name="TextBox 4472">
          <a:extLst>
            <a:ext uri="{FF2B5EF4-FFF2-40B4-BE49-F238E27FC236}">
              <a16:creationId xmlns:a16="http://schemas.microsoft.com/office/drawing/2014/main" id="{00000000-0008-0000-0000-000007000000}"/>
            </a:ext>
          </a:extLst>
        </xdr:cNvPr>
        <xdr:cNvSpPr txBox="1"/>
      </xdr:nvSpPr>
      <xdr:spPr>
        <a:xfrm>
          <a:off x="1258062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474" name="TextBox 4473">
          <a:extLst>
            <a:ext uri="{FF2B5EF4-FFF2-40B4-BE49-F238E27FC236}">
              <a16:creationId xmlns:a16="http://schemas.microsoft.com/office/drawing/2014/main" id="{00000000-0008-0000-0000-000007000000}"/>
            </a:ext>
          </a:extLst>
        </xdr:cNvPr>
        <xdr:cNvSpPr txBox="1"/>
      </xdr:nvSpPr>
      <xdr:spPr>
        <a:xfrm>
          <a:off x="1258062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475" name="TextBox 4474">
          <a:extLst>
            <a:ext uri="{FF2B5EF4-FFF2-40B4-BE49-F238E27FC236}">
              <a16:creationId xmlns:a16="http://schemas.microsoft.com/office/drawing/2014/main" id="{00000000-0008-0000-0000-000007000000}"/>
            </a:ext>
          </a:extLst>
        </xdr:cNvPr>
        <xdr:cNvSpPr txBox="1"/>
      </xdr:nvSpPr>
      <xdr:spPr>
        <a:xfrm>
          <a:off x="1258062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476" name="TextBox 4475">
          <a:extLst>
            <a:ext uri="{FF2B5EF4-FFF2-40B4-BE49-F238E27FC236}">
              <a16:creationId xmlns:a16="http://schemas.microsoft.com/office/drawing/2014/main" id="{00000000-0008-0000-0000-000007000000}"/>
            </a:ext>
          </a:extLst>
        </xdr:cNvPr>
        <xdr:cNvSpPr txBox="1"/>
      </xdr:nvSpPr>
      <xdr:spPr>
        <a:xfrm>
          <a:off x="1258062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153</xdr:row>
      <xdr:rowOff>0</xdr:rowOff>
    </xdr:from>
    <xdr:ext cx="65" cy="172227"/>
    <xdr:sp macro="" textlink="">
      <xdr:nvSpPr>
        <xdr:cNvPr id="3843" name="TextBox 3842">
          <a:extLst>
            <a:ext uri="{FF2B5EF4-FFF2-40B4-BE49-F238E27FC236}">
              <a16:creationId xmlns:a16="http://schemas.microsoft.com/office/drawing/2014/main" id="{00000000-0008-0000-0000-000007000000}"/>
            </a:ext>
          </a:extLst>
        </xdr:cNvPr>
        <xdr:cNvSpPr txBox="1"/>
      </xdr:nvSpPr>
      <xdr:spPr>
        <a:xfrm>
          <a:off x="8267700" y="33352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153</xdr:row>
      <xdr:rowOff>0</xdr:rowOff>
    </xdr:from>
    <xdr:ext cx="65" cy="172227"/>
    <xdr:sp macro="" textlink="">
      <xdr:nvSpPr>
        <xdr:cNvPr id="3847" name="TextBox 3846">
          <a:extLst>
            <a:ext uri="{FF2B5EF4-FFF2-40B4-BE49-F238E27FC236}">
              <a16:creationId xmlns:a16="http://schemas.microsoft.com/office/drawing/2014/main" id="{00000000-0008-0000-0000-00000B000000}"/>
            </a:ext>
          </a:extLst>
        </xdr:cNvPr>
        <xdr:cNvSpPr txBox="1"/>
      </xdr:nvSpPr>
      <xdr:spPr>
        <a:xfrm>
          <a:off x="8267700" y="33352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3848" name="TextBox 3847">
          <a:extLst>
            <a:ext uri="{FF2B5EF4-FFF2-40B4-BE49-F238E27FC236}">
              <a16:creationId xmlns:a16="http://schemas.microsoft.com/office/drawing/2014/main" id="{00000000-0008-0000-0000-00000C000000}"/>
            </a:ext>
          </a:extLst>
        </xdr:cNvPr>
        <xdr:cNvSpPr txBox="1"/>
      </xdr:nvSpPr>
      <xdr:spPr>
        <a:xfrm>
          <a:off x="8267700" y="33550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3849" name="TextBox 3848">
          <a:extLst>
            <a:ext uri="{FF2B5EF4-FFF2-40B4-BE49-F238E27FC236}">
              <a16:creationId xmlns:a16="http://schemas.microsoft.com/office/drawing/2014/main" id="{00000000-0008-0000-0000-00000D000000}"/>
            </a:ext>
          </a:extLst>
        </xdr:cNvPr>
        <xdr:cNvSpPr txBox="1"/>
      </xdr:nvSpPr>
      <xdr:spPr>
        <a:xfrm>
          <a:off x="8267700" y="33550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850" name="TextBox 3849">
          <a:extLst>
            <a:ext uri="{FF2B5EF4-FFF2-40B4-BE49-F238E27FC236}">
              <a16:creationId xmlns:a16="http://schemas.microsoft.com/office/drawing/2014/main" id="{00000000-0008-0000-0000-00000E000000}"/>
            </a:ext>
          </a:extLst>
        </xdr:cNvPr>
        <xdr:cNvSpPr txBox="1"/>
      </xdr:nvSpPr>
      <xdr:spPr>
        <a:xfrm>
          <a:off x="8267700" y="3375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851" name="TextBox 3850">
          <a:extLst>
            <a:ext uri="{FF2B5EF4-FFF2-40B4-BE49-F238E27FC236}">
              <a16:creationId xmlns:a16="http://schemas.microsoft.com/office/drawing/2014/main" id="{00000000-0008-0000-0000-00000F000000}"/>
            </a:ext>
          </a:extLst>
        </xdr:cNvPr>
        <xdr:cNvSpPr txBox="1"/>
      </xdr:nvSpPr>
      <xdr:spPr>
        <a:xfrm>
          <a:off x="8267700" y="3375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852" name="TextBox 3851">
          <a:extLst>
            <a:ext uri="{FF2B5EF4-FFF2-40B4-BE49-F238E27FC236}">
              <a16:creationId xmlns:a16="http://schemas.microsoft.com/office/drawing/2014/main" id="{00000000-0008-0000-0000-000010000000}"/>
            </a:ext>
          </a:extLst>
        </xdr:cNvPr>
        <xdr:cNvSpPr txBox="1"/>
      </xdr:nvSpPr>
      <xdr:spPr>
        <a:xfrm>
          <a:off x="8267700" y="3396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853" name="TextBox 3852">
          <a:extLst>
            <a:ext uri="{FF2B5EF4-FFF2-40B4-BE49-F238E27FC236}">
              <a16:creationId xmlns:a16="http://schemas.microsoft.com/office/drawing/2014/main" id="{00000000-0008-0000-0000-000011000000}"/>
            </a:ext>
          </a:extLst>
        </xdr:cNvPr>
        <xdr:cNvSpPr txBox="1"/>
      </xdr:nvSpPr>
      <xdr:spPr>
        <a:xfrm>
          <a:off x="8267700" y="3396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3854" name="TextBox 3853">
          <a:extLst>
            <a:ext uri="{FF2B5EF4-FFF2-40B4-BE49-F238E27FC236}">
              <a16:creationId xmlns:a16="http://schemas.microsoft.com/office/drawing/2014/main" id="{00000000-0008-0000-0000-000012000000}"/>
            </a:ext>
          </a:extLst>
        </xdr:cNvPr>
        <xdr:cNvSpPr txBox="1"/>
      </xdr:nvSpPr>
      <xdr:spPr>
        <a:xfrm>
          <a:off x="8267700" y="341680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3855" name="TextBox 3854">
          <a:extLst>
            <a:ext uri="{FF2B5EF4-FFF2-40B4-BE49-F238E27FC236}">
              <a16:creationId xmlns:a16="http://schemas.microsoft.com/office/drawing/2014/main" id="{00000000-0008-0000-0000-000013000000}"/>
            </a:ext>
          </a:extLst>
        </xdr:cNvPr>
        <xdr:cNvSpPr txBox="1"/>
      </xdr:nvSpPr>
      <xdr:spPr>
        <a:xfrm>
          <a:off x="8267700" y="341680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3856" name="TextBox 3855">
          <a:extLst>
            <a:ext uri="{FF2B5EF4-FFF2-40B4-BE49-F238E27FC236}">
              <a16:creationId xmlns:a16="http://schemas.microsoft.com/office/drawing/2014/main" id="{00000000-0008-0000-0000-000014000000}"/>
            </a:ext>
          </a:extLst>
        </xdr:cNvPr>
        <xdr:cNvSpPr txBox="1"/>
      </xdr:nvSpPr>
      <xdr:spPr>
        <a:xfrm>
          <a:off x="8267700" y="34373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3857" name="TextBox 3856">
          <a:extLst>
            <a:ext uri="{FF2B5EF4-FFF2-40B4-BE49-F238E27FC236}">
              <a16:creationId xmlns:a16="http://schemas.microsoft.com/office/drawing/2014/main" id="{00000000-0008-0000-0000-000015000000}"/>
            </a:ext>
          </a:extLst>
        </xdr:cNvPr>
        <xdr:cNvSpPr txBox="1"/>
      </xdr:nvSpPr>
      <xdr:spPr>
        <a:xfrm>
          <a:off x="8267700" y="34373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858" name="TextBox 3857">
          <a:extLst>
            <a:ext uri="{FF2B5EF4-FFF2-40B4-BE49-F238E27FC236}">
              <a16:creationId xmlns:a16="http://schemas.microsoft.com/office/drawing/2014/main" id="{00000000-0008-0000-0000-00001600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859" name="TextBox 3858">
          <a:extLst>
            <a:ext uri="{FF2B5EF4-FFF2-40B4-BE49-F238E27FC236}">
              <a16:creationId xmlns:a16="http://schemas.microsoft.com/office/drawing/2014/main" id="{00000000-0008-0000-0000-00001700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3860" name="TextBox 3859">
          <a:extLst>
            <a:ext uri="{FF2B5EF4-FFF2-40B4-BE49-F238E27FC236}">
              <a16:creationId xmlns:a16="http://schemas.microsoft.com/office/drawing/2014/main" id="{00000000-0008-0000-0000-00001800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3861" name="TextBox 3860">
          <a:extLst>
            <a:ext uri="{FF2B5EF4-FFF2-40B4-BE49-F238E27FC236}">
              <a16:creationId xmlns:a16="http://schemas.microsoft.com/office/drawing/2014/main" id="{00000000-0008-0000-0000-00001900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161</xdr:row>
      <xdr:rowOff>0</xdr:rowOff>
    </xdr:from>
    <xdr:ext cx="65" cy="172227"/>
    <xdr:sp macro="" textlink="">
      <xdr:nvSpPr>
        <xdr:cNvPr id="3862" name="TextBox 3861">
          <a:extLst>
            <a:ext uri="{FF2B5EF4-FFF2-40B4-BE49-F238E27FC236}">
              <a16:creationId xmlns:a16="http://schemas.microsoft.com/office/drawing/2014/main" id="{00000000-0008-0000-0000-00001A000000}"/>
            </a:ext>
          </a:extLst>
        </xdr:cNvPr>
        <xdr:cNvSpPr txBox="1"/>
      </xdr:nvSpPr>
      <xdr:spPr>
        <a:xfrm>
          <a:off x="8267700" y="34952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161</xdr:row>
      <xdr:rowOff>0</xdr:rowOff>
    </xdr:from>
    <xdr:ext cx="65" cy="172227"/>
    <xdr:sp macro="" textlink="">
      <xdr:nvSpPr>
        <xdr:cNvPr id="3863" name="TextBox 3862">
          <a:extLst>
            <a:ext uri="{FF2B5EF4-FFF2-40B4-BE49-F238E27FC236}">
              <a16:creationId xmlns:a16="http://schemas.microsoft.com/office/drawing/2014/main" id="{00000000-0008-0000-0000-00001B000000}"/>
            </a:ext>
          </a:extLst>
        </xdr:cNvPr>
        <xdr:cNvSpPr txBox="1"/>
      </xdr:nvSpPr>
      <xdr:spPr>
        <a:xfrm>
          <a:off x="8267700" y="34952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162</xdr:row>
      <xdr:rowOff>0</xdr:rowOff>
    </xdr:from>
    <xdr:ext cx="65" cy="172227"/>
    <xdr:sp macro="" textlink="">
      <xdr:nvSpPr>
        <xdr:cNvPr id="3864" name="TextBox 3863">
          <a:extLst>
            <a:ext uri="{FF2B5EF4-FFF2-40B4-BE49-F238E27FC236}">
              <a16:creationId xmlns:a16="http://schemas.microsoft.com/office/drawing/2014/main" id="{00000000-0008-0000-0000-00001C000000}"/>
            </a:ext>
          </a:extLst>
        </xdr:cNvPr>
        <xdr:cNvSpPr txBox="1"/>
      </xdr:nvSpPr>
      <xdr:spPr>
        <a:xfrm>
          <a:off x="8267700" y="35135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162</xdr:row>
      <xdr:rowOff>0</xdr:rowOff>
    </xdr:from>
    <xdr:ext cx="65" cy="172227"/>
    <xdr:sp macro="" textlink="">
      <xdr:nvSpPr>
        <xdr:cNvPr id="3865" name="TextBox 3864">
          <a:extLst>
            <a:ext uri="{FF2B5EF4-FFF2-40B4-BE49-F238E27FC236}">
              <a16:creationId xmlns:a16="http://schemas.microsoft.com/office/drawing/2014/main" id="{00000000-0008-0000-0000-00001D000000}"/>
            </a:ext>
          </a:extLst>
        </xdr:cNvPr>
        <xdr:cNvSpPr txBox="1"/>
      </xdr:nvSpPr>
      <xdr:spPr>
        <a:xfrm>
          <a:off x="8267700" y="35135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3866" name="TextBox 3865">
          <a:extLst>
            <a:ext uri="{FF2B5EF4-FFF2-40B4-BE49-F238E27FC236}">
              <a16:creationId xmlns:a16="http://schemas.microsoft.com/office/drawing/2014/main" id="{00000000-0008-0000-0000-00001E000000}"/>
            </a:ext>
          </a:extLst>
        </xdr:cNvPr>
        <xdr:cNvSpPr txBox="1"/>
      </xdr:nvSpPr>
      <xdr:spPr>
        <a:xfrm>
          <a:off x="8267700" y="36233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3867" name="TextBox 3866">
          <a:extLst>
            <a:ext uri="{FF2B5EF4-FFF2-40B4-BE49-F238E27FC236}">
              <a16:creationId xmlns:a16="http://schemas.microsoft.com/office/drawing/2014/main" id="{00000000-0008-0000-0000-00001F000000}"/>
            </a:ext>
          </a:extLst>
        </xdr:cNvPr>
        <xdr:cNvSpPr txBox="1"/>
      </xdr:nvSpPr>
      <xdr:spPr>
        <a:xfrm>
          <a:off x="8267700" y="36233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3868" name="TextBox 3867">
          <a:extLst>
            <a:ext uri="{FF2B5EF4-FFF2-40B4-BE49-F238E27FC236}">
              <a16:creationId xmlns:a16="http://schemas.microsoft.com/office/drawing/2014/main" id="{00000000-0008-0000-0000-000020000000}"/>
            </a:ext>
          </a:extLst>
        </xdr:cNvPr>
        <xdr:cNvSpPr txBox="1"/>
      </xdr:nvSpPr>
      <xdr:spPr>
        <a:xfrm>
          <a:off x="8267700" y="36415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3869" name="TextBox 3868">
          <a:extLst>
            <a:ext uri="{FF2B5EF4-FFF2-40B4-BE49-F238E27FC236}">
              <a16:creationId xmlns:a16="http://schemas.microsoft.com/office/drawing/2014/main" id="{00000000-0008-0000-0000-000021000000}"/>
            </a:ext>
          </a:extLst>
        </xdr:cNvPr>
        <xdr:cNvSpPr txBox="1"/>
      </xdr:nvSpPr>
      <xdr:spPr>
        <a:xfrm>
          <a:off x="8267700" y="36415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3870" name="TextBox 3869">
          <a:extLst>
            <a:ext uri="{FF2B5EF4-FFF2-40B4-BE49-F238E27FC236}">
              <a16:creationId xmlns:a16="http://schemas.microsoft.com/office/drawing/2014/main" id="{00000000-0008-0000-0000-000022000000}"/>
            </a:ext>
          </a:extLst>
        </xdr:cNvPr>
        <xdr:cNvSpPr txBox="1"/>
      </xdr:nvSpPr>
      <xdr:spPr>
        <a:xfrm>
          <a:off x="8267700" y="36598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3871" name="TextBox 3870">
          <a:extLst>
            <a:ext uri="{FF2B5EF4-FFF2-40B4-BE49-F238E27FC236}">
              <a16:creationId xmlns:a16="http://schemas.microsoft.com/office/drawing/2014/main" id="{00000000-0008-0000-0000-000023000000}"/>
            </a:ext>
          </a:extLst>
        </xdr:cNvPr>
        <xdr:cNvSpPr txBox="1"/>
      </xdr:nvSpPr>
      <xdr:spPr>
        <a:xfrm>
          <a:off x="8267700" y="36598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3872" name="TextBox 3871">
          <a:extLst>
            <a:ext uri="{FF2B5EF4-FFF2-40B4-BE49-F238E27FC236}">
              <a16:creationId xmlns:a16="http://schemas.microsoft.com/office/drawing/2014/main" id="{00000000-0008-0000-0000-000024000000}"/>
            </a:ext>
          </a:extLst>
        </xdr:cNvPr>
        <xdr:cNvSpPr txBox="1"/>
      </xdr:nvSpPr>
      <xdr:spPr>
        <a:xfrm>
          <a:off x="8267700" y="36781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3873" name="TextBox 3872">
          <a:extLst>
            <a:ext uri="{FF2B5EF4-FFF2-40B4-BE49-F238E27FC236}">
              <a16:creationId xmlns:a16="http://schemas.microsoft.com/office/drawing/2014/main" id="{00000000-0008-0000-0000-000025000000}"/>
            </a:ext>
          </a:extLst>
        </xdr:cNvPr>
        <xdr:cNvSpPr txBox="1"/>
      </xdr:nvSpPr>
      <xdr:spPr>
        <a:xfrm>
          <a:off x="8267700" y="36781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172</xdr:row>
      <xdr:rowOff>0</xdr:rowOff>
    </xdr:from>
    <xdr:ext cx="65" cy="172227"/>
    <xdr:sp macro="" textlink="">
      <xdr:nvSpPr>
        <xdr:cNvPr id="3874" name="TextBox 3873">
          <a:extLst>
            <a:ext uri="{FF2B5EF4-FFF2-40B4-BE49-F238E27FC236}">
              <a16:creationId xmlns:a16="http://schemas.microsoft.com/office/drawing/2014/main" id="{00000000-0008-0000-0000-000026000000}"/>
            </a:ext>
          </a:extLst>
        </xdr:cNvPr>
        <xdr:cNvSpPr txBox="1"/>
      </xdr:nvSpPr>
      <xdr:spPr>
        <a:xfrm>
          <a:off x="8267700" y="36964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172</xdr:row>
      <xdr:rowOff>0</xdr:rowOff>
    </xdr:from>
    <xdr:ext cx="65" cy="172227"/>
    <xdr:sp macro="" textlink="">
      <xdr:nvSpPr>
        <xdr:cNvPr id="3875" name="TextBox 3874">
          <a:extLst>
            <a:ext uri="{FF2B5EF4-FFF2-40B4-BE49-F238E27FC236}">
              <a16:creationId xmlns:a16="http://schemas.microsoft.com/office/drawing/2014/main" id="{00000000-0008-0000-0000-000027000000}"/>
            </a:ext>
          </a:extLst>
        </xdr:cNvPr>
        <xdr:cNvSpPr txBox="1"/>
      </xdr:nvSpPr>
      <xdr:spPr>
        <a:xfrm>
          <a:off x="8267700" y="36964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178</xdr:row>
      <xdr:rowOff>0</xdr:rowOff>
    </xdr:from>
    <xdr:ext cx="65" cy="172227"/>
    <xdr:sp macro="" textlink="">
      <xdr:nvSpPr>
        <xdr:cNvPr id="3876" name="TextBox 3875">
          <a:extLst>
            <a:ext uri="{FF2B5EF4-FFF2-40B4-BE49-F238E27FC236}">
              <a16:creationId xmlns:a16="http://schemas.microsoft.com/office/drawing/2014/main" id="{00000000-0008-0000-0000-000028000000}"/>
            </a:ext>
          </a:extLst>
        </xdr:cNvPr>
        <xdr:cNvSpPr txBox="1"/>
      </xdr:nvSpPr>
      <xdr:spPr>
        <a:xfrm>
          <a:off x="8267700" y="3806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178</xdr:row>
      <xdr:rowOff>0</xdr:rowOff>
    </xdr:from>
    <xdr:ext cx="65" cy="172227"/>
    <xdr:sp macro="" textlink="">
      <xdr:nvSpPr>
        <xdr:cNvPr id="3877" name="TextBox 3876">
          <a:extLst>
            <a:ext uri="{FF2B5EF4-FFF2-40B4-BE49-F238E27FC236}">
              <a16:creationId xmlns:a16="http://schemas.microsoft.com/office/drawing/2014/main" id="{00000000-0008-0000-0000-000029000000}"/>
            </a:ext>
          </a:extLst>
        </xdr:cNvPr>
        <xdr:cNvSpPr txBox="1"/>
      </xdr:nvSpPr>
      <xdr:spPr>
        <a:xfrm>
          <a:off x="8267700" y="3806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179</xdr:row>
      <xdr:rowOff>0</xdr:rowOff>
    </xdr:from>
    <xdr:ext cx="65" cy="172227"/>
    <xdr:sp macro="" textlink="">
      <xdr:nvSpPr>
        <xdr:cNvPr id="3878" name="TextBox 3877">
          <a:extLst>
            <a:ext uri="{FF2B5EF4-FFF2-40B4-BE49-F238E27FC236}">
              <a16:creationId xmlns:a16="http://schemas.microsoft.com/office/drawing/2014/main" id="{00000000-0008-0000-0000-00002A000000}"/>
            </a:ext>
          </a:extLst>
        </xdr:cNvPr>
        <xdr:cNvSpPr txBox="1"/>
      </xdr:nvSpPr>
      <xdr:spPr>
        <a:xfrm>
          <a:off x="8267700" y="38244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179</xdr:row>
      <xdr:rowOff>0</xdr:rowOff>
    </xdr:from>
    <xdr:ext cx="65" cy="172227"/>
    <xdr:sp macro="" textlink="">
      <xdr:nvSpPr>
        <xdr:cNvPr id="3879" name="TextBox 3878">
          <a:extLst>
            <a:ext uri="{FF2B5EF4-FFF2-40B4-BE49-F238E27FC236}">
              <a16:creationId xmlns:a16="http://schemas.microsoft.com/office/drawing/2014/main" id="{00000000-0008-0000-0000-00002B000000}"/>
            </a:ext>
          </a:extLst>
        </xdr:cNvPr>
        <xdr:cNvSpPr txBox="1"/>
      </xdr:nvSpPr>
      <xdr:spPr>
        <a:xfrm>
          <a:off x="8267700" y="38244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180</xdr:row>
      <xdr:rowOff>0</xdr:rowOff>
    </xdr:from>
    <xdr:ext cx="65" cy="172227"/>
    <xdr:sp macro="" textlink="">
      <xdr:nvSpPr>
        <xdr:cNvPr id="3880" name="TextBox 3879">
          <a:extLst>
            <a:ext uri="{FF2B5EF4-FFF2-40B4-BE49-F238E27FC236}">
              <a16:creationId xmlns:a16="http://schemas.microsoft.com/office/drawing/2014/main" id="{00000000-0008-0000-0000-00002C000000}"/>
            </a:ext>
          </a:extLst>
        </xdr:cNvPr>
        <xdr:cNvSpPr txBox="1"/>
      </xdr:nvSpPr>
      <xdr:spPr>
        <a:xfrm>
          <a:off x="8267700" y="38427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180</xdr:row>
      <xdr:rowOff>0</xdr:rowOff>
    </xdr:from>
    <xdr:ext cx="65" cy="172227"/>
    <xdr:sp macro="" textlink="">
      <xdr:nvSpPr>
        <xdr:cNvPr id="3881" name="TextBox 3880">
          <a:extLst>
            <a:ext uri="{FF2B5EF4-FFF2-40B4-BE49-F238E27FC236}">
              <a16:creationId xmlns:a16="http://schemas.microsoft.com/office/drawing/2014/main" id="{00000000-0008-0000-0000-00002D000000}"/>
            </a:ext>
          </a:extLst>
        </xdr:cNvPr>
        <xdr:cNvSpPr txBox="1"/>
      </xdr:nvSpPr>
      <xdr:spPr>
        <a:xfrm>
          <a:off x="8267700" y="38427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181</xdr:row>
      <xdr:rowOff>0</xdr:rowOff>
    </xdr:from>
    <xdr:ext cx="65" cy="172227"/>
    <xdr:sp macro="" textlink="">
      <xdr:nvSpPr>
        <xdr:cNvPr id="3882" name="TextBox 3881">
          <a:extLst>
            <a:ext uri="{FF2B5EF4-FFF2-40B4-BE49-F238E27FC236}">
              <a16:creationId xmlns:a16="http://schemas.microsoft.com/office/drawing/2014/main" id="{00000000-0008-0000-0000-00002E000000}"/>
            </a:ext>
          </a:extLst>
        </xdr:cNvPr>
        <xdr:cNvSpPr txBox="1"/>
      </xdr:nvSpPr>
      <xdr:spPr>
        <a:xfrm>
          <a:off x="8267700" y="38610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181</xdr:row>
      <xdr:rowOff>0</xdr:rowOff>
    </xdr:from>
    <xdr:ext cx="65" cy="172227"/>
    <xdr:sp macro="" textlink="">
      <xdr:nvSpPr>
        <xdr:cNvPr id="3883" name="TextBox 3882">
          <a:extLst>
            <a:ext uri="{FF2B5EF4-FFF2-40B4-BE49-F238E27FC236}">
              <a16:creationId xmlns:a16="http://schemas.microsoft.com/office/drawing/2014/main" id="{00000000-0008-0000-0000-00002F000000}"/>
            </a:ext>
          </a:extLst>
        </xdr:cNvPr>
        <xdr:cNvSpPr txBox="1"/>
      </xdr:nvSpPr>
      <xdr:spPr>
        <a:xfrm>
          <a:off x="8267700" y="38610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182</xdr:row>
      <xdr:rowOff>0</xdr:rowOff>
    </xdr:from>
    <xdr:ext cx="65" cy="172227"/>
    <xdr:sp macro="" textlink="">
      <xdr:nvSpPr>
        <xdr:cNvPr id="3884" name="TextBox 3883">
          <a:extLst>
            <a:ext uri="{FF2B5EF4-FFF2-40B4-BE49-F238E27FC236}">
              <a16:creationId xmlns:a16="http://schemas.microsoft.com/office/drawing/2014/main" id="{00000000-0008-0000-0000-000030000000}"/>
            </a:ext>
          </a:extLst>
        </xdr:cNvPr>
        <xdr:cNvSpPr txBox="1"/>
      </xdr:nvSpPr>
      <xdr:spPr>
        <a:xfrm>
          <a:off x="826770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182</xdr:row>
      <xdr:rowOff>0</xdr:rowOff>
    </xdr:from>
    <xdr:ext cx="65" cy="172227"/>
    <xdr:sp macro="" textlink="">
      <xdr:nvSpPr>
        <xdr:cNvPr id="3885" name="TextBox 3884">
          <a:extLst>
            <a:ext uri="{FF2B5EF4-FFF2-40B4-BE49-F238E27FC236}">
              <a16:creationId xmlns:a16="http://schemas.microsoft.com/office/drawing/2014/main" id="{00000000-0008-0000-0000-000031000000}"/>
            </a:ext>
          </a:extLst>
        </xdr:cNvPr>
        <xdr:cNvSpPr txBox="1"/>
      </xdr:nvSpPr>
      <xdr:spPr>
        <a:xfrm>
          <a:off x="826770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3886" name="TextBox 3885">
          <a:extLst>
            <a:ext uri="{FF2B5EF4-FFF2-40B4-BE49-F238E27FC236}">
              <a16:creationId xmlns:a16="http://schemas.microsoft.com/office/drawing/2014/main" id="{00000000-0008-0000-0000-000032000000}"/>
            </a:ext>
          </a:extLst>
        </xdr:cNvPr>
        <xdr:cNvSpPr txBox="1"/>
      </xdr:nvSpPr>
      <xdr:spPr>
        <a:xfrm>
          <a:off x="8267700" y="39524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3887" name="TextBox 3886">
          <a:extLst>
            <a:ext uri="{FF2B5EF4-FFF2-40B4-BE49-F238E27FC236}">
              <a16:creationId xmlns:a16="http://schemas.microsoft.com/office/drawing/2014/main" id="{00000000-0008-0000-0000-000033000000}"/>
            </a:ext>
          </a:extLst>
        </xdr:cNvPr>
        <xdr:cNvSpPr txBox="1"/>
      </xdr:nvSpPr>
      <xdr:spPr>
        <a:xfrm>
          <a:off x="8267700" y="39524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3888" name="TextBox 3887">
          <a:extLst>
            <a:ext uri="{FF2B5EF4-FFF2-40B4-BE49-F238E27FC236}">
              <a16:creationId xmlns:a16="http://schemas.microsoft.com/office/drawing/2014/main" id="{00000000-0008-0000-0000-000034000000}"/>
            </a:ext>
          </a:extLst>
        </xdr:cNvPr>
        <xdr:cNvSpPr txBox="1"/>
      </xdr:nvSpPr>
      <xdr:spPr>
        <a:xfrm>
          <a:off x="8267700" y="39524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3889" name="TextBox 3888">
          <a:extLst>
            <a:ext uri="{FF2B5EF4-FFF2-40B4-BE49-F238E27FC236}">
              <a16:creationId xmlns:a16="http://schemas.microsoft.com/office/drawing/2014/main" id="{00000000-0008-0000-0000-000035000000}"/>
            </a:ext>
          </a:extLst>
        </xdr:cNvPr>
        <xdr:cNvSpPr txBox="1"/>
      </xdr:nvSpPr>
      <xdr:spPr>
        <a:xfrm>
          <a:off x="8267700" y="39524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3890" name="TextBox 3889">
          <a:extLst>
            <a:ext uri="{FF2B5EF4-FFF2-40B4-BE49-F238E27FC236}">
              <a16:creationId xmlns:a16="http://schemas.microsoft.com/office/drawing/2014/main" id="{00000000-0008-0000-0000-000036000000}"/>
            </a:ext>
          </a:extLst>
        </xdr:cNvPr>
        <xdr:cNvSpPr txBox="1"/>
      </xdr:nvSpPr>
      <xdr:spPr>
        <a:xfrm>
          <a:off x="8267700" y="39524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3891" name="TextBox 3890">
          <a:extLst>
            <a:ext uri="{FF2B5EF4-FFF2-40B4-BE49-F238E27FC236}">
              <a16:creationId xmlns:a16="http://schemas.microsoft.com/office/drawing/2014/main" id="{00000000-0008-0000-0000-000037000000}"/>
            </a:ext>
          </a:extLst>
        </xdr:cNvPr>
        <xdr:cNvSpPr txBox="1"/>
      </xdr:nvSpPr>
      <xdr:spPr>
        <a:xfrm>
          <a:off x="8267700" y="39524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3892" name="TextBox 3891">
          <a:extLst>
            <a:ext uri="{FF2B5EF4-FFF2-40B4-BE49-F238E27FC236}">
              <a16:creationId xmlns:a16="http://schemas.microsoft.com/office/drawing/2014/main" id="{00000000-0008-0000-0000-000038000000}"/>
            </a:ext>
          </a:extLst>
        </xdr:cNvPr>
        <xdr:cNvSpPr txBox="1"/>
      </xdr:nvSpPr>
      <xdr:spPr>
        <a:xfrm>
          <a:off x="8267700" y="39524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3893" name="TextBox 3892">
          <a:extLst>
            <a:ext uri="{FF2B5EF4-FFF2-40B4-BE49-F238E27FC236}">
              <a16:creationId xmlns:a16="http://schemas.microsoft.com/office/drawing/2014/main" id="{00000000-0008-0000-0000-000039000000}"/>
            </a:ext>
          </a:extLst>
        </xdr:cNvPr>
        <xdr:cNvSpPr txBox="1"/>
      </xdr:nvSpPr>
      <xdr:spPr>
        <a:xfrm>
          <a:off x="8267700" y="39524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3894" name="TextBox 3893">
          <a:extLst>
            <a:ext uri="{FF2B5EF4-FFF2-40B4-BE49-F238E27FC236}">
              <a16:creationId xmlns:a16="http://schemas.microsoft.com/office/drawing/2014/main" id="{00000000-0008-0000-0000-00003A000000}"/>
            </a:ext>
          </a:extLst>
        </xdr:cNvPr>
        <xdr:cNvSpPr txBox="1"/>
      </xdr:nvSpPr>
      <xdr:spPr>
        <a:xfrm>
          <a:off x="8267700" y="39524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3895" name="TextBox 3894">
          <a:extLst>
            <a:ext uri="{FF2B5EF4-FFF2-40B4-BE49-F238E27FC236}">
              <a16:creationId xmlns:a16="http://schemas.microsoft.com/office/drawing/2014/main" id="{00000000-0008-0000-0000-00003B000000}"/>
            </a:ext>
          </a:extLst>
        </xdr:cNvPr>
        <xdr:cNvSpPr txBox="1"/>
      </xdr:nvSpPr>
      <xdr:spPr>
        <a:xfrm>
          <a:off x="8267700" y="39524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3896" name="TextBox 3895">
          <a:extLst>
            <a:ext uri="{FF2B5EF4-FFF2-40B4-BE49-F238E27FC236}">
              <a16:creationId xmlns:a16="http://schemas.microsoft.com/office/drawing/2014/main" id="{00000000-0008-0000-0000-00003C000000}"/>
            </a:ext>
          </a:extLst>
        </xdr:cNvPr>
        <xdr:cNvSpPr txBox="1"/>
      </xdr:nvSpPr>
      <xdr:spPr>
        <a:xfrm>
          <a:off x="8267700" y="39524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3897" name="TextBox 3896">
          <a:extLst>
            <a:ext uri="{FF2B5EF4-FFF2-40B4-BE49-F238E27FC236}">
              <a16:creationId xmlns:a16="http://schemas.microsoft.com/office/drawing/2014/main" id="{00000000-0008-0000-0000-00003D000000}"/>
            </a:ext>
          </a:extLst>
        </xdr:cNvPr>
        <xdr:cNvSpPr txBox="1"/>
      </xdr:nvSpPr>
      <xdr:spPr>
        <a:xfrm>
          <a:off x="8267700" y="39524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3898" name="TextBox 3897">
          <a:extLst>
            <a:ext uri="{FF2B5EF4-FFF2-40B4-BE49-F238E27FC236}">
              <a16:creationId xmlns:a16="http://schemas.microsoft.com/office/drawing/2014/main" id="{00000000-0008-0000-0000-00003E000000}"/>
            </a:ext>
          </a:extLst>
        </xdr:cNvPr>
        <xdr:cNvSpPr txBox="1"/>
      </xdr:nvSpPr>
      <xdr:spPr>
        <a:xfrm>
          <a:off x="8267700" y="39524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3899" name="TextBox 3898">
          <a:extLst>
            <a:ext uri="{FF2B5EF4-FFF2-40B4-BE49-F238E27FC236}">
              <a16:creationId xmlns:a16="http://schemas.microsoft.com/office/drawing/2014/main" id="{00000000-0008-0000-0000-00003F000000}"/>
            </a:ext>
          </a:extLst>
        </xdr:cNvPr>
        <xdr:cNvSpPr txBox="1"/>
      </xdr:nvSpPr>
      <xdr:spPr>
        <a:xfrm>
          <a:off x="8267700" y="39524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3900" name="TextBox 3899">
          <a:extLst>
            <a:ext uri="{FF2B5EF4-FFF2-40B4-BE49-F238E27FC236}">
              <a16:creationId xmlns:a16="http://schemas.microsoft.com/office/drawing/2014/main" id="{00000000-0008-0000-0000-000040000000}"/>
            </a:ext>
          </a:extLst>
        </xdr:cNvPr>
        <xdr:cNvSpPr txBox="1"/>
      </xdr:nvSpPr>
      <xdr:spPr>
        <a:xfrm>
          <a:off x="8267700" y="39524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3901" name="TextBox 3900">
          <a:extLst>
            <a:ext uri="{FF2B5EF4-FFF2-40B4-BE49-F238E27FC236}">
              <a16:creationId xmlns:a16="http://schemas.microsoft.com/office/drawing/2014/main" id="{00000000-0008-0000-0000-000041000000}"/>
            </a:ext>
          </a:extLst>
        </xdr:cNvPr>
        <xdr:cNvSpPr txBox="1"/>
      </xdr:nvSpPr>
      <xdr:spPr>
        <a:xfrm>
          <a:off x="8267700" y="39524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3902" name="TextBox 3901">
          <a:extLst>
            <a:ext uri="{FF2B5EF4-FFF2-40B4-BE49-F238E27FC236}">
              <a16:creationId xmlns:a16="http://schemas.microsoft.com/office/drawing/2014/main" id="{00000000-0008-0000-0000-000042000000}"/>
            </a:ext>
          </a:extLst>
        </xdr:cNvPr>
        <xdr:cNvSpPr txBox="1"/>
      </xdr:nvSpPr>
      <xdr:spPr>
        <a:xfrm>
          <a:off x="8267700" y="39524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3903" name="TextBox 3902">
          <a:extLst>
            <a:ext uri="{FF2B5EF4-FFF2-40B4-BE49-F238E27FC236}">
              <a16:creationId xmlns:a16="http://schemas.microsoft.com/office/drawing/2014/main" id="{00000000-0008-0000-0000-000043000000}"/>
            </a:ext>
          </a:extLst>
        </xdr:cNvPr>
        <xdr:cNvSpPr txBox="1"/>
      </xdr:nvSpPr>
      <xdr:spPr>
        <a:xfrm>
          <a:off x="8267700" y="39524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3904" name="TextBox 3903">
          <a:extLst>
            <a:ext uri="{FF2B5EF4-FFF2-40B4-BE49-F238E27FC236}">
              <a16:creationId xmlns:a16="http://schemas.microsoft.com/office/drawing/2014/main" id="{00000000-0008-0000-0000-000044000000}"/>
            </a:ext>
          </a:extLst>
        </xdr:cNvPr>
        <xdr:cNvSpPr txBox="1"/>
      </xdr:nvSpPr>
      <xdr:spPr>
        <a:xfrm>
          <a:off x="8267700" y="39524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3905" name="TextBox 3904">
          <a:extLst>
            <a:ext uri="{FF2B5EF4-FFF2-40B4-BE49-F238E27FC236}">
              <a16:creationId xmlns:a16="http://schemas.microsoft.com/office/drawing/2014/main" id="{00000000-0008-0000-0000-000045000000}"/>
            </a:ext>
          </a:extLst>
        </xdr:cNvPr>
        <xdr:cNvSpPr txBox="1"/>
      </xdr:nvSpPr>
      <xdr:spPr>
        <a:xfrm>
          <a:off x="8267700" y="39524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906" name="TextBox 3905">
          <a:extLst>
            <a:ext uri="{FF2B5EF4-FFF2-40B4-BE49-F238E27FC236}">
              <a16:creationId xmlns:a16="http://schemas.microsoft.com/office/drawing/2014/main" id="{00000000-0008-0000-0000-000048000000}"/>
            </a:ext>
          </a:extLst>
        </xdr:cNvPr>
        <xdr:cNvSpPr txBox="1"/>
      </xdr:nvSpPr>
      <xdr:spPr>
        <a:xfrm>
          <a:off x="8267700" y="3375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907" name="TextBox 3906">
          <a:extLst>
            <a:ext uri="{FF2B5EF4-FFF2-40B4-BE49-F238E27FC236}">
              <a16:creationId xmlns:a16="http://schemas.microsoft.com/office/drawing/2014/main" id="{00000000-0008-0000-0000-000049000000}"/>
            </a:ext>
          </a:extLst>
        </xdr:cNvPr>
        <xdr:cNvSpPr txBox="1"/>
      </xdr:nvSpPr>
      <xdr:spPr>
        <a:xfrm>
          <a:off x="8267700" y="3375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908" name="TextBox 3907">
          <a:extLst>
            <a:ext uri="{FF2B5EF4-FFF2-40B4-BE49-F238E27FC236}">
              <a16:creationId xmlns:a16="http://schemas.microsoft.com/office/drawing/2014/main" id="{00000000-0008-0000-0000-00004C000000}"/>
            </a:ext>
          </a:extLst>
        </xdr:cNvPr>
        <xdr:cNvSpPr txBox="1"/>
      </xdr:nvSpPr>
      <xdr:spPr>
        <a:xfrm>
          <a:off x="8267700" y="3396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909" name="TextBox 3908">
          <a:extLst>
            <a:ext uri="{FF2B5EF4-FFF2-40B4-BE49-F238E27FC236}">
              <a16:creationId xmlns:a16="http://schemas.microsoft.com/office/drawing/2014/main" id="{00000000-0008-0000-0000-00004D000000}"/>
            </a:ext>
          </a:extLst>
        </xdr:cNvPr>
        <xdr:cNvSpPr txBox="1"/>
      </xdr:nvSpPr>
      <xdr:spPr>
        <a:xfrm>
          <a:off x="8267700" y="3396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3910" name="TextBox 3909">
          <a:extLst>
            <a:ext uri="{FF2B5EF4-FFF2-40B4-BE49-F238E27FC236}">
              <a16:creationId xmlns:a16="http://schemas.microsoft.com/office/drawing/2014/main" id="{00000000-0008-0000-0000-00004E000000}"/>
            </a:ext>
          </a:extLst>
        </xdr:cNvPr>
        <xdr:cNvSpPr txBox="1"/>
      </xdr:nvSpPr>
      <xdr:spPr>
        <a:xfrm>
          <a:off x="8267700" y="341680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3911" name="TextBox 3910">
          <a:extLst>
            <a:ext uri="{FF2B5EF4-FFF2-40B4-BE49-F238E27FC236}">
              <a16:creationId xmlns:a16="http://schemas.microsoft.com/office/drawing/2014/main" id="{00000000-0008-0000-0000-00004F000000}"/>
            </a:ext>
          </a:extLst>
        </xdr:cNvPr>
        <xdr:cNvSpPr txBox="1"/>
      </xdr:nvSpPr>
      <xdr:spPr>
        <a:xfrm>
          <a:off x="8267700" y="341680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3912" name="TextBox 3911">
          <a:extLst>
            <a:ext uri="{FF2B5EF4-FFF2-40B4-BE49-F238E27FC236}">
              <a16:creationId xmlns:a16="http://schemas.microsoft.com/office/drawing/2014/main" id="{00000000-0008-0000-0000-000050000000}"/>
            </a:ext>
          </a:extLst>
        </xdr:cNvPr>
        <xdr:cNvSpPr txBox="1"/>
      </xdr:nvSpPr>
      <xdr:spPr>
        <a:xfrm>
          <a:off x="8267700" y="341680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3913" name="TextBox 3912">
          <a:extLst>
            <a:ext uri="{FF2B5EF4-FFF2-40B4-BE49-F238E27FC236}">
              <a16:creationId xmlns:a16="http://schemas.microsoft.com/office/drawing/2014/main" id="{00000000-0008-0000-0000-000051000000}"/>
            </a:ext>
          </a:extLst>
        </xdr:cNvPr>
        <xdr:cNvSpPr txBox="1"/>
      </xdr:nvSpPr>
      <xdr:spPr>
        <a:xfrm>
          <a:off x="8267700" y="341680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3914" name="TextBox 3913">
          <a:extLst>
            <a:ext uri="{FF2B5EF4-FFF2-40B4-BE49-F238E27FC236}">
              <a16:creationId xmlns:a16="http://schemas.microsoft.com/office/drawing/2014/main" id="{00000000-0008-0000-0000-000052000000}"/>
            </a:ext>
          </a:extLst>
        </xdr:cNvPr>
        <xdr:cNvSpPr txBox="1"/>
      </xdr:nvSpPr>
      <xdr:spPr>
        <a:xfrm>
          <a:off x="8267700" y="33550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3915" name="TextBox 3914">
          <a:extLst>
            <a:ext uri="{FF2B5EF4-FFF2-40B4-BE49-F238E27FC236}">
              <a16:creationId xmlns:a16="http://schemas.microsoft.com/office/drawing/2014/main" id="{00000000-0008-0000-0000-000053000000}"/>
            </a:ext>
          </a:extLst>
        </xdr:cNvPr>
        <xdr:cNvSpPr txBox="1"/>
      </xdr:nvSpPr>
      <xdr:spPr>
        <a:xfrm>
          <a:off x="8267700" y="33550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916" name="TextBox 3915">
          <a:extLst>
            <a:ext uri="{FF2B5EF4-FFF2-40B4-BE49-F238E27FC236}">
              <a16:creationId xmlns:a16="http://schemas.microsoft.com/office/drawing/2014/main" id="{00000000-0008-0000-0000-000054000000}"/>
            </a:ext>
          </a:extLst>
        </xdr:cNvPr>
        <xdr:cNvSpPr txBox="1"/>
      </xdr:nvSpPr>
      <xdr:spPr>
        <a:xfrm>
          <a:off x="8267700" y="3375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917" name="TextBox 3916">
          <a:extLst>
            <a:ext uri="{FF2B5EF4-FFF2-40B4-BE49-F238E27FC236}">
              <a16:creationId xmlns:a16="http://schemas.microsoft.com/office/drawing/2014/main" id="{00000000-0008-0000-0000-000055000000}"/>
            </a:ext>
          </a:extLst>
        </xdr:cNvPr>
        <xdr:cNvSpPr txBox="1"/>
      </xdr:nvSpPr>
      <xdr:spPr>
        <a:xfrm>
          <a:off x="8267700" y="3375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918" name="TextBox 3917">
          <a:extLst>
            <a:ext uri="{FF2B5EF4-FFF2-40B4-BE49-F238E27FC236}">
              <a16:creationId xmlns:a16="http://schemas.microsoft.com/office/drawing/2014/main" id="{00000000-0008-0000-0000-000056000000}"/>
            </a:ext>
          </a:extLst>
        </xdr:cNvPr>
        <xdr:cNvSpPr txBox="1"/>
      </xdr:nvSpPr>
      <xdr:spPr>
        <a:xfrm>
          <a:off x="8267700" y="3375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919" name="TextBox 3918">
          <a:extLst>
            <a:ext uri="{FF2B5EF4-FFF2-40B4-BE49-F238E27FC236}">
              <a16:creationId xmlns:a16="http://schemas.microsoft.com/office/drawing/2014/main" id="{00000000-0008-0000-0000-000057000000}"/>
            </a:ext>
          </a:extLst>
        </xdr:cNvPr>
        <xdr:cNvSpPr txBox="1"/>
      </xdr:nvSpPr>
      <xdr:spPr>
        <a:xfrm>
          <a:off x="8267700" y="3375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920" name="TextBox 3919">
          <a:extLst>
            <a:ext uri="{FF2B5EF4-FFF2-40B4-BE49-F238E27FC236}">
              <a16:creationId xmlns:a16="http://schemas.microsoft.com/office/drawing/2014/main" id="{00000000-0008-0000-0000-000058000000}"/>
            </a:ext>
          </a:extLst>
        </xdr:cNvPr>
        <xdr:cNvSpPr txBox="1"/>
      </xdr:nvSpPr>
      <xdr:spPr>
        <a:xfrm>
          <a:off x="8267700" y="3396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921" name="TextBox 3920">
          <a:extLst>
            <a:ext uri="{FF2B5EF4-FFF2-40B4-BE49-F238E27FC236}">
              <a16:creationId xmlns:a16="http://schemas.microsoft.com/office/drawing/2014/main" id="{00000000-0008-0000-0000-000059000000}"/>
            </a:ext>
          </a:extLst>
        </xdr:cNvPr>
        <xdr:cNvSpPr txBox="1"/>
      </xdr:nvSpPr>
      <xdr:spPr>
        <a:xfrm>
          <a:off x="8267700" y="3396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922" name="TextBox 3921">
          <a:extLst>
            <a:ext uri="{FF2B5EF4-FFF2-40B4-BE49-F238E27FC236}">
              <a16:creationId xmlns:a16="http://schemas.microsoft.com/office/drawing/2014/main" id="{00000000-0008-0000-0000-00005A000000}"/>
            </a:ext>
          </a:extLst>
        </xdr:cNvPr>
        <xdr:cNvSpPr txBox="1"/>
      </xdr:nvSpPr>
      <xdr:spPr>
        <a:xfrm>
          <a:off x="8267700" y="3396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923" name="TextBox 3922">
          <a:extLst>
            <a:ext uri="{FF2B5EF4-FFF2-40B4-BE49-F238E27FC236}">
              <a16:creationId xmlns:a16="http://schemas.microsoft.com/office/drawing/2014/main" id="{00000000-0008-0000-0000-00005B000000}"/>
            </a:ext>
          </a:extLst>
        </xdr:cNvPr>
        <xdr:cNvSpPr txBox="1"/>
      </xdr:nvSpPr>
      <xdr:spPr>
        <a:xfrm>
          <a:off x="8267700" y="3396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924" name="TextBox 3923">
          <a:extLst>
            <a:ext uri="{FF2B5EF4-FFF2-40B4-BE49-F238E27FC236}">
              <a16:creationId xmlns:a16="http://schemas.microsoft.com/office/drawing/2014/main" id="{00000000-0008-0000-0000-00005C000000}"/>
            </a:ext>
          </a:extLst>
        </xdr:cNvPr>
        <xdr:cNvSpPr txBox="1"/>
      </xdr:nvSpPr>
      <xdr:spPr>
        <a:xfrm>
          <a:off x="8267700" y="3396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925" name="TextBox 3924">
          <a:extLst>
            <a:ext uri="{FF2B5EF4-FFF2-40B4-BE49-F238E27FC236}">
              <a16:creationId xmlns:a16="http://schemas.microsoft.com/office/drawing/2014/main" id="{00000000-0008-0000-0000-00005D000000}"/>
            </a:ext>
          </a:extLst>
        </xdr:cNvPr>
        <xdr:cNvSpPr txBox="1"/>
      </xdr:nvSpPr>
      <xdr:spPr>
        <a:xfrm>
          <a:off x="8267700" y="3396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926" name="TextBox 3925">
          <a:extLst>
            <a:ext uri="{FF2B5EF4-FFF2-40B4-BE49-F238E27FC236}">
              <a16:creationId xmlns:a16="http://schemas.microsoft.com/office/drawing/2014/main" id="{00000000-0008-0000-0000-00005E000000}"/>
            </a:ext>
          </a:extLst>
        </xdr:cNvPr>
        <xdr:cNvSpPr txBox="1"/>
      </xdr:nvSpPr>
      <xdr:spPr>
        <a:xfrm>
          <a:off x="8267700" y="3396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927" name="TextBox 3926">
          <a:extLst>
            <a:ext uri="{FF2B5EF4-FFF2-40B4-BE49-F238E27FC236}">
              <a16:creationId xmlns:a16="http://schemas.microsoft.com/office/drawing/2014/main" id="{00000000-0008-0000-0000-00005F000000}"/>
            </a:ext>
          </a:extLst>
        </xdr:cNvPr>
        <xdr:cNvSpPr txBox="1"/>
      </xdr:nvSpPr>
      <xdr:spPr>
        <a:xfrm>
          <a:off x="8267700" y="3396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3928" name="TextBox 3927">
          <a:extLst>
            <a:ext uri="{FF2B5EF4-FFF2-40B4-BE49-F238E27FC236}">
              <a16:creationId xmlns:a16="http://schemas.microsoft.com/office/drawing/2014/main" id="{00000000-0008-0000-0000-000060000000}"/>
            </a:ext>
          </a:extLst>
        </xdr:cNvPr>
        <xdr:cNvSpPr txBox="1"/>
      </xdr:nvSpPr>
      <xdr:spPr>
        <a:xfrm>
          <a:off x="8267700" y="33550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3929" name="TextBox 3928">
          <a:extLst>
            <a:ext uri="{FF2B5EF4-FFF2-40B4-BE49-F238E27FC236}">
              <a16:creationId xmlns:a16="http://schemas.microsoft.com/office/drawing/2014/main" id="{00000000-0008-0000-0000-000061000000}"/>
            </a:ext>
          </a:extLst>
        </xdr:cNvPr>
        <xdr:cNvSpPr txBox="1"/>
      </xdr:nvSpPr>
      <xdr:spPr>
        <a:xfrm>
          <a:off x="8267700" y="33550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3930" name="TextBox 3929">
          <a:extLst>
            <a:ext uri="{FF2B5EF4-FFF2-40B4-BE49-F238E27FC236}">
              <a16:creationId xmlns:a16="http://schemas.microsoft.com/office/drawing/2014/main" id="{00000000-0008-0000-0000-000062000000}"/>
            </a:ext>
          </a:extLst>
        </xdr:cNvPr>
        <xdr:cNvSpPr txBox="1"/>
      </xdr:nvSpPr>
      <xdr:spPr>
        <a:xfrm>
          <a:off x="8267700" y="33550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3931" name="TextBox 3930">
          <a:extLst>
            <a:ext uri="{FF2B5EF4-FFF2-40B4-BE49-F238E27FC236}">
              <a16:creationId xmlns:a16="http://schemas.microsoft.com/office/drawing/2014/main" id="{00000000-0008-0000-0000-000063000000}"/>
            </a:ext>
          </a:extLst>
        </xdr:cNvPr>
        <xdr:cNvSpPr txBox="1"/>
      </xdr:nvSpPr>
      <xdr:spPr>
        <a:xfrm>
          <a:off x="8267700" y="33550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932" name="TextBox 3931">
          <a:extLst>
            <a:ext uri="{FF2B5EF4-FFF2-40B4-BE49-F238E27FC236}">
              <a16:creationId xmlns:a16="http://schemas.microsoft.com/office/drawing/2014/main" id="{00000000-0008-0000-0000-000064000000}"/>
            </a:ext>
          </a:extLst>
        </xdr:cNvPr>
        <xdr:cNvSpPr txBox="1"/>
      </xdr:nvSpPr>
      <xdr:spPr>
        <a:xfrm>
          <a:off x="8267700" y="3375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933" name="TextBox 3932">
          <a:extLst>
            <a:ext uri="{FF2B5EF4-FFF2-40B4-BE49-F238E27FC236}">
              <a16:creationId xmlns:a16="http://schemas.microsoft.com/office/drawing/2014/main" id="{00000000-0008-0000-0000-000065000000}"/>
            </a:ext>
          </a:extLst>
        </xdr:cNvPr>
        <xdr:cNvSpPr txBox="1"/>
      </xdr:nvSpPr>
      <xdr:spPr>
        <a:xfrm>
          <a:off x="8267700" y="3375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934" name="TextBox 3933">
          <a:extLst>
            <a:ext uri="{FF2B5EF4-FFF2-40B4-BE49-F238E27FC236}">
              <a16:creationId xmlns:a16="http://schemas.microsoft.com/office/drawing/2014/main" id="{00000000-0008-0000-0000-000066000000}"/>
            </a:ext>
          </a:extLst>
        </xdr:cNvPr>
        <xdr:cNvSpPr txBox="1"/>
      </xdr:nvSpPr>
      <xdr:spPr>
        <a:xfrm>
          <a:off x="8267700" y="3375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935" name="TextBox 3934">
          <a:extLst>
            <a:ext uri="{FF2B5EF4-FFF2-40B4-BE49-F238E27FC236}">
              <a16:creationId xmlns:a16="http://schemas.microsoft.com/office/drawing/2014/main" id="{00000000-0008-0000-0000-000067000000}"/>
            </a:ext>
          </a:extLst>
        </xdr:cNvPr>
        <xdr:cNvSpPr txBox="1"/>
      </xdr:nvSpPr>
      <xdr:spPr>
        <a:xfrm>
          <a:off x="8267700" y="3375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936" name="TextBox 3935">
          <a:extLst>
            <a:ext uri="{FF2B5EF4-FFF2-40B4-BE49-F238E27FC236}">
              <a16:creationId xmlns:a16="http://schemas.microsoft.com/office/drawing/2014/main" id="{00000000-0008-0000-0000-000068000000}"/>
            </a:ext>
          </a:extLst>
        </xdr:cNvPr>
        <xdr:cNvSpPr txBox="1"/>
      </xdr:nvSpPr>
      <xdr:spPr>
        <a:xfrm>
          <a:off x="8267700" y="3375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937" name="TextBox 3936">
          <a:extLst>
            <a:ext uri="{FF2B5EF4-FFF2-40B4-BE49-F238E27FC236}">
              <a16:creationId xmlns:a16="http://schemas.microsoft.com/office/drawing/2014/main" id="{00000000-0008-0000-0000-000069000000}"/>
            </a:ext>
          </a:extLst>
        </xdr:cNvPr>
        <xdr:cNvSpPr txBox="1"/>
      </xdr:nvSpPr>
      <xdr:spPr>
        <a:xfrm>
          <a:off x="8267700" y="3375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938" name="TextBox 3937">
          <a:extLst>
            <a:ext uri="{FF2B5EF4-FFF2-40B4-BE49-F238E27FC236}">
              <a16:creationId xmlns:a16="http://schemas.microsoft.com/office/drawing/2014/main" id="{00000000-0008-0000-0000-00006A000000}"/>
            </a:ext>
          </a:extLst>
        </xdr:cNvPr>
        <xdr:cNvSpPr txBox="1"/>
      </xdr:nvSpPr>
      <xdr:spPr>
        <a:xfrm>
          <a:off x="8267700" y="3375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939" name="TextBox 3938">
          <a:extLst>
            <a:ext uri="{FF2B5EF4-FFF2-40B4-BE49-F238E27FC236}">
              <a16:creationId xmlns:a16="http://schemas.microsoft.com/office/drawing/2014/main" id="{00000000-0008-0000-0000-00006B000000}"/>
            </a:ext>
          </a:extLst>
        </xdr:cNvPr>
        <xdr:cNvSpPr txBox="1"/>
      </xdr:nvSpPr>
      <xdr:spPr>
        <a:xfrm>
          <a:off x="8267700" y="3375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940" name="TextBox 3939">
          <a:extLst>
            <a:ext uri="{FF2B5EF4-FFF2-40B4-BE49-F238E27FC236}">
              <a16:creationId xmlns:a16="http://schemas.microsoft.com/office/drawing/2014/main" id="{00000000-0008-0000-0000-00006C000000}"/>
            </a:ext>
          </a:extLst>
        </xdr:cNvPr>
        <xdr:cNvSpPr txBox="1"/>
      </xdr:nvSpPr>
      <xdr:spPr>
        <a:xfrm>
          <a:off x="8267700" y="3375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941" name="TextBox 3940">
          <a:extLst>
            <a:ext uri="{FF2B5EF4-FFF2-40B4-BE49-F238E27FC236}">
              <a16:creationId xmlns:a16="http://schemas.microsoft.com/office/drawing/2014/main" id="{00000000-0008-0000-0000-00006D000000}"/>
            </a:ext>
          </a:extLst>
        </xdr:cNvPr>
        <xdr:cNvSpPr txBox="1"/>
      </xdr:nvSpPr>
      <xdr:spPr>
        <a:xfrm>
          <a:off x="8267700" y="3375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942" name="TextBox 3941">
          <a:extLst>
            <a:ext uri="{FF2B5EF4-FFF2-40B4-BE49-F238E27FC236}">
              <a16:creationId xmlns:a16="http://schemas.microsoft.com/office/drawing/2014/main" id="{00000000-0008-0000-0000-00006E000000}"/>
            </a:ext>
          </a:extLst>
        </xdr:cNvPr>
        <xdr:cNvSpPr txBox="1"/>
      </xdr:nvSpPr>
      <xdr:spPr>
        <a:xfrm>
          <a:off x="8267700" y="3375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943" name="TextBox 3942">
          <a:extLst>
            <a:ext uri="{FF2B5EF4-FFF2-40B4-BE49-F238E27FC236}">
              <a16:creationId xmlns:a16="http://schemas.microsoft.com/office/drawing/2014/main" id="{00000000-0008-0000-0000-00006F000000}"/>
            </a:ext>
          </a:extLst>
        </xdr:cNvPr>
        <xdr:cNvSpPr txBox="1"/>
      </xdr:nvSpPr>
      <xdr:spPr>
        <a:xfrm>
          <a:off x="8267700" y="3375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944" name="TextBox 3943">
          <a:extLst>
            <a:ext uri="{FF2B5EF4-FFF2-40B4-BE49-F238E27FC236}">
              <a16:creationId xmlns:a16="http://schemas.microsoft.com/office/drawing/2014/main" id="{00000000-0008-0000-0000-000070000000}"/>
            </a:ext>
          </a:extLst>
        </xdr:cNvPr>
        <xdr:cNvSpPr txBox="1"/>
      </xdr:nvSpPr>
      <xdr:spPr>
        <a:xfrm>
          <a:off x="8267700" y="3375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945" name="TextBox 3944">
          <a:extLst>
            <a:ext uri="{FF2B5EF4-FFF2-40B4-BE49-F238E27FC236}">
              <a16:creationId xmlns:a16="http://schemas.microsoft.com/office/drawing/2014/main" id="{00000000-0008-0000-0000-000071000000}"/>
            </a:ext>
          </a:extLst>
        </xdr:cNvPr>
        <xdr:cNvSpPr txBox="1"/>
      </xdr:nvSpPr>
      <xdr:spPr>
        <a:xfrm>
          <a:off x="8267700" y="3375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946" name="TextBox 3945">
          <a:extLst>
            <a:ext uri="{FF2B5EF4-FFF2-40B4-BE49-F238E27FC236}">
              <a16:creationId xmlns:a16="http://schemas.microsoft.com/office/drawing/2014/main" id="{00000000-0008-0000-0000-000072000000}"/>
            </a:ext>
          </a:extLst>
        </xdr:cNvPr>
        <xdr:cNvSpPr txBox="1"/>
      </xdr:nvSpPr>
      <xdr:spPr>
        <a:xfrm>
          <a:off x="8267700" y="3375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947" name="TextBox 3946">
          <a:extLst>
            <a:ext uri="{FF2B5EF4-FFF2-40B4-BE49-F238E27FC236}">
              <a16:creationId xmlns:a16="http://schemas.microsoft.com/office/drawing/2014/main" id="{00000000-0008-0000-0000-000073000000}"/>
            </a:ext>
          </a:extLst>
        </xdr:cNvPr>
        <xdr:cNvSpPr txBox="1"/>
      </xdr:nvSpPr>
      <xdr:spPr>
        <a:xfrm>
          <a:off x="8267700" y="3375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948" name="TextBox 3947">
          <a:extLst>
            <a:ext uri="{FF2B5EF4-FFF2-40B4-BE49-F238E27FC236}">
              <a16:creationId xmlns:a16="http://schemas.microsoft.com/office/drawing/2014/main" id="{00000000-0008-0000-0000-000074000000}"/>
            </a:ext>
          </a:extLst>
        </xdr:cNvPr>
        <xdr:cNvSpPr txBox="1"/>
      </xdr:nvSpPr>
      <xdr:spPr>
        <a:xfrm>
          <a:off x="12580620" y="3375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949" name="TextBox 3948">
          <a:extLst>
            <a:ext uri="{FF2B5EF4-FFF2-40B4-BE49-F238E27FC236}">
              <a16:creationId xmlns:a16="http://schemas.microsoft.com/office/drawing/2014/main" id="{00000000-0008-0000-0000-000075000000}"/>
            </a:ext>
          </a:extLst>
        </xdr:cNvPr>
        <xdr:cNvSpPr txBox="1"/>
      </xdr:nvSpPr>
      <xdr:spPr>
        <a:xfrm>
          <a:off x="12580620" y="3375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950" name="TextBox 3949">
          <a:extLst>
            <a:ext uri="{FF2B5EF4-FFF2-40B4-BE49-F238E27FC236}">
              <a16:creationId xmlns:a16="http://schemas.microsoft.com/office/drawing/2014/main" id="{00000000-0008-0000-0000-000076000000}"/>
            </a:ext>
          </a:extLst>
        </xdr:cNvPr>
        <xdr:cNvSpPr txBox="1"/>
      </xdr:nvSpPr>
      <xdr:spPr>
        <a:xfrm>
          <a:off x="12580620" y="3375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951" name="TextBox 3950">
          <a:extLst>
            <a:ext uri="{FF2B5EF4-FFF2-40B4-BE49-F238E27FC236}">
              <a16:creationId xmlns:a16="http://schemas.microsoft.com/office/drawing/2014/main" id="{00000000-0008-0000-0000-000077000000}"/>
            </a:ext>
          </a:extLst>
        </xdr:cNvPr>
        <xdr:cNvSpPr txBox="1"/>
      </xdr:nvSpPr>
      <xdr:spPr>
        <a:xfrm>
          <a:off x="12580620" y="3375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952" name="TextBox 3951">
          <a:extLst>
            <a:ext uri="{FF2B5EF4-FFF2-40B4-BE49-F238E27FC236}">
              <a16:creationId xmlns:a16="http://schemas.microsoft.com/office/drawing/2014/main" id="{00000000-0008-0000-0000-000078000000}"/>
            </a:ext>
          </a:extLst>
        </xdr:cNvPr>
        <xdr:cNvSpPr txBox="1"/>
      </xdr:nvSpPr>
      <xdr:spPr>
        <a:xfrm>
          <a:off x="12580620" y="3375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953" name="TextBox 3952">
          <a:extLst>
            <a:ext uri="{FF2B5EF4-FFF2-40B4-BE49-F238E27FC236}">
              <a16:creationId xmlns:a16="http://schemas.microsoft.com/office/drawing/2014/main" id="{00000000-0008-0000-0000-000079000000}"/>
            </a:ext>
          </a:extLst>
        </xdr:cNvPr>
        <xdr:cNvSpPr txBox="1"/>
      </xdr:nvSpPr>
      <xdr:spPr>
        <a:xfrm>
          <a:off x="12580620" y="3375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954" name="TextBox 3953">
          <a:extLst>
            <a:ext uri="{FF2B5EF4-FFF2-40B4-BE49-F238E27FC236}">
              <a16:creationId xmlns:a16="http://schemas.microsoft.com/office/drawing/2014/main" id="{00000000-0008-0000-0000-00007A000000}"/>
            </a:ext>
          </a:extLst>
        </xdr:cNvPr>
        <xdr:cNvSpPr txBox="1"/>
      </xdr:nvSpPr>
      <xdr:spPr>
        <a:xfrm>
          <a:off x="12580620" y="3375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955" name="TextBox 3954">
          <a:extLst>
            <a:ext uri="{FF2B5EF4-FFF2-40B4-BE49-F238E27FC236}">
              <a16:creationId xmlns:a16="http://schemas.microsoft.com/office/drawing/2014/main" id="{00000000-0008-0000-0000-00007B000000}"/>
            </a:ext>
          </a:extLst>
        </xdr:cNvPr>
        <xdr:cNvSpPr txBox="1"/>
      </xdr:nvSpPr>
      <xdr:spPr>
        <a:xfrm>
          <a:off x="12580620" y="3375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3956" name="TextBox 3955">
          <a:extLst>
            <a:ext uri="{FF2B5EF4-FFF2-40B4-BE49-F238E27FC236}">
              <a16:creationId xmlns:a16="http://schemas.microsoft.com/office/drawing/2014/main" id="{00000000-0008-0000-0000-00007C000000}"/>
            </a:ext>
          </a:extLst>
        </xdr:cNvPr>
        <xdr:cNvSpPr txBox="1"/>
      </xdr:nvSpPr>
      <xdr:spPr>
        <a:xfrm>
          <a:off x="8267700" y="33550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3957" name="TextBox 3956">
          <a:extLst>
            <a:ext uri="{FF2B5EF4-FFF2-40B4-BE49-F238E27FC236}">
              <a16:creationId xmlns:a16="http://schemas.microsoft.com/office/drawing/2014/main" id="{00000000-0008-0000-0000-00007D000000}"/>
            </a:ext>
          </a:extLst>
        </xdr:cNvPr>
        <xdr:cNvSpPr txBox="1"/>
      </xdr:nvSpPr>
      <xdr:spPr>
        <a:xfrm>
          <a:off x="8267700" y="33550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3958" name="TextBox 3957">
          <a:extLst>
            <a:ext uri="{FF2B5EF4-FFF2-40B4-BE49-F238E27FC236}">
              <a16:creationId xmlns:a16="http://schemas.microsoft.com/office/drawing/2014/main" id="{00000000-0008-0000-0000-00007E000000}"/>
            </a:ext>
          </a:extLst>
        </xdr:cNvPr>
        <xdr:cNvSpPr txBox="1"/>
      </xdr:nvSpPr>
      <xdr:spPr>
        <a:xfrm>
          <a:off x="8267700" y="33550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3959" name="TextBox 3958">
          <a:extLst>
            <a:ext uri="{FF2B5EF4-FFF2-40B4-BE49-F238E27FC236}">
              <a16:creationId xmlns:a16="http://schemas.microsoft.com/office/drawing/2014/main" id="{00000000-0008-0000-0000-00007F000000}"/>
            </a:ext>
          </a:extLst>
        </xdr:cNvPr>
        <xdr:cNvSpPr txBox="1"/>
      </xdr:nvSpPr>
      <xdr:spPr>
        <a:xfrm>
          <a:off x="8267700" y="33550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960" name="TextBox 3959">
          <a:extLst>
            <a:ext uri="{FF2B5EF4-FFF2-40B4-BE49-F238E27FC236}">
              <a16:creationId xmlns:a16="http://schemas.microsoft.com/office/drawing/2014/main" id="{00000000-0008-0000-0000-000080000000}"/>
            </a:ext>
          </a:extLst>
        </xdr:cNvPr>
        <xdr:cNvSpPr txBox="1"/>
      </xdr:nvSpPr>
      <xdr:spPr>
        <a:xfrm>
          <a:off x="8267700" y="3375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961" name="TextBox 3960">
          <a:extLst>
            <a:ext uri="{FF2B5EF4-FFF2-40B4-BE49-F238E27FC236}">
              <a16:creationId xmlns:a16="http://schemas.microsoft.com/office/drawing/2014/main" id="{00000000-0008-0000-0000-000081000000}"/>
            </a:ext>
          </a:extLst>
        </xdr:cNvPr>
        <xdr:cNvSpPr txBox="1"/>
      </xdr:nvSpPr>
      <xdr:spPr>
        <a:xfrm>
          <a:off x="8267700" y="3375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962" name="TextBox 3961">
          <a:extLst>
            <a:ext uri="{FF2B5EF4-FFF2-40B4-BE49-F238E27FC236}">
              <a16:creationId xmlns:a16="http://schemas.microsoft.com/office/drawing/2014/main" id="{00000000-0008-0000-0000-000082000000}"/>
            </a:ext>
          </a:extLst>
        </xdr:cNvPr>
        <xdr:cNvSpPr txBox="1"/>
      </xdr:nvSpPr>
      <xdr:spPr>
        <a:xfrm>
          <a:off x="8267700" y="3375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963" name="TextBox 3962">
          <a:extLst>
            <a:ext uri="{FF2B5EF4-FFF2-40B4-BE49-F238E27FC236}">
              <a16:creationId xmlns:a16="http://schemas.microsoft.com/office/drawing/2014/main" id="{00000000-0008-0000-0000-000083000000}"/>
            </a:ext>
          </a:extLst>
        </xdr:cNvPr>
        <xdr:cNvSpPr txBox="1"/>
      </xdr:nvSpPr>
      <xdr:spPr>
        <a:xfrm>
          <a:off x="8267700" y="3375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964" name="TextBox 3963">
          <a:extLst>
            <a:ext uri="{FF2B5EF4-FFF2-40B4-BE49-F238E27FC236}">
              <a16:creationId xmlns:a16="http://schemas.microsoft.com/office/drawing/2014/main" id="{00000000-0008-0000-0000-000084000000}"/>
            </a:ext>
          </a:extLst>
        </xdr:cNvPr>
        <xdr:cNvSpPr txBox="1"/>
      </xdr:nvSpPr>
      <xdr:spPr>
        <a:xfrm>
          <a:off x="8267700" y="3375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965" name="TextBox 3964">
          <a:extLst>
            <a:ext uri="{FF2B5EF4-FFF2-40B4-BE49-F238E27FC236}">
              <a16:creationId xmlns:a16="http://schemas.microsoft.com/office/drawing/2014/main" id="{00000000-0008-0000-0000-000085000000}"/>
            </a:ext>
          </a:extLst>
        </xdr:cNvPr>
        <xdr:cNvSpPr txBox="1"/>
      </xdr:nvSpPr>
      <xdr:spPr>
        <a:xfrm>
          <a:off x="8267700" y="3375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966" name="TextBox 3965">
          <a:extLst>
            <a:ext uri="{FF2B5EF4-FFF2-40B4-BE49-F238E27FC236}">
              <a16:creationId xmlns:a16="http://schemas.microsoft.com/office/drawing/2014/main" id="{00000000-0008-0000-0000-000086000000}"/>
            </a:ext>
          </a:extLst>
        </xdr:cNvPr>
        <xdr:cNvSpPr txBox="1"/>
      </xdr:nvSpPr>
      <xdr:spPr>
        <a:xfrm>
          <a:off x="8267700" y="3375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967" name="TextBox 3966">
          <a:extLst>
            <a:ext uri="{FF2B5EF4-FFF2-40B4-BE49-F238E27FC236}">
              <a16:creationId xmlns:a16="http://schemas.microsoft.com/office/drawing/2014/main" id="{00000000-0008-0000-0000-000087000000}"/>
            </a:ext>
          </a:extLst>
        </xdr:cNvPr>
        <xdr:cNvSpPr txBox="1"/>
      </xdr:nvSpPr>
      <xdr:spPr>
        <a:xfrm>
          <a:off x="8267700" y="3375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968" name="TextBox 3967">
          <a:extLst>
            <a:ext uri="{FF2B5EF4-FFF2-40B4-BE49-F238E27FC236}">
              <a16:creationId xmlns:a16="http://schemas.microsoft.com/office/drawing/2014/main" id="{00000000-0008-0000-0000-000088000000}"/>
            </a:ext>
          </a:extLst>
        </xdr:cNvPr>
        <xdr:cNvSpPr txBox="1"/>
      </xdr:nvSpPr>
      <xdr:spPr>
        <a:xfrm>
          <a:off x="8267700" y="3375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969" name="TextBox 3968">
          <a:extLst>
            <a:ext uri="{FF2B5EF4-FFF2-40B4-BE49-F238E27FC236}">
              <a16:creationId xmlns:a16="http://schemas.microsoft.com/office/drawing/2014/main" id="{00000000-0008-0000-0000-000089000000}"/>
            </a:ext>
          </a:extLst>
        </xdr:cNvPr>
        <xdr:cNvSpPr txBox="1"/>
      </xdr:nvSpPr>
      <xdr:spPr>
        <a:xfrm>
          <a:off x="8267700" y="3375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970" name="TextBox 3969">
          <a:extLst>
            <a:ext uri="{FF2B5EF4-FFF2-40B4-BE49-F238E27FC236}">
              <a16:creationId xmlns:a16="http://schemas.microsoft.com/office/drawing/2014/main" id="{00000000-0008-0000-0000-00008A000000}"/>
            </a:ext>
          </a:extLst>
        </xdr:cNvPr>
        <xdr:cNvSpPr txBox="1"/>
      </xdr:nvSpPr>
      <xdr:spPr>
        <a:xfrm>
          <a:off x="8267700" y="3375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971" name="TextBox 3970">
          <a:extLst>
            <a:ext uri="{FF2B5EF4-FFF2-40B4-BE49-F238E27FC236}">
              <a16:creationId xmlns:a16="http://schemas.microsoft.com/office/drawing/2014/main" id="{00000000-0008-0000-0000-00008B000000}"/>
            </a:ext>
          </a:extLst>
        </xdr:cNvPr>
        <xdr:cNvSpPr txBox="1"/>
      </xdr:nvSpPr>
      <xdr:spPr>
        <a:xfrm>
          <a:off x="8267700" y="3375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972" name="TextBox 3971">
          <a:extLst>
            <a:ext uri="{FF2B5EF4-FFF2-40B4-BE49-F238E27FC236}">
              <a16:creationId xmlns:a16="http://schemas.microsoft.com/office/drawing/2014/main" id="{00000000-0008-0000-0000-00008C000000}"/>
            </a:ext>
          </a:extLst>
        </xdr:cNvPr>
        <xdr:cNvSpPr txBox="1"/>
      </xdr:nvSpPr>
      <xdr:spPr>
        <a:xfrm>
          <a:off x="8267700" y="3396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973" name="TextBox 3972">
          <a:extLst>
            <a:ext uri="{FF2B5EF4-FFF2-40B4-BE49-F238E27FC236}">
              <a16:creationId xmlns:a16="http://schemas.microsoft.com/office/drawing/2014/main" id="{00000000-0008-0000-0000-00008D000000}"/>
            </a:ext>
          </a:extLst>
        </xdr:cNvPr>
        <xdr:cNvSpPr txBox="1"/>
      </xdr:nvSpPr>
      <xdr:spPr>
        <a:xfrm>
          <a:off x="8267700" y="3396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974" name="TextBox 3973">
          <a:extLst>
            <a:ext uri="{FF2B5EF4-FFF2-40B4-BE49-F238E27FC236}">
              <a16:creationId xmlns:a16="http://schemas.microsoft.com/office/drawing/2014/main" id="{00000000-0008-0000-0000-00008E000000}"/>
            </a:ext>
          </a:extLst>
        </xdr:cNvPr>
        <xdr:cNvSpPr txBox="1"/>
      </xdr:nvSpPr>
      <xdr:spPr>
        <a:xfrm>
          <a:off x="8267700" y="3396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975" name="TextBox 3974">
          <a:extLst>
            <a:ext uri="{FF2B5EF4-FFF2-40B4-BE49-F238E27FC236}">
              <a16:creationId xmlns:a16="http://schemas.microsoft.com/office/drawing/2014/main" id="{00000000-0008-0000-0000-00008F000000}"/>
            </a:ext>
          </a:extLst>
        </xdr:cNvPr>
        <xdr:cNvSpPr txBox="1"/>
      </xdr:nvSpPr>
      <xdr:spPr>
        <a:xfrm>
          <a:off x="8267700" y="3396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976" name="TextBox 3975">
          <a:extLst>
            <a:ext uri="{FF2B5EF4-FFF2-40B4-BE49-F238E27FC236}">
              <a16:creationId xmlns:a16="http://schemas.microsoft.com/office/drawing/2014/main" id="{00000000-0008-0000-0000-000090000000}"/>
            </a:ext>
          </a:extLst>
        </xdr:cNvPr>
        <xdr:cNvSpPr txBox="1"/>
      </xdr:nvSpPr>
      <xdr:spPr>
        <a:xfrm>
          <a:off x="8267700" y="3396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977" name="TextBox 3976">
          <a:extLst>
            <a:ext uri="{FF2B5EF4-FFF2-40B4-BE49-F238E27FC236}">
              <a16:creationId xmlns:a16="http://schemas.microsoft.com/office/drawing/2014/main" id="{00000000-0008-0000-0000-000091000000}"/>
            </a:ext>
          </a:extLst>
        </xdr:cNvPr>
        <xdr:cNvSpPr txBox="1"/>
      </xdr:nvSpPr>
      <xdr:spPr>
        <a:xfrm>
          <a:off x="8267700" y="3396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978" name="TextBox 3977">
          <a:extLst>
            <a:ext uri="{FF2B5EF4-FFF2-40B4-BE49-F238E27FC236}">
              <a16:creationId xmlns:a16="http://schemas.microsoft.com/office/drawing/2014/main" id="{00000000-0008-0000-0000-000092000000}"/>
            </a:ext>
          </a:extLst>
        </xdr:cNvPr>
        <xdr:cNvSpPr txBox="1"/>
      </xdr:nvSpPr>
      <xdr:spPr>
        <a:xfrm>
          <a:off x="8267700" y="3396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477" name="TextBox 4476">
          <a:extLst>
            <a:ext uri="{FF2B5EF4-FFF2-40B4-BE49-F238E27FC236}">
              <a16:creationId xmlns:a16="http://schemas.microsoft.com/office/drawing/2014/main" id="{00000000-0008-0000-0000-000093000000}"/>
            </a:ext>
          </a:extLst>
        </xdr:cNvPr>
        <xdr:cNvSpPr txBox="1"/>
      </xdr:nvSpPr>
      <xdr:spPr>
        <a:xfrm>
          <a:off x="8267700" y="3396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478" name="TextBox 4477">
          <a:extLst>
            <a:ext uri="{FF2B5EF4-FFF2-40B4-BE49-F238E27FC236}">
              <a16:creationId xmlns:a16="http://schemas.microsoft.com/office/drawing/2014/main" id="{00000000-0008-0000-0000-000094000000}"/>
            </a:ext>
          </a:extLst>
        </xdr:cNvPr>
        <xdr:cNvSpPr txBox="1"/>
      </xdr:nvSpPr>
      <xdr:spPr>
        <a:xfrm>
          <a:off x="8267700" y="3396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479" name="TextBox 4478">
          <a:extLst>
            <a:ext uri="{FF2B5EF4-FFF2-40B4-BE49-F238E27FC236}">
              <a16:creationId xmlns:a16="http://schemas.microsoft.com/office/drawing/2014/main" id="{00000000-0008-0000-0000-000095000000}"/>
            </a:ext>
          </a:extLst>
        </xdr:cNvPr>
        <xdr:cNvSpPr txBox="1"/>
      </xdr:nvSpPr>
      <xdr:spPr>
        <a:xfrm>
          <a:off x="8267700" y="3396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480" name="TextBox 4479">
          <a:extLst>
            <a:ext uri="{FF2B5EF4-FFF2-40B4-BE49-F238E27FC236}">
              <a16:creationId xmlns:a16="http://schemas.microsoft.com/office/drawing/2014/main" id="{00000000-0008-0000-0000-000096000000}"/>
            </a:ext>
          </a:extLst>
        </xdr:cNvPr>
        <xdr:cNvSpPr txBox="1"/>
      </xdr:nvSpPr>
      <xdr:spPr>
        <a:xfrm>
          <a:off x="8267700" y="3396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481" name="TextBox 4480">
          <a:extLst>
            <a:ext uri="{FF2B5EF4-FFF2-40B4-BE49-F238E27FC236}">
              <a16:creationId xmlns:a16="http://schemas.microsoft.com/office/drawing/2014/main" id="{00000000-0008-0000-0000-000097000000}"/>
            </a:ext>
          </a:extLst>
        </xdr:cNvPr>
        <xdr:cNvSpPr txBox="1"/>
      </xdr:nvSpPr>
      <xdr:spPr>
        <a:xfrm>
          <a:off x="8267700" y="3396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482" name="TextBox 4481">
          <a:extLst>
            <a:ext uri="{FF2B5EF4-FFF2-40B4-BE49-F238E27FC236}">
              <a16:creationId xmlns:a16="http://schemas.microsoft.com/office/drawing/2014/main" id="{00000000-0008-0000-0000-000098000000}"/>
            </a:ext>
          </a:extLst>
        </xdr:cNvPr>
        <xdr:cNvSpPr txBox="1"/>
      </xdr:nvSpPr>
      <xdr:spPr>
        <a:xfrm>
          <a:off x="8267700" y="3396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483" name="TextBox 4482">
          <a:extLst>
            <a:ext uri="{FF2B5EF4-FFF2-40B4-BE49-F238E27FC236}">
              <a16:creationId xmlns:a16="http://schemas.microsoft.com/office/drawing/2014/main" id="{00000000-0008-0000-0000-000099000000}"/>
            </a:ext>
          </a:extLst>
        </xdr:cNvPr>
        <xdr:cNvSpPr txBox="1"/>
      </xdr:nvSpPr>
      <xdr:spPr>
        <a:xfrm>
          <a:off x="8267700" y="3396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484" name="TextBox 4483">
          <a:extLst>
            <a:ext uri="{FF2B5EF4-FFF2-40B4-BE49-F238E27FC236}">
              <a16:creationId xmlns:a16="http://schemas.microsoft.com/office/drawing/2014/main" id="{00000000-0008-0000-0000-00009A000000}"/>
            </a:ext>
          </a:extLst>
        </xdr:cNvPr>
        <xdr:cNvSpPr txBox="1"/>
      </xdr:nvSpPr>
      <xdr:spPr>
        <a:xfrm>
          <a:off x="8267700" y="3396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485" name="TextBox 4484">
          <a:extLst>
            <a:ext uri="{FF2B5EF4-FFF2-40B4-BE49-F238E27FC236}">
              <a16:creationId xmlns:a16="http://schemas.microsoft.com/office/drawing/2014/main" id="{00000000-0008-0000-0000-00009B000000}"/>
            </a:ext>
          </a:extLst>
        </xdr:cNvPr>
        <xdr:cNvSpPr txBox="1"/>
      </xdr:nvSpPr>
      <xdr:spPr>
        <a:xfrm>
          <a:off x="8267700" y="3396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486" name="TextBox 4485">
          <a:extLst>
            <a:ext uri="{FF2B5EF4-FFF2-40B4-BE49-F238E27FC236}">
              <a16:creationId xmlns:a16="http://schemas.microsoft.com/office/drawing/2014/main" id="{00000000-0008-0000-0000-00009C000000}"/>
            </a:ext>
          </a:extLst>
        </xdr:cNvPr>
        <xdr:cNvSpPr txBox="1"/>
      </xdr:nvSpPr>
      <xdr:spPr>
        <a:xfrm>
          <a:off x="8267700" y="3396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487" name="TextBox 4486">
          <a:extLst>
            <a:ext uri="{FF2B5EF4-FFF2-40B4-BE49-F238E27FC236}">
              <a16:creationId xmlns:a16="http://schemas.microsoft.com/office/drawing/2014/main" id="{00000000-0008-0000-0000-00009D000000}"/>
            </a:ext>
          </a:extLst>
        </xdr:cNvPr>
        <xdr:cNvSpPr txBox="1"/>
      </xdr:nvSpPr>
      <xdr:spPr>
        <a:xfrm>
          <a:off x="8267700" y="3396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488" name="TextBox 4487">
          <a:extLst>
            <a:ext uri="{FF2B5EF4-FFF2-40B4-BE49-F238E27FC236}">
              <a16:creationId xmlns:a16="http://schemas.microsoft.com/office/drawing/2014/main" id="{00000000-0008-0000-0000-00009E000000}"/>
            </a:ext>
          </a:extLst>
        </xdr:cNvPr>
        <xdr:cNvSpPr txBox="1"/>
      </xdr:nvSpPr>
      <xdr:spPr>
        <a:xfrm>
          <a:off x="8267700" y="3396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489" name="TextBox 4488">
          <a:extLst>
            <a:ext uri="{FF2B5EF4-FFF2-40B4-BE49-F238E27FC236}">
              <a16:creationId xmlns:a16="http://schemas.microsoft.com/office/drawing/2014/main" id="{00000000-0008-0000-0000-00009F000000}"/>
            </a:ext>
          </a:extLst>
        </xdr:cNvPr>
        <xdr:cNvSpPr txBox="1"/>
      </xdr:nvSpPr>
      <xdr:spPr>
        <a:xfrm>
          <a:off x="8267700" y="3396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490" name="TextBox 4489">
          <a:extLst>
            <a:ext uri="{FF2B5EF4-FFF2-40B4-BE49-F238E27FC236}">
              <a16:creationId xmlns:a16="http://schemas.microsoft.com/office/drawing/2014/main" id="{00000000-0008-0000-0000-0000A0000000}"/>
            </a:ext>
          </a:extLst>
        </xdr:cNvPr>
        <xdr:cNvSpPr txBox="1"/>
      </xdr:nvSpPr>
      <xdr:spPr>
        <a:xfrm>
          <a:off x="8267700" y="3396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491" name="TextBox 4490">
          <a:extLst>
            <a:ext uri="{FF2B5EF4-FFF2-40B4-BE49-F238E27FC236}">
              <a16:creationId xmlns:a16="http://schemas.microsoft.com/office/drawing/2014/main" id="{00000000-0008-0000-0000-0000A1000000}"/>
            </a:ext>
          </a:extLst>
        </xdr:cNvPr>
        <xdr:cNvSpPr txBox="1"/>
      </xdr:nvSpPr>
      <xdr:spPr>
        <a:xfrm>
          <a:off x="8267700" y="3396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492" name="TextBox 4491">
          <a:extLst>
            <a:ext uri="{FF2B5EF4-FFF2-40B4-BE49-F238E27FC236}">
              <a16:creationId xmlns:a16="http://schemas.microsoft.com/office/drawing/2014/main" id="{00000000-0008-0000-0000-0000A2000000}"/>
            </a:ext>
          </a:extLst>
        </xdr:cNvPr>
        <xdr:cNvSpPr txBox="1"/>
      </xdr:nvSpPr>
      <xdr:spPr>
        <a:xfrm>
          <a:off x="8267700" y="3396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493" name="TextBox 4492">
          <a:extLst>
            <a:ext uri="{FF2B5EF4-FFF2-40B4-BE49-F238E27FC236}">
              <a16:creationId xmlns:a16="http://schemas.microsoft.com/office/drawing/2014/main" id="{00000000-0008-0000-0000-0000A3000000}"/>
            </a:ext>
          </a:extLst>
        </xdr:cNvPr>
        <xdr:cNvSpPr txBox="1"/>
      </xdr:nvSpPr>
      <xdr:spPr>
        <a:xfrm>
          <a:off x="8267700" y="3396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494" name="TextBox 4493">
          <a:extLst>
            <a:ext uri="{FF2B5EF4-FFF2-40B4-BE49-F238E27FC236}">
              <a16:creationId xmlns:a16="http://schemas.microsoft.com/office/drawing/2014/main" id="{00000000-0008-0000-0000-0000A4000000}"/>
            </a:ext>
          </a:extLst>
        </xdr:cNvPr>
        <xdr:cNvSpPr txBox="1"/>
      </xdr:nvSpPr>
      <xdr:spPr>
        <a:xfrm>
          <a:off x="8267700" y="3396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495" name="TextBox 4494">
          <a:extLst>
            <a:ext uri="{FF2B5EF4-FFF2-40B4-BE49-F238E27FC236}">
              <a16:creationId xmlns:a16="http://schemas.microsoft.com/office/drawing/2014/main" id="{00000000-0008-0000-0000-0000A5000000}"/>
            </a:ext>
          </a:extLst>
        </xdr:cNvPr>
        <xdr:cNvSpPr txBox="1"/>
      </xdr:nvSpPr>
      <xdr:spPr>
        <a:xfrm>
          <a:off x="8267700" y="3396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496" name="TextBox 4495">
          <a:extLst>
            <a:ext uri="{FF2B5EF4-FFF2-40B4-BE49-F238E27FC236}">
              <a16:creationId xmlns:a16="http://schemas.microsoft.com/office/drawing/2014/main" id="{00000000-0008-0000-0000-0000A6000000}"/>
            </a:ext>
          </a:extLst>
        </xdr:cNvPr>
        <xdr:cNvSpPr txBox="1"/>
      </xdr:nvSpPr>
      <xdr:spPr>
        <a:xfrm>
          <a:off x="8267700" y="3396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497" name="TextBox 4496">
          <a:extLst>
            <a:ext uri="{FF2B5EF4-FFF2-40B4-BE49-F238E27FC236}">
              <a16:creationId xmlns:a16="http://schemas.microsoft.com/office/drawing/2014/main" id="{00000000-0008-0000-0000-0000A7000000}"/>
            </a:ext>
          </a:extLst>
        </xdr:cNvPr>
        <xdr:cNvSpPr txBox="1"/>
      </xdr:nvSpPr>
      <xdr:spPr>
        <a:xfrm>
          <a:off x="8267700" y="3396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498" name="TextBox 4497">
          <a:extLst>
            <a:ext uri="{FF2B5EF4-FFF2-40B4-BE49-F238E27FC236}">
              <a16:creationId xmlns:a16="http://schemas.microsoft.com/office/drawing/2014/main" id="{00000000-0008-0000-0000-0000A8000000}"/>
            </a:ext>
          </a:extLst>
        </xdr:cNvPr>
        <xdr:cNvSpPr txBox="1"/>
      </xdr:nvSpPr>
      <xdr:spPr>
        <a:xfrm>
          <a:off x="8267700" y="3396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499" name="TextBox 4498">
          <a:extLst>
            <a:ext uri="{FF2B5EF4-FFF2-40B4-BE49-F238E27FC236}">
              <a16:creationId xmlns:a16="http://schemas.microsoft.com/office/drawing/2014/main" id="{00000000-0008-0000-0000-0000A9000000}"/>
            </a:ext>
          </a:extLst>
        </xdr:cNvPr>
        <xdr:cNvSpPr txBox="1"/>
      </xdr:nvSpPr>
      <xdr:spPr>
        <a:xfrm>
          <a:off x="8267700" y="3396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500" name="TextBox 4499">
          <a:extLst>
            <a:ext uri="{FF2B5EF4-FFF2-40B4-BE49-F238E27FC236}">
              <a16:creationId xmlns:a16="http://schemas.microsoft.com/office/drawing/2014/main" id="{00000000-0008-0000-0000-0000AA000000}"/>
            </a:ext>
          </a:extLst>
        </xdr:cNvPr>
        <xdr:cNvSpPr txBox="1"/>
      </xdr:nvSpPr>
      <xdr:spPr>
        <a:xfrm>
          <a:off x="8267700" y="3396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501" name="TextBox 4500">
          <a:extLst>
            <a:ext uri="{FF2B5EF4-FFF2-40B4-BE49-F238E27FC236}">
              <a16:creationId xmlns:a16="http://schemas.microsoft.com/office/drawing/2014/main" id="{00000000-0008-0000-0000-0000AB000000}"/>
            </a:ext>
          </a:extLst>
        </xdr:cNvPr>
        <xdr:cNvSpPr txBox="1"/>
      </xdr:nvSpPr>
      <xdr:spPr>
        <a:xfrm>
          <a:off x="8267700" y="3396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502" name="TextBox 4501">
          <a:extLst>
            <a:ext uri="{FF2B5EF4-FFF2-40B4-BE49-F238E27FC236}">
              <a16:creationId xmlns:a16="http://schemas.microsoft.com/office/drawing/2014/main" id="{00000000-0008-0000-0000-0000AC000000}"/>
            </a:ext>
          </a:extLst>
        </xdr:cNvPr>
        <xdr:cNvSpPr txBox="1"/>
      </xdr:nvSpPr>
      <xdr:spPr>
        <a:xfrm>
          <a:off x="8267700" y="3396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503" name="TextBox 4502">
          <a:extLst>
            <a:ext uri="{FF2B5EF4-FFF2-40B4-BE49-F238E27FC236}">
              <a16:creationId xmlns:a16="http://schemas.microsoft.com/office/drawing/2014/main" id="{00000000-0008-0000-0000-0000AD000000}"/>
            </a:ext>
          </a:extLst>
        </xdr:cNvPr>
        <xdr:cNvSpPr txBox="1"/>
      </xdr:nvSpPr>
      <xdr:spPr>
        <a:xfrm>
          <a:off x="8267700" y="3396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504" name="TextBox 4503">
          <a:extLst>
            <a:ext uri="{FF2B5EF4-FFF2-40B4-BE49-F238E27FC236}">
              <a16:creationId xmlns:a16="http://schemas.microsoft.com/office/drawing/2014/main" id="{00000000-0008-0000-0000-0000AE000000}"/>
            </a:ext>
          </a:extLst>
        </xdr:cNvPr>
        <xdr:cNvSpPr txBox="1"/>
      </xdr:nvSpPr>
      <xdr:spPr>
        <a:xfrm>
          <a:off x="8267700" y="3396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505" name="TextBox 4504">
          <a:extLst>
            <a:ext uri="{FF2B5EF4-FFF2-40B4-BE49-F238E27FC236}">
              <a16:creationId xmlns:a16="http://schemas.microsoft.com/office/drawing/2014/main" id="{00000000-0008-0000-0000-0000AF000000}"/>
            </a:ext>
          </a:extLst>
        </xdr:cNvPr>
        <xdr:cNvSpPr txBox="1"/>
      </xdr:nvSpPr>
      <xdr:spPr>
        <a:xfrm>
          <a:off x="8267700" y="3396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506" name="TextBox 4505">
          <a:extLst>
            <a:ext uri="{FF2B5EF4-FFF2-40B4-BE49-F238E27FC236}">
              <a16:creationId xmlns:a16="http://schemas.microsoft.com/office/drawing/2014/main" id="{00000000-0008-0000-0000-0000B0000000}"/>
            </a:ext>
          </a:extLst>
        </xdr:cNvPr>
        <xdr:cNvSpPr txBox="1"/>
      </xdr:nvSpPr>
      <xdr:spPr>
        <a:xfrm>
          <a:off x="12580620" y="3396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507" name="TextBox 4506">
          <a:extLst>
            <a:ext uri="{FF2B5EF4-FFF2-40B4-BE49-F238E27FC236}">
              <a16:creationId xmlns:a16="http://schemas.microsoft.com/office/drawing/2014/main" id="{00000000-0008-0000-0000-0000B1000000}"/>
            </a:ext>
          </a:extLst>
        </xdr:cNvPr>
        <xdr:cNvSpPr txBox="1"/>
      </xdr:nvSpPr>
      <xdr:spPr>
        <a:xfrm>
          <a:off x="12580620" y="3396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508" name="TextBox 4507">
          <a:extLst>
            <a:ext uri="{FF2B5EF4-FFF2-40B4-BE49-F238E27FC236}">
              <a16:creationId xmlns:a16="http://schemas.microsoft.com/office/drawing/2014/main" id="{00000000-0008-0000-0000-0000B2000000}"/>
            </a:ext>
          </a:extLst>
        </xdr:cNvPr>
        <xdr:cNvSpPr txBox="1"/>
      </xdr:nvSpPr>
      <xdr:spPr>
        <a:xfrm>
          <a:off x="12580620" y="3396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509" name="TextBox 4508">
          <a:extLst>
            <a:ext uri="{FF2B5EF4-FFF2-40B4-BE49-F238E27FC236}">
              <a16:creationId xmlns:a16="http://schemas.microsoft.com/office/drawing/2014/main" id="{00000000-0008-0000-0000-0000B3000000}"/>
            </a:ext>
          </a:extLst>
        </xdr:cNvPr>
        <xdr:cNvSpPr txBox="1"/>
      </xdr:nvSpPr>
      <xdr:spPr>
        <a:xfrm>
          <a:off x="12580620" y="3396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510" name="TextBox 4509">
          <a:extLst>
            <a:ext uri="{FF2B5EF4-FFF2-40B4-BE49-F238E27FC236}">
              <a16:creationId xmlns:a16="http://schemas.microsoft.com/office/drawing/2014/main" id="{00000000-0008-0000-0000-0000B4000000}"/>
            </a:ext>
          </a:extLst>
        </xdr:cNvPr>
        <xdr:cNvSpPr txBox="1"/>
      </xdr:nvSpPr>
      <xdr:spPr>
        <a:xfrm>
          <a:off x="12580620" y="3396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511" name="TextBox 4510">
          <a:extLst>
            <a:ext uri="{FF2B5EF4-FFF2-40B4-BE49-F238E27FC236}">
              <a16:creationId xmlns:a16="http://schemas.microsoft.com/office/drawing/2014/main" id="{00000000-0008-0000-0000-0000B5000000}"/>
            </a:ext>
          </a:extLst>
        </xdr:cNvPr>
        <xdr:cNvSpPr txBox="1"/>
      </xdr:nvSpPr>
      <xdr:spPr>
        <a:xfrm>
          <a:off x="12580620" y="3396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512" name="TextBox 4511">
          <a:extLst>
            <a:ext uri="{FF2B5EF4-FFF2-40B4-BE49-F238E27FC236}">
              <a16:creationId xmlns:a16="http://schemas.microsoft.com/office/drawing/2014/main" id="{00000000-0008-0000-0000-0000B6000000}"/>
            </a:ext>
          </a:extLst>
        </xdr:cNvPr>
        <xdr:cNvSpPr txBox="1"/>
      </xdr:nvSpPr>
      <xdr:spPr>
        <a:xfrm>
          <a:off x="12580620" y="3396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513" name="TextBox 4512">
          <a:extLst>
            <a:ext uri="{FF2B5EF4-FFF2-40B4-BE49-F238E27FC236}">
              <a16:creationId xmlns:a16="http://schemas.microsoft.com/office/drawing/2014/main" id="{00000000-0008-0000-0000-0000B7000000}"/>
            </a:ext>
          </a:extLst>
        </xdr:cNvPr>
        <xdr:cNvSpPr txBox="1"/>
      </xdr:nvSpPr>
      <xdr:spPr>
        <a:xfrm>
          <a:off x="12580620" y="3396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514" name="TextBox 4513">
          <a:extLst>
            <a:ext uri="{FF2B5EF4-FFF2-40B4-BE49-F238E27FC236}">
              <a16:creationId xmlns:a16="http://schemas.microsoft.com/office/drawing/2014/main" id="{00000000-0008-0000-0000-0000B8000000}"/>
            </a:ext>
          </a:extLst>
        </xdr:cNvPr>
        <xdr:cNvSpPr txBox="1"/>
      </xdr:nvSpPr>
      <xdr:spPr>
        <a:xfrm>
          <a:off x="8267700" y="341680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515" name="TextBox 4514">
          <a:extLst>
            <a:ext uri="{FF2B5EF4-FFF2-40B4-BE49-F238E27FC236}">
              <a16:creationId xmlns:a16="http://schemas.microsoft.com/office/drawing/2014/main" id="{00000000-0008-0000-0000-0000B9000000}"/>
            </a:ext>
          </a:extLst>
        </xdr:cNvPr>
        <xdr:cNvSpPr txBox="1"/>
      </xdr:nvSpPr>
      <xdr:spPr>
        <a:xfrm>
          <a:off x="8267700" y="341680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516" name="TextBox 4515">
          <a:extLst>
            <a:ext uri="{FF2B5EF4-FFF2-40B4-BE49-F238E27FC236}">
              <a16:creationId xmlns:a16="http://schemas.microsoft.com/office/drawing/2014/main" id="{00000000-0008-0000-0000-0000BA000000}"/>
            </a:ext>
          </a:extLst>
        </xdr:cNvPr>
        <xdr:cNvSpPr txBox="1"/>
      </xdr:nvSpPr>
      <xdr:spPr>
        <a:xfrm>
          <a:off x="8267700" y="341680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517" name="TextBox 4516">
          <a:extLst>
            <a:ext uri="{FF2B5EF4-FFF2-40B4-BE49-F238E27FC236}">
              <a16:creationId xmlns:a16="http://schemas.microsoft.com/office/drawing/2014/main" id="{00000000-0008-0000-0000-0000BB000000}"/>
            </a:ext>
          </a:extLst>
        </xdr:cNvPr>
        <xdr:cNvSpPr txBox="1"/>
      </xdr:nvSpPr>
      <xdr:spPr>
        <a:xfrm>
          <a:off x="8267700" y="341680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518" name="TextBox 4517">
          <a:extLst>
            <a:ext uri="{FF2B5EF4-FFF2-40B4-BE49-F238E27FC236}">
              <a16:creationId xmlns:a16="http://schemas.microsoft.com/office/drawing/2014/main" id="{00000000-0008-0000-0000-0000BC000000}"/>
            </a:ext>
          </a:extLst>
        </xdr:cNvPr>
        <xdr:cNvSpPr txBox="1"/>
      </xdr:nvSpPr>
      <xdr:spPr>
        <a:xfrm>
          <a:off x="8267700" y="341680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519" name="TextBox 4518">
          <a:extLst>
            <a:ext uri="{FF2B5EF4-FFF2-40B4-BE49-F238E27FC236}">
              <a16:creationId xmlns:a16="http://schemas.microsoft.com/office/drawing/2014/main" id="{00000000-0008-0000-0000-0000BD000000}"/>
            </a:ext>
          </a:extLst>
        </xdr:cNvPr>
        <xdr:cNvSpPr txBox="1"/>
      </xdr:nvSpPr>
      <xdr:spPr>
        <a:xfrm>
          <a:off x="8267700" y="341680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520" name="TextBox 4519">
          <a:extLst>
            <a:ext uri="{FF2B5EF4-FFF2-40B4-BE49-F238E27FC236}">
              <a16:creationId xmlns:a16="http://schemas.microsoft.com/office/drawing/2014/main" id="{00000000-0008-0000-0000-0000BE000000}"/>
            </a:ext>
          </a:extLst>
        </xdr:cNvPr>
        <xdr:cNvSpPr txBox="1"/>
      </xdr:nvSpPr>
      <xdr:spPr>
        <a:xfrm>
          <a:off x="8267700" y="341680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521" name="TextBox 4520">
          <a:extLst>
            <a:ext uri="{FF2B5EF4-FFF2-40B4-BE49-F238E27FC236}">
              <a16:creationId xmlns:a16="http://schemas.microsoft.com/office/drawing/2014/main" id="{00000000-0008-0000-0000-0000BF000000}"/>
            </a:ext>
          </a:extLst>
        </xdr:cNvPr>
        <xdr:cNvSpPr txBox="1"/>
      </xdr:nvSpPr>
      <xdr:spPr>
        <a:xfrm>
          <a:off x="8267700" y="341680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522" name="TextBox 4521">
          <a:extLst>
            <a:ext uri="{FF2B5EF4-FFF2-40B4-BE49-F238E27FC236}">
              <a16:creationId xmlns:a16="http://schemas.microsoft.com/office/drawing/2014/main" id="{00000000-0008-0000-0000-0000C0000000}"/>
            </a:ext>
          </a:extLst>
        </xdr:cNvPr>
        <xdr:cNvSpPr txBox="1"/>
      </xdr:nvSpPr>
      <xdr:spPr>
        <a:xfrm>
          <a:off x="8267700" y="341680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523" name="TextBox 4522">
          <a:extLst>
            <a:ext uri="{FF2B5EF4-FFF2-40B4-BE49-F238E27FC236}">
              <a16:creationId xmlns:a16="http://schemas.microsoft.com/office/drawing/2014/main" id="{00000000-0008-0000-0000-0000C1000000}"/>
            </a:ext>
          </a:extLst>
        </xdr:cNvPr>
        <xdr:cNvSpPr txBox="1"/>
      </xdr:nvSpPr>
      <xdr:spPr>
        <a:xfrm>
          <a:off x="8267700" y="341680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524" name="TextBox 4523">
          <a:extLst>
            <a:ext uri="{FF2B5EF4-FFF2-40B4-BE49-F238E27FC236}">
              <a16:creationId xmlns:a16="http://schemas.microsoft.com/office/drawing/2014/main" id="{00000000-0008-0000-0000-0000C2000000}"/>
            </a:ext>
          </a:extLst>
        </xdr:cNvPr>
        <xdr:cNvSpPr txBox="1"/>
      </xdr:nvSpPr>
      <xdr:spPr>
        <a:xfrm>
          <a:off x="8267700" y="341680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525" name="TextBox 4524">
          <a:extLst>
            <a:ext uri="{FF2B5EF4-FFF2-40B4-BE49-F238E27FC236}">
              <a16:creationId xmlns:a16="http://schemas.microsoft.com/office/drawing/2014/main" id="{00000000-0008-0000-0000-0000C3000000}"/>
            </a:ext>
          </a:extLst>
        </xdr:cNvPr>
        <xdr:cNvSpPr txBox="1"/>
      </xdr:nvSpPr>
      <xdr:spPr>
        <a:xfrm>
          <a:off x="8267700" y="341680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526" name="TextBox 4525">
          <a:extLst>
            <a:ext uri="{FF2B5EF4-FFF2-40B4-BE49-F238E27FC236}">
              <a16:creationId xmlns:a16="http://schemas.microsoft.com/office/drawing/2014/main" id="{00000000-0008-0000-0000-0000C4000000}"/>
            </a:ext>
          </a:extLst>
        </xdr:cNvPr>
        <xdr:cNvSpPr txBox="1"/>
      </xdr:nvSpPr>
      <xdr:spPr>
        <a:xfrm>
          <a:off x="8267700" y="341680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527" name="TextBox 4526">
          <a:extLst>
            <a:ext uri="{FF2B5EF4-FFF2-40B4-BE49-F238E27FC236}">
              <a16:creationId xmlns:a16="http://schemas.microsoft.com/office/drawing/2014/main" id="{00000000-0008-0000-0000-0000C5000000}"/>
            </a:ext>
          </a:extLst>
        </xdr:cNvPr>
        <xdr:cNvSpPr txBox="1"/>
      </xdr:nvSpPr>
      <xdr:spPr>
        <a:xfrm>
          <a:off x="8267700" y="341680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528" name="TextBox 4527">
          <a:extLst>
            <a:ext uri="{FF2B5EF4-FFF2-40B4-BE49-F238E27FC236}">
              <a16:creationId xmlns:a16="http://schemas.microsoft.com/office/drawing/2014/main" id="{00000000-0008-0000-0000-0000C6000000}"/>
            </a:ext>
          </a:extLst>
        </xdr:cNvPr>
        <xdr:cNvSpPr txBox="1"/>
      </xdr:nvSpPr>
      <xdr:spPr>
        <a:xfrm>
          <a:off x="8267700" y="341680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529" name="TextBox 4528">
          <a:extLst>
            <a:ext uri="{FF2B5EF4-FFF2-40B4-BE49-F238E27FC236}">
              <a16:creationId xmlns:a16="http://schemas.microsoft.com/office/drawing/2014/main" id="{00000000-0008-0000-0000-0000C7000000}"/>
            </a:ext>
          </a:extLst>
        </xdr:cNvPr>
        <xdr:cNvSpPr txBox="1"/>
      </xdr:nvSpPr>
      <xdr:spPr>
        <a:xfrm>
          <a:off x="8267700" y="341680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530" name="TextBox 4529">
          <a:extLst>
            <a:ext uri="{FF2B5EF4-FFF2-40B4-BE49-F238E27FC236}">
              <a16:creationId xmlns:a16="http://schemas.microsoft.com/office/drawing/2014/main" id="{00000000-0008-0000-0000-0000C8000000}"/>
            </a:ext>
          </a:extLst>
        </xdr:cNvPr>
        <xdr:cNvSpPr txBox="1"/>
      </xdr:nvSpPr>
      <xdr:spPr>
        <a:xfrm>
          <a:off x="8267700" y="341680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531" name="TextBox 4530">
          <a:extLst>
            <a:ext uri="{FF2B5EF4-FFF2-40B4-BE49-F238E27FC236}">
              <a16:creationId xmlns:a16="http://schemas.microsoft.com/office/drawing/2014/main" id="{00000000-0008-0000-0000-0000C9000000}"/>
            </a:ext>
          </a:extLst>
        </xdr:cNvPr>
        <xdr:cNvSpPr txBox="1"/>
      </xdr:nvSpPr>
      <xdr:spPr>
        <a:xfrm>
          <a:off x="8267700" y="341680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532" name="TextBox 4531">
          <a:extLst>
            <a:ext uri="{FF2B5EF4-FFF2-40B4-BE49-F238E27FC236}">
              <a16:creationId xmlns:a16="http://schemas.microsoft.com/office/drawing/2014/main" id="{00000000-0008-0000-0000-0000CA000000}"/>
            </a:ext>
          </a:extLst>
        </xdr:cNvPr>
        <xdr:cNvSpPr txBox="1"/>
      </xdr:nvSpPr>
      <xdr:spPr>
        <a:xfrm>
          <a:off x="8267700" y="341680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533" name="TextBox 4532">
          <a:extLst>
            <a:ext uri="{FF2B5EF4-FFF2-40B4-BE49-F238E27FC236}">
              <a16:creationId xmlns:a16="http://schemas.microsoft.com/office/drawing/2014/main" id="{00000000-0008-0000-0000-0000CB000000}"/>
            </a:ext>
          </a:extLst>
        </xdr:cNvPr>
        <xdr:cNvSpPr txBox="1"/>
      </xdr:nvSpPr>
      <xdr:spPr>
        <a:xfrm>
          <a:off x="8267700" y="341680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534" name="TextBox 4533">
          <a:extLst>
            <a:ext uri="{FF2B5EF4-FFF2-40B4-BE49-F238E27FC236}">
              <a16:creationId xmlns:a16="http://schemas.microsoft.com/office/drawing/2014/main" id="{00000000-0008-0000-0000-0000CC000000}"/>
            </a:ext>
          </a:extLst>
        </xdr:cNvPr>
        <xdr:cNvSpPr txBox="1"/>
      </xdr:nvSpPr>
      <xdr:spPr>
        <a:xfrm>
          <a:off x="8267700" y="341680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535" name="TextBox 4534">
          <a:extLst>
            <a:ext uri="{FF2B5EF4-FFF2-40B4-BE49-F238E27FC236}">
              <a16:creationId xmlns:a16="http://schemas.microsoft.com/office/drawing/2014/main" id="{00000000-0008-0000-0000-0000CD000000}"/>
            </a:ext>
          </a:extLst>
        </xdr:cNvPr>
        <xdr:cNvSpPr txBox="1"/>
      </xdr:nvSpPr>
      <xdr:spPr>
        <a:xfrm>
          <a:off x="8267700" y="341680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536" name="TextBox 4535">
          <a:extLst>
            <a:ext uri="{FF2B5EF4-FFF2-40B4-BE49-F238E27FC236}">
              <a16:creationId xmlns:a16="http://schemas.microsoft.com/office/drawing/2014/main" id="{00000000-0008-0000-0000-0000CE000000}"/>
            </a:ext>
          </a:extLst>
        </xdr:cNvPr>
        <xdr:cNvSpPr txBox="1"/>
      </xdr:nvSpPr>
      <xdr:spPr>
        <a:xfrm>
          <a:off x="8267700" y="341680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537" name="TextBox 4536">
          <a:extLst>
            <a:ext uri="{FF2B5EF4-FFF2-40B4-BE49-F238E27FC236}">
              <a16:creationId xmlns:a16="http://schemas.microsoft.com/office/drawing/2014/main" id="{00000000-0008-0000-0000-0000CF000000}"/>
            </a:ext>
          </a:extLst>
        </xdr:cNvPr>
        <xdr:cNvSpPr txBox="1"/>
      </xdr:nvSpPr>
      <xdr:spPr>
        <a:xfrm>
          <a:off x="8267700" y="341680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538" name="TextBox 4537">
          <a:extLst>
            <a:ext uri="{FF2B5EF4-FFF2-40B4-BE49-F238E27FC236}">
              <a16:creationId xmlns:a16="http://schemas.microsoft.com/office/drawing/2014/main" id="{00000000-0008-0000-0000-0000D0000000}"/>
            </a:ext>
          </a:extLst>
        </xdr:cNvPr>
        <xdr:cNvSpPr txBox="1"/>
      </xdr:nvSpPr>
      <xdr:spPr>
        <a:xfrm>
          <a:off x="8267700" y="341680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539" name="TextBox 4538">
          <a:extLst>
            <a:ext uri="{FF2B5EF4-FFF2-40B4-BE49-F238E27FC236}">
              <a16:creationId xmlns:a16="http://schemas.microsoft.com/office/drawing/2014/main" id="{00000000-0008-0000-0000-0000D1000000}"/>
            </a:ext>
          </a:extLst>
        </xdr:cNvPr>
        <xdr:cNvSpPr txBox="1"/>
      </xdr:nvSpPr>
      <xdr:spPr>
        <a:xfrm>
          <a:off x="8267700" y="341680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540" name="TextBox 4539">
          <a:extLst>
            <a:ext uri="{FF2B5EF4-FFF2-40B4-BE49-F238E27FC236}">
              <a16:creationId xmlns:a16="http://schemas.microsoft.com/office/drawing/2014/main" id="{00000000-0008-0000-0000-0000D2000000}"/>
            </a:ext>
          </a:extLst>
        </xdr:cNvPr>
        <xdr:cNvSpPr txBox="1"/>
      </xdr:nvSpPr>
      <xdr:spPr>
        <a:xfrm>
          <a:off x="8267700" y="341680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541" name="TextBox 4540">
          <a:extLst>
            <a:ext uri="{FF2B5EF4-FFF2-40B4-BE49-F238E27FC236}">
              <a16:creationId xmlns:a16="http://schemas.microsoft.com/office/drawing/2014/main" id="{00000000-0008-0000-0000-0000D3000000}"/>
            </a:ext>
          </a:extLst>
        </xdr:cNvPr>
        <xdr:cNvSpPr txBox="1"/>
      </xdr:nvSpPr>
      <xdr:spPr>
        <a:xfrm>
          <a:off x="8267700" y="341680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542" name="TextBox 4541">
          <a:extLst>
            <a:ext uri="{FF2B5EF4-FFF2-40B4-BE49-F238E27FC236}">
              <a16:creationId xmlns:a16="http://schemas.microsoft.com/office/drawing/2014/main" id="{00000000-0008-0000-0000-0000D4000000}"/>
            </a:ext>
          </a:extLst>
        </xdr:cNvPr>
        <xdr:cNvSpPr txBox="1"/>
      </xdr:nvSpPr>
      <xdr:spPr>
        <a:xfrm>
          <a:off x="8267700" y="341680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543" name="TextBox 4542">
          <a:extLst>
            <a:ext uri="{FF2B5EF4-FFF2-40B4-BE49-F238E27FC236}">
              <a16:creationId xmlns:a16="http://schemas.microsoft.com/office/drawing/2014/main" id="{00000000-0008-0000-0000-0000D5000000}"/>
            </a:ext>
          </a:extLst>
        </xdr:cNvPr>
        <xdr:cNvSpPr txBox="1"/>
      </xdr:nvSpPr>
      <xdr:spPr>
        <a:xfrm>
          <a:off x="8267700" y="341680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544" name="TextBox 4543">
          <a:extLst>
            <a:ext uri="{FF2B5EF4-FFF2-40B4-BE49-F238E27FC236}">
              <a16:creationId xmlns:a16="http://schemas.microsoft.com/office/drawing/2014/main" id="{00000000-0008-0000-0000-0000D6000000}"/>
            </a:ext>
          </a:extLst>
        </xdr:cNvPr>
        <xdr:cNvSpPr txBox="1"/>
      </xdr:nvSpPr>
      <xdr:spPr>
        <a:xfrm>
          <a:off x="8267700" y="341680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545" name="TextBox 4544">
          <a:extLst>
            <a:ext uri="{FF2B5EF4-FFF2-40B4-BE49-F238E27FC236}">
              <a16:creationId xmlns:a16="http://schemas.microsoft.com/office/drawing/2014/main" id="{00000000-0008-0000-0000-0000D7000000}"/>
            </a:ext>
          </a:extLst>
        </xdr:cNvPr>
        <xdr:cNvSpPr txBox="1"/>
      </xdr:nvSpPr>
      <xdr:spPr>
        <a:xfrm>
          <a:off x="8267700" y="341680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546" name="TextBox 4545">
          <a:extLst>
            <a:ext uri="{FF2B5EF4-FFF2-40B4-BE49-F238E27FC236}">
              <a16:creationId xmlns:a16="http://schemas.microsoft.com/office/drawing/2014/main" id="{00000000-0008-0000-0000-0000D8000000}"/>
            </a:ext>
          </a:extLst>
        </xdr:cNvPr>
        <xdr:cNvSpPr txBox="1"/>
      </xdr:nvSpPr>
      <xdr:spPr>
        <a:xfrm>
          <a:off x="8267700" y="341680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547" name="TextBox 4546">
          <a:extLst>
            <a:ext uri="{FF2B5EF4-FFF2-40B4-BE49-F238E27FC236}">
              <a16:creationId xmlns:a16="http://schemas.microsoft.com/office/drawing/2014/main" id="{00000000-0008-0000-0000-0000D9000000}"/>
            </a:ext>
          </a:extLst>
        </xdr:cNvPr>
        <xdr:cNvSpPr txBox="1"/>
      </xdr:nvSpPr>
      <xdr:spPr>
        <a:xfrm>
          <a:off x="8267700" y="341680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548" name="TextBox 4547">
          <a:extLst>
            <a:ext uri="{FF2B5EF4-FFF2-40B4-BE49-F238E27FC236}">
              <a16:creationId xmlns:a16="http://schemas.microsoft.com/office/drawing/2014/main" id="{00000000-0008-0000-0000-0000DA000000}"/>
            </a:ext>
          </a:extLst>
        </xdr:cNvPr>
        <xdr:cNvSpPr txBox="1"/>
      </xdr:nvSpPr>
      <xdr:spPr>
        <a:xfrm>
          <a:off x="8267700" y="341680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549" name="TextBox 4548">
          <a:extLst>
            <a:ext uri="{FF2B5EF4-FFF2-40B4-BE49-F238E27FC236}">
              <a16:creationId xmlns:a16="http://schemas.microsoft.com/office/drawing/2014/main" id="{00000000-0008-0000-0000-0000DB000000}"/>
            </a:ext>
          </a:extLst>
        </xdr:cNvPr>
        <xdr:cNvSpPr txBox="1"/>
      </xdr:nvSpPr>
      <xdr:spPr>
        <a:xfrm>
          <a:off x="8267700" y="341680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550" name="TextBox 4549">
          <a:extLst>
            <a:ext uri="{FF2B5EF4-FFF2-40B4-BE49-F238E27FC236}">
              <a16:creationId xmlns:a16="http://schemas.microsoft.com/office/drawing/2014/main" id="{00000000-0008-0000-0000-0000DC000000}"/>
            </a:ext>
          </a:extLst>
        </xdr:cNvPr>
        <xdr:cNvSpPr txBox="1"/>
      </xdr:nvSpPr>
      <xdr:spPr>
        <a:xfrm>
          <a:off x="8267700" y="341680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551" name="TextBox 4550">
          <a:extLst>
            <a:ext uri="{FF2B5EF4-FFF2-40B4-BE49-F238E27FC236}">
              <a16:creationId xmlns:a16="http://schemas.microsoft.com/office/drawing/2014/main" id="{00000000-0008-0000-0000-0000DD000000}"/>
            </a:ext>
          </a:extLst>
        </xdr:cNvPr>
        <xdr:cNvSpPr txBox="1"/>
      </xdr:nvSpPr>
      <xdr:spPr>
        <a:xfrm>
          <a:off x="8267700" y="341680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552" name="TextBox 4551">
          <a:extLst>
            <a:ext uri="{FF2B5EF4-FFF2-40B4-BE49-F238E27FC236}">
              <a16:creationId xmlns:a16="http://schemas.microsoft.com/office/drawing/2014/main" id="{00000000-0008-0000-0000-0000DE000000}"/>
            </a:ext>
          </a:extLst>
        </xdr:cNvPr>
        <xdr:cNvSpPr txBox="1"/>
      </xdr:nvSpPr>
      <xdr:spPr>
        <a:xfrm>
          <a:off x="8267700" y="341680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553" name="TextBox 4552">
          <a:extLst>
            <a:ext uri="{FF2B5EF4-FFF2-40B4-BE49-F238E27FC236}">
              <a16:creationId xmlns:a16="http://schemas.microsoft.com/office/drawing/2014/main" id="{00000000-0008-0000-0000-0000DF000000}"/>
            </a:ext>
          </a:extLst>
        </xdr:cNvPr>
        <xdr:cNvSpPr txBox="1"/>
      </xdr:nvSpPr>
      <xdr:spPr>
        <a:xfrm>
          <a:off x="8267700" y="341680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554" name="TextBox 4553">
          <a:extLst>
            <a:ext uri="{FF2B5EF4-FFF2-40B4-BE49-F238E27FC236}">
              <a16:creationId xmlns:a16="http://schemas.microsoft.com/office/drawing/2014/main" id="{00000000-0008-0000-0000-0000E0000000}"/>
            </a:ext>
          </a:extLst>
        </xdr:cNvPr>
        <xdr:cNvSpPr txBox="1"/>
      </xdr:nvSpPr>
      <xdr:spPr>
        <a:xfrm>
          <a:off x="8267700" y="341680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555" name="TextBox 4554">
          <a:extLst>
            <a:ext uri="{FF2B5EF4-FFF2-40B4-BE49-F238E27FC236}">
              <a16:creationId xmlns:a16="http://schemas.microsoft.com/office/drawing/2014/main" id="{00000000-0008-0000-0000-0000E1000000}"/>
            </a:ext>
          </a:extLst>
        </xdr:cNvPr>
        <xdr:cNvSpPr txBox="1"/>
      </xdr:nvSpPr>
      <xdr:spPr>
        <a:xfrm>
          <a:off x="8267700" y="341680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556" name="TextBox 4555">
          <a:extLst>
            <a:ext uri="{FF2B5EF4-FFF2-40B4-BE49-F238E27FC236}">
              <a16:creationId xmlns:a16="http://schemas.microsoft.com/office/drawing/2014/main" id="{00000000-0008-0000-0000-0000E2000000}"/>
            </a:ext>
          </a:extLst>
        </xdr:cNvPr>
        <xdr:cNvSpPr txBox="1"/>
      </xdr:nvSpPr>
      <xdr:spPr>
        <a:xfrm>
          <a:off x="8267700" y="341680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557" name="TextBox 4556">
          <a:extLst>
            <a:ext uri="{FF2B5EF4-FFF2-40B4-BE49-F238E27FC236}">
              <a16:creationId xmlns:a16="http://schemas.microsoft.com/office/drawing/2014/main" id="{00000000-0008-0000-0000-0000E3000000}"/>
            </a:ext>
          </a:extLst>
        </xdr:cNvPr>
        <xdr:cNvSpPr txBox="1"/>
      </xdr:nvSpPr>
      <xdr:spPr>
        <a:xfrm>
          <a:off x="8267700" y="341680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558" name="TextBox 4557">
          <a:extLst>
            <a:ext uri="{FF2B5EF4-FFF2-40B4-BE49-F238E27FC236}">
              <a16:creationId xmlns:a16="http://schemas.microsoft.com/office/drawing/2014/main" id="{00000000-0008-0000-0000-0000E4000000}"/>
            </a:ext>
          </a:extLst>
        </xdr:cNvPr>
        <xdr:cNvSpPr txBox="1"/>
      </xdr:nvSpPr>
      <xdr:spPr>
        <a:xfrm>
          <a:off x="8267700" y="341680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559" name="TextBox 4558">
          <a:extLst>
            <a:ext uri="{FF2B5EF4-FFF2-40B4-BE49-F238E27FC236}">
              <a16:creationId xmlns:a16="http://schemas.microsoft.com/office/drawing/2014/main" id="{00000000-0008-0000-0000-0000E5000000}"/>
            </a:ext>
          </a:extLst>
        </xdr:cNvPr>
        <xdr:cNvSpPr txBox="1"/>
      </xdr:nvSpPr>
      <xdr:spPr>
        <a:xfrm>
          <a:off x="8267700" y="341680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560" name="TextBox 4559">
          <a:extLst>
            <a:ext uri="{FF2B5EF4-FFF2-40B4-BE49-F238E27FC236}">
              <a16:creationId xmlns:a16="http://schemas.microsoft.com/office/drawing/2014/main" id="{00000000-0008-0000-0000-0000E6000000}"/>
            </a:ext>
          </a:extLst>
        </xdr:cNvPr>
        <xdr:cNvSpPr txBox="1"/>
      </xdr:nvSpPr>
      <xdr:spPr>
        <a:xfrm>
          <a:off x="8267700" y="341680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561" name="TextBox 4560">
          <a:extLst>
            <a:ext uri="{FF2B5EF4-FFF2-40B4-BE49-F238E27FC236}">
              <a16:creationId xmlns:a16="http://schemas.microsoft.com/office/drawing/2014/main" id="{00000000-0008-0000-0000-0000E7000000}"/>
            </a:ext>
          </a:extLst>
        </xdr:cNvPr>
        <xdr:cNvSpPr txBox="1"/>
      </xdr:nvSpPr>
      <xdr:spPr>
        <a:xfrm>
          <a:off x="8267700" y="341680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562" name="TextBox 4561">
          <a:extLst>
            <a:ext uri="{FF2B5EF4-FFF2-40B4-BE49-F238E27FC236}">
              <a16:creationId xmlns:a16="http://schemas.microsoft.com/office/drawing/2014/main" id="{00000000-0008-0000-0000-0000E8000000}"/>
            </a:ext>
          </a:extLst>
        </xdr:cNvPr>
        <xdr:cNvSpPr txBox="1"/>
      </xdr:nvSpPr>
      <xdr:spPr>
        <a:xfrm>
          <a:off x="12580620" y="341680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563" name="TextBox 4562">
          <a:extLst>
            <a:ext uri="{FF2B5EF4-FFF2-40B4-BE49-F238E27FC236}">
              <a16:creationId xmlns:a16="http://schemas.microsoft.com/office/drawing/2014/main" id="{00000000-0008-0000-0000-0000E9000000}"/>
            </a:ext>
          </a:extLst>
        </xdr:cNvPr>
        <xdr:cNvSpPr txBox="1"/>
      </xdr:nvSpPr>
      <xdr:spPr>
        <a:xfrm>
          <a:off x="12580620" y="341680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564" name="TextBox 4563">
          <a:extLst>
            <a:ext uri="{FF2B5EF4-FFF2-40B4-BE49-F238E27FC236}">
              <a16:creationId xmlns:a16="http://schemas.microsoft.com/office/drawing/2014/main" id="{00000000-0008-0000-0000-0000EA000000}"/>
            </a:ext>
          </a:extLst>
        </xdr:cNvPr>
        <xdr:cNvSpPr txBox="1"/>
      </xdr:nvSpPr>
      <xdr:spPr>
        <a:xfrm>
          <a:off x="12580620" y="341680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565" name="TextBox 4564">
          <a:extLst>
            <a:ext uri="{FF2B5EF4-FFF2-40B4-BE49-F238E27FC236}">
              <a16:creationId xmlns:a16="http://schemas.microsoft.com/office/drawing/2014/main" id="{00000000-0008-0000-0000-0000EB000000}"/>
            </a:ext>
          </a:extLst>
        </xdr:cNvPr>
        <xdr:cNvSpPr txBox="1"/>
      </xdr:nvSpPr>
      <xdr:spPr>
        <a:xfrm>
          <a:off x="12580620" y="341680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566" name="TextBox 4565">
          <a:extLst>
            <a:ext uri="{FF2B5EF4-FFF2-40B4-BE49-F238E27FC236}">
              <a16:creationId xmlns:a16="http://schemas.microsoft.com/office/drawing/2014/main" id="{00000000-0008-0000-0000-0000EC000000}"/>
            </a:ext>
          </a:extLst>
        </xdr:cNvPr>
        <xdr:cNvSpPr txBox="1"/>
      </xdr:nvSpPr>
      <xdr:spPr>
        <a:xfrm>
          <a:off x="12580620" y="341680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567" name="TextBox 4566">
          <a:extLst>
            <a:ext uri="{FF2B5EF4-FFF2-40B4-BE49-F238E27FC236}">
              <a16:creationId xmlns:a16="http://schemas.microsoft.com/office/drawing/2014/main" id="{00000000-0008-0000-0000-0000ED000000}"/>
            </a:ext>
          </a:extLst>
        </xdr:cNvPr>
        <xdr:cNvSpPr txBox="1"/>
      </xdr:nvSpPr>
      <xdr:spPr>
        <a:xfrm>
          <a:off x="12580620" y="341680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568" name="TextBox 4567">
          <a:extLst>
            <a:ext uri="{FF2B5EF4-FFF2-40B4-BE49-F238E27FC236}">
              <a16:creationId xmlns:a16="http://schemas.microsoft.com/office/drawing/2014/main" id="{00000000-0008-0000-0000-0000EE000000}"/>
            </a:ext>
          </a:extLst>
        </xdr:cNvPr>
        <xdr:cNvSpPr txBox="1"/>
      </xdr:nvSpPr>
      <xdr:spPr>
        <a:xfrm>
          <a:off x="12580620" y="341680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569" name="TextBox 4568">
          <a:extLst>
            <a:ext uri="{FF2B5EF4-FFF2-40B4-BE49-F238E27FC236}">
              <a16:creationId xmlns:a16="http://schemas.microsoft.com/office/drawing/2014/main" id="{00000000-0008-0000-0000-0000EF000000}"/>
            </a:ext>
          </a:extLst>
        </xdr:cNvPr>
        <xdr:cNvSpPr txBox="1"/>
      </xdr:nvSpPr>
      <xdr:spPr>
        <a:xfrm>
          <a:off x="12580620" y="341680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570" name="TextBox 4569">
          <a:extLst>
            <a:ext uri="{FF2B5EF4-FFF2-40B4-BE49-F238E27FC236}">
              <a16:creationId xmlns:a16="http://schemas.microsoft.com/office/drawing/2014/main" id="{00000000-0008-0000-0000-0000F0000000}"/>
            </a:ext>
          </a:extLst>
        </xdr:cNvPr>
        <xdr:cNvSpPr txBox="1"/>
      </xdr:nvSpPr>
      <xdr:spPr>
        <a:xfrm>
          <a:off x="8267700" y="34373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571" name="TextBox 4570">
          <a:extLst>
            <a:ext uri="{FF2B5EF4-FFF2-40B4-BE49-F238E27FC236}">
              <a16:creationId xmlns:a16="http://schemas.microsoft.com/office/drawing/2014/main" id="{00000000-0008-0000-0000-0000F1000000}"/>
            </a:ext>
          </a:extLst>
        </xdr:cNvPr>
        <xdr:cNvSpPr txBox="1"/>
      </xdr:nvSpPr>
      <xdr:spPr>
        <a:xfrm>
          <a:off x="8267700" y="34373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572" name="TextBox 4571">
          <a:extLst>
            <a:ext uri="{FF2B5EF4-FFF2-40B4-BE49-F238E27FC236}">
              <a16:creationId xmlns:a16="http://schemas.microsoft.com/office/drawing/2014/main" id="{00000000-0008-0000-0000-0000F2000000}"/>
            </a:ext>
          </a:extLst>
        </xdr:cNvPr>
        <xdr:cNvSpPr txBox="1"/>
      </xdr:nvSpPr>
      <xdr:spPr>
        <a:xfrm>
          <a:off x="8267700" y="34373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573" name="TextBox 4572">
          <a:extLst>
            <a:ext uri="{FF2B5EF4-FFF2-40B4-BE49-F238E27FC236}">
              <a16:creationId xmlns:a16="http://schemas.microsoft.com/office/drawing/2014/main" id="{00000000-0008-0000-0000-0000F3000000}"/>
            </a:ext>
          </a:extLst>
        </xdr:cNvPr>
        <xdr:cNvSpPr txBox="1"/>
      </xdr:nvSpPr>
      <xdr:spPr>
        <a:xfrm>
          <a:off x="8267700" y="34373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574" name="TextBox 4573">
          <a:extLst>
            <a:ext uri="{FF2B5EF4-FFF2-40B4-BE49-F238E27FC236}">
              <a16:creationId xmlns:a16="http://schemas.microsoft.com/office/drawing/2014/main" id="{00000000-0008-0000-0000-0000F4000000}"/>
            </a:ext>
          </a:extLst>
        </xdr:cNvPr>
        <xdr:cNvSpPr txBox="1"/>
      </xdr:nvSpPr>
      <xdr:spPr>
        <a:xfrm>
          <a:off x="8267700" y="34373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575" name="TextBox 4574">
          <a:extLst>
            <a:ext uri="{FF2B5EF4-FFF2-40B4-BE49-F238E27FC236}">
              <a16:creationId xmlns:a16="http://schemas.microsoft.com/office/drawing/2014/main" id="{00000000-0008-0000-0000-0000F5000000}"/>
            </a:ext>
          </a:extLst>
        </xdr:cNvPr>
        <xdr:cNvSpPr txBox="1"/>
      </xdr:nvSpPr>
      <xdr:spPr>
        <a:xfrm>
          <a:off x="8267700" y="34373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576" name="TextBox 4575">
          <a:extLst>
            <a:ext uri="{FF2B5EF4-FFF2-40B4-BE49-F238E27FC236}">
              <a16:creationId xmlns:a16="http://schemas.microsoft.com/office/drawing/2014/main" id="{00000000-0008-0000-0000-0000F6000000}"/>
            </a:ext>
          </a:extLst>
        </xdr:cNvPr>
        <xdr:cNvSpPr txBox="1"/>
      </xdr:nvSpPr>
      <xdr:spPr>
        <a:xfrm>
          <a:off x="8267700" y="34373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577" name="TextBox 4576">
          <a:extLst>
            <a:ext uri="{FF2B5EF4-FFF2-40B4-BE49-F238E27FC236}">
              <a16:creationId xmlns:a16="http://schemas.microsoft.com/office/drawing/2014/main" id="{00000000-0008-0000-0000-0000F7000000}"/>
            </a:ext>
          </a:extLst>
        </xdr:cNvPr>
        <xdr:cNvSpPr txBox="1"/>
      </xdr:nvSpPr>
      <xdr:spPr>
        <a:xfrm>
          <a:off x="8267700" y="34373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578" name="TextBox 4577">
          <a:extLst>
            <a:ext uri="{FF2B5EF4-FFF2-40B4-BE49-F238E27FC236}">
              <a16:creationId xmlns:a16="http://schemas.microsoft.com/office/drawing/2014/main" id="{00000000-0008-0000-0000-0000F8000000}"/>
            </a:ext>
          </a:extLst>
        </xdr:cNvPr>
        <xdr:cNvSpPr txBox="1"/>
      </xdr:nvSpPr>
      <xdr:spPr>
        <a:xfrm>
          <a:off x="8267700" y="34373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579" name="TextBox 4578">
          <a:extLst>
            <a:ext uri="{FF2B5EF4-FFF2-40B4-BE49-F238E27FC236}">
              <a16:creationId xmlns:a16="http://schemas.microsoft.com/office/drawing/2014/main" id="{00000000-0008-0000-0000-0000F9000000}"/>
            </a:ext>
          </a:extLst>
        </xdr:cNvPr>
        <xdr:cNvSpPr txBox="1"/>
      </xdr:nvSpPr>
      <xdr:spPr>
        <a:xfrm>
          <a:off x="8267700" y="34373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580" name="TextBox 4579">
          <a:extLst>
            <a:ext uri="{FF2B5EF4-FFF2-40B4-BE49-F238E27FC236}">
              <a16:creationId xmlns:a16="http://schemas.microsoft.com/office/drawing/2014/main" id="{00000000-0008-0000-0000-0000FA000000}"/>
            </a:ext>
          </a:extLst>
        </xdr:cNvPr>
        <xdr:cNvSpPr txBox="1"/>
      </xdr:nvSpPr>
      <xdr:spPr>
        <a:xfrm>
          <a:off x="8267700" y="34373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581" name="TextBox 4580">
          <a:extLst>
            <a:ext uri="{FF2B5EF4-FFF2-40B4-BE49-F238E27FC236}">
              <a16:creationId xmlns:a16="http://schemas.microsoft.com/office/drawing/2014/main" id="{00000000-0008-0000-0000-0000FB000000}"/>
            </a:ext>
          </a:extLst>
        </xdr:cNvPr>
        <xdr:cNvSpPr txBox="1"/>
      </xdr:nvSpPr>
      <xdr:spPr>
        <a:xfrm>
          <a:off x="8267700" y="34373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582" name="TextBox 4581">
          <a:extLst>
            <a:ext uri="{FF2B5EF4-FFF2-40B4-BE49-F238E27FC236}">
              <a16:creationId xmlns:a16="http://schemas.microsoft.com/office/drawing/2014/main" id="{00000000-0008-0000-0000-0000FC000000}"/>
            </a:ext>
          </a:extLst>
        </xdr:cNvPr>
        <xdr:cNvSpPr txBox="1"/>
      </xdr:nvSpPr>
      <xdr:spPr>
        <a:xfrm>
          <a:off x="8267700" y="34373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583" name="TextBox 4582">
          <a:extLst>
            <a:ext uri="{FF2B5EF4-FFF2-40B4-BE49-F238E27FC236}">
              <a16:creationId xmlns:a16="http://schemas.microsoft.com/office/drawing/2014/main" id="{00000000-0008-0000-0000-0000FD000000}"/>
            </a:ext>
          </a:extLst>
        </xdr:cNvPr>
        <xdr:cNvSpPr txBox="1"/>
      </xdr:nvSpPr>
      <xdr:spPr>
        <a:xfrm>
          <a:off x="8267700" y="34373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584" name="TextBox 4583">
          <a:extLst>
            <a:ext uri="{FF2B5EF4-FFF2-40B4-BE49-F238E27FC236}">
              <a16:creationId xmlns:a16="http://schemas.microsoft.com/office/drawing/2014/main" id="{00000000-0008-0000-0000-0000FE000000}"/>
            </a:ext>
          </a:extLst>
        </xdr:cNvPr>
        <xdr:cNvSpPr txBox="1"/>
      </xdr:nvSpPr>
      <xdr:spPr>
        <a:xfrm>
          <a:off x="8267700" y="34373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585" name="TextBox 4584">
          <a:extLst>
            <a:ext uri="{FF2B5EF4-FFF2-40B4-BE49-F238E27FC236}">
              <a16:creationId xmlns:a16="http://schemas.microsoft.com/office/drawing/2014/main" id="{00000000-0008-0000-0000-0000FF000000}"/>
            </a:ext>
          </a:extLst>
        </xdr:cNvPr>
        <xdr:cNvSpPr txBox="1"/>
      </xdr:nvSpPr>
      <xdr:spPr>
        <a:xfrm>
          <a:off x="8267700" y="34373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586" name="TextBox 4585">
          <a:extLst>
            <a:ext uri="{FF2B5EF4-FFF2-40B4-BE49-F238E27FC236}">
              <a16:creationId xmlns:a16="http://schemas.microsoft.com/office/drawing/2014/main" id="{00000000-0008-0000-0000-000000010000}"/>
            </a:ext>
          </a:extLst>
        </xdr:cNvPr>
        <xdr:cNvSpPr txBox="1"/>
      </xdr:nvSpPr>
      <xdr:spPr>
        <a:xfrm>
          <a:off x="8267700" y="34373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587" name="TextBox 4586">
          <a:extLst>
            <a:ext uri="{FF2B5EF4-FFF2-40B4-BE49-F238E27FC236}">
              <a16:creationId xmlns:a16="http://schemas.microsoft.com/office/drawing/2014/main" id="{00000000-0008-0000-0000-000001010000}"/>
            </a:ext>
          </a:extLst>
        </xdr:cNvPr>
        <xdr:cNvSpPr txBox="1"/>
      </xdr:nvSpPr>
      <xdr:spPr>
        <a:xfrm>
          <a:off x="8267700" y="34373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588" name="TextBox 4587">
          <a:extLst>
            <a:ext uri="{FF2B5EF4-FFF2-40B4-BE49-F238E27FC236}">
              <a16:creationId xmlns:a16="http://schemas.microsoft.com/office/drawing/2014/main" id="{00000000-0008-0000-0000-000002010000}"/>
            </a:ext>
          </a:extLst>
        </xdr:cNvPr>
        <xdr:cNvSpPr txBox="1"/>
      </xdr:nvSpPr>
      <xdr:spPr>
        <a:xfrm>
          <a:off x="8267700" y="34373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589" name="TextBox 4588">
          <a:extLst>
            <a:ext uri="{FF2B5EF4-FFF2-40B4-BE49-F238E27FC236}">
              <a16:creationId xmlns:a16="http://schemas.microsoft.com/office/drawing/2014/main" id="{00000000-0008-0000-0000-000003010000}"/>
            </a:ext>
          </a:extLst>
        </xdr:cNvPr>
        <xdr:cNvSpPr txBox="1"/>
      </xdr:nvSpPr>
      <xdr:spPr>
        <a:xfrm>
          <a:off x="8267700" y="34373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590" name="TextBox 4589">
          <a:extLst>
            <a:ext uri="{FF2B5EF4-FFF2-40B4-BE49-F238E27FC236}">
              <a16:creationId xmlns:a16="http://schemas.microsoft.com/office/drawing/2014/main" id="{00000000-0008-0000-0000-000004010000}"/>
            </a:ext>
          </a:extLst>
        </xdr:cNvPr>
        <xdr:cNvSpPr txBox="1"/>
      </xdr:nvSpPr>
      <xdr:spPr>
        <a:xfrm>
          <a:off x="8267700" y="34373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591" name="TextBox 4590">
          <a:extLst>
            <a:ext uri="{FF2B5EF4-FFF2-40B4-BE49-F238E27FC236}">
              <a16:creationId xmlns:a16="http://schemas.microsoft.com/office/drawing/2014/main" id="{00000000-0008-0000-0000-000005010000}"/>
            </a:ext>
          </a:extLst>
        </xdr:cNvPr>
        <xdr:cNvSpPr txBox="1"/>
      </xdr:nvSpPr>
      <xdr:spPr>
        <a:xfrm>
          <a:off x="8267700" y="34373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592" name="TextBox 4591">
          <a:extLst>
            <a:ext uri="{FF2B5EF4-FFF2-40B4-BE49-F238E27FC236}">
              <a16:creationId xmlns:a16="http://schemas.microsoft.com/office/drawing/2014/main" id="{00000000-0008-0000-0000-000006010000}"/>
            </a:ext>
          </a:extLst>
        </xdr:cNvPr>
        <xdr:cNvSpPr txBox="1"/>
      </xdr:nvSpPr>
      <xdr:spPr>
        <a:xfrm>
          <a:off x="8267700" y="34373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593" name="TextBox 4592">
          <a:extLst>
            <a:ext uri="{FF2B5EF4-FFF2-40B4-BE49-F238E27FC236}">
              <a16:creationId xmlns:a16="http://schemas.microsoft.com/office/drawing/2014/main" id="{00000000-0008-0000-0000-000007010000}"/>
            </a:ext>
          </a:extLst>
        </xdr:cNvPr>
        <xdr:cNvSpPr txBox="1"/>
      </xdr:nvSpPr>
      <xdr:spPr>
        <a:xfrm>
          <a:off x="8267700" y="34373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594" name="TextBox 4593">
          <a:extLst>
            <a:ext uri="{FF2B5EF4-FFF2-40B4-BE49-F238E27FC236}">
              <a16:creationId xmlns:a16="http://schemas.microsoft.com/office/drawing/2014/main" id="{00000000-0008-0000-0000-000008010000}"/>
            </a:ext>
          </a:extLst>
        </xdr:cNvPr>
        <xdr:cNvSpPr txBox="1"/>
      </xdr:nvSpPr>
      <xdr:spPr>
        <a:xfrm>
          <a:off x="8267700" y="34373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595" name="TextBox 4594">
          <a:extLst>
            <a:ext uri="{FF2B5EF4-FFF2-40B4-BE49-F238E27FC236}">
              <a16:creationId xmlns:a16="http://schemas.microsoft.com/office/drawing/2014/main" id="{00000000-0008-0000-0000-000009010000}"/>
            </a:ext>
          </a:extLst>
        </xdr:cNvPr>
        <xdr:cNvSpPr txBox="1"/>
      </xdr:nvSpPr>
      <xdr:spPr>
        <a:xfrm>
          <a:off x="8267700" y="34373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596" name="TextBox 4595">
          <a:extLst>
            <a:ext uri="{FF2B5EF4-FFF2-40B4-BE49-F238E27FC236}">
              <a16:creationId xmlns:a16="http://schemas.microsoft.com/office/drawing/2014/main" id="{00000000-0008-0000-0000-00000A010000}"/>
            </a:ext>
          </a:extLst>
        </xdr:cNvPr>
        <xdr:cNvSpPr txBox="1"/>
      </xdr:nvSpPr>
      <xdr:spPr>
        <a:xfrm>
          <a:off x="8267700" y="34373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597" name="TextBox 4596">
          <a:extLst>
            <a:ext uri="{FF2B5EF4-FFF2-40B4-BE49-F238E27FC236}">
              <a16:creationId xmlns:a16="http://schemas.microsoft.com/office/drawing/2014/main" id="{00000000-0008-0000-0000-00000B010000}"/>
            </a:ext>
          </a:extLst>
        </xdr:cNvPr>
        <xdr:cNvSpPr txBox="1"/>
      </xdr:nvSpPr>
      <xdr:spPr>
        <a:xfrm>
          <a:off x="8267700" y="34373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598" name="TextBox 4597">
          <a:extLst>
            <a:ext uri="{FF2B5EF4-FFF2-40B4-BE49-F238E27FC236}">
              <a16:creationId xmlns:a16="http://schemas.microsoft.com/office/drawing/2014/main" id="{00000000-0008-0000-0000-00000C010000}"/>
            </a:ext>
          </a:extLst>
        </xdr:cNvPr>
        <xdr:cNvSpPr txBox="1"/>
      </xdr:nvSpPr>
      <xdr:spPr>
        <a:xfrm>
          <a:off x="8267700" y="34373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599" name="TextBox 4598">
          <a:extLst>
            <a:ext uri="{FF2B5EF4-FFF2-40B4-BE49-F238E27FC236}">
              <a16:creationId xmlns:a16="http://schemas.microsoft.com/office/drawing/2014/main" id="{00000000-0008-0000-0000-00000D010000}"/>
            </a:ext>
          </a:extLst>
        </xdr:cNvPr>
        <xdr:cNvSpPr txBox="1"/>
      </xdr:nvSpPr>
      <xdr:spPr>
        <a:xfrm>
          <a:off x="8267700" y="34373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600" name="TextBox 4599">
          <a:extLst>
            <a:ext uri="{FF2B5EF4-FFF2-40B4-BE49-F238E27FC236}">
              <a16:creationId xmlns:a16="http://schemas.microsoft.com/office/drawing/2014/main" id="{00000000-0008-0000-0000-00000E010000}"/>
            </a:ext>
          </a:extLst>
        </xdr:cNvPr>
        <xdr:cNvSpPr txBox="1"/>
      </xdr:nvSpPr>
      <xdr:spPr>
        <a:xfrm>
          <a:off x="8267700" y="34373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601" name="TextBox 4600">
          <a:extLst>
            <a:ext uri="{FF2B5EF4-FFF2-40B4-BE49-F238E27FC236}">
              <a16:creationId xmlns:a16="http://schemas.microsoft.com/office/drawing/2014/main" id="{00000000-0008-0000-0000-00000F010000}"/>
            </a:ext>
          </a:extLst>
        </xdr:cNvPr>
        <xdr:cNvSpPr txBox="1"/>
      </xdr:nvSpPr>
      <xdr:spPr>
        <a:xfrm>
          <a:off x="8267700" y="34373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602" name="TextBox 4601">
          <a:extLst>
            <a:ext uri="{FF2B5EF4-FFF2-40B4-BE49-F238E27FC236}">
              <a16:creationId xmlns:a16="http://schemas.microsoft.com/office/drawing/2014/main" id="{00000000-0008-0000-0000-000010010000}"/>
            </a:ext>
          </a:extLst>
        </xdr:cNvPr>
        <xdr:cNvSpPr txBox="1"/>
      </xdr:nvSpPr>
      <xdr:spPr>
        <a:xfrm>
          <a:off x="8267700" y="34373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603" name="TextBox 4602">
          <a:extLst>
            <a:ext uri="{FF2B5EF4-FFF2-40B4-BE49-F238E27FC236}">
              <a16:creationId xmlns:a16="http://schemas.microsoft.com/office/drawing/2014/main" id="{00000000-0008-0000-0000-000011010000}"/>
            </a:ext>
          </a:extLst>
        </xdr:cNvPr>
        <xdr:cNvSpPr txBox="1"/>
      </xdr:nvSpPr>
      <xdr:spPr>
        <a:xfrm>
          <a:off x="8267700" y="34373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604" name="TextBox 4603">
          <a:extLst>
            <a:ext uri="{FF2B5EF4-FFF2-40B4-BE49-F238E27FC236}">
              <a16:creationId xmlns:a16="http://schemas.microsoft.com/office/drawing/2014/main" id="{00000000-0008-0000-0000-000012010000}"/>
            </a:ext>
          </a:extLst>
        </xdr:cNvPr>
        <xdr:cNvSpPr txBox="1"/>
      </xdr:nvSpPr>
      <xdr:spPr>
        <a:xfrm>
          <a:off x="8267700" y="34373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605" name="TextBox 4604">
          <a:extLst>
            <a:ext uri="{FF2B5EF4-FFF2-40B4-BE49-F238E27FC236}">
              <a16:creationId xmlns:a16="http://schemas.microsoft.com/office/drawing/2014/main" id="{00000000-0008-0000-0000-000013010000}"/>
            </a:ext>
          </a:extLst>
        </xdr:cNvPr>
        <xdr:cNvSpPr txBox="1"/>
      </xdr:nvSpPr>
      <xdr:spPr>
        <a:xfrm>
          <a:off x="8267700" y="34373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606" name="TextBox 4605">
          <a:extLst>
            <a:ext uri="{FF2B5EF4-FFF2-40B4-BE49-F238E27FC236}">
              <a16:creationId xmlns:a16="http://schemas.microsoft.com/office/drawing/2014/main" id="{00000000-0008-0000-0000-000014010000}"/>
            </a:ext>
          </a:extLst>
        </xdr:cNvPr>
        <xdr:cNvSpPr txBox="1"/>
      </xdr:nvSpPr>
      <xdr:spPr>
        <a:xfrm>
          <a:off x="8267700" y="34373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607" name="TextBox 4606">
          <a:extLst>
            <a:ext uri="{FF2B5EF4-FFF2-40B4-BE49-F238E27FC236}">
              <a16:creationId xmlns:a16="http://schemas.microsoft.com/office/drawing/2014/main" id="{00000000-0008-0000-0000-000015010000}"/>
            </a:ext>
          </a:extLst>
        </xdr:cNvPr>
        <xdr:cNvSpPr txBox="1"/>
      </xdr:nvSpPr>
      <xdr:spPr>
        <a:xfrm>
          <a:off x="8267700" y="34373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608" name="TextBox 4607">
          <a:extLst>
            <a:ext uri="{FF2B5EF4-FFF2-40B4-BE49-F238E27FC236}">
              <a16:creationId xmlns:a16="http://schemas.microsoft.com/office/drawing/2014/main" id="{00000000-0008-0000-0000-000016010000}"/>
            </a:ext>
          </a:extLst>
        </xdr:cNvPr>
        <xdr:cNvSpPr txBox="1"/>
      </xdr:nvSpPr>
      <xdr:spPr>
        <a:xfrm>
          <a:off x="8267700" y="34373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609" name="TextBox 4608">
          <a:extLst>
            <a:ext uri="{FF2B5EF4-FFF2-40B4-BE49-F238E27FC236}">
              <a16:creationId xmlns:a16="http://schemas.microsoft.com/office/drawing/2014/main" id="{00000000-0008-0000-0000-000017010000}"/>
            </a:ext>
          </a:extLst>
        </xdr:cNvPr>
        <xdr:cNvSpPr txBox="1"/>
      </xdr:nvSpPr>
      <xdr:spPr>
        <a:xfrm>
          <a:off x="8267700" y="34373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610" name="TextBox 4609">
          <a:extLst>
            <a:ext uri="{FF2B5EF4-FFF2-40B4-BE49-F238E27FC236}">
              <a16:creationId xmlns:a16="http://schemas.microsoft.com/office/drawing/2014/main" id="{00000000-0008-0000-0000-000018010000}"/>
            </a:ext>
          </a:extLst>
        </xdr:cNvPr>
        <xdr:cNvSpPr txBox="1"/>
      </xdr:nvSpPr>
      <xdr:spPr>
        <a:xfrm>
          <a:off x="8267700" y="34373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611" name="TextBox 4610">
          <a:extLst>
            <a:ext uri="{FF2B5EF4-FFF2-40B4-BE49-F238E27FC236}">
              <a16:creationId xmlns:a16="http://schemas.microsoft.com/office/drawing/2014/main" id="{00000000-0008-0000-0000-000019010000}"/>
            </a:ext>
          </a:extLst>
        </xdr:cNvPr>
        <xdr:cNvSpPr txBox="1"/>
      </xdr:nvSpPr>
      <xdr:spPr>
        <a:xfrm>
          <a:off x="8267700" y="34373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612" name="TextBox 4611">
          <a:extLst>
            <a:ext uri="{FF2B5EF4-FFF2-40B4-BE49-F238E27FC236}">
              <a16:creationId xmlns:a16="http://schemas.microsoft.com/office/drawing/2014/main" id="{00000000-0008-0000-0000-00001A010000}"/>
            </a:ext>
          </a:extLst>
        </xdr:cNvPr>
        <xdr:cNvSpPr txBox="1"/>
      </xdr:nvSpPr>
      <xdr:spPr>
        <a:xfrm>
          <a:off x="8267700" y="34373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613" name="TextBox 4612">
          <a:extLst>
            <a:ext uri="{FF2B5EF4-FFF2-40B4-BE49-F238E27FC236}">
              <a16:creationId xmlns:a16="http://schemas.microsoft.com/office/drawing/2014/main" id="{00000000-0008-0000-0000-00001B010000}"/>
            </a:ext>
          </a:extLst>
        </xdr:cNvPr>
        <xdr:cNvSpPr txBox="1"/>
      </xdr:nvSpPr>
      <xdr:spPr>
        <a:xfrm>
          <a:off x="8267700" y="34373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614" name="TextBox 4613">
          <a:extLst>
            <a:ext uri="{FF2B5EF4-FFF2-40B4-BE49-F238E27FC236}">
              <a16:creationId xmlns:a16="http://schemas.microsoft.com/office/drawing/2014/main" id="{00000000-0008-0000-0000-00001C010000}"/>
            </a:ext>
          </a:extLst>
        </xdr:cNvPr>
        <xdr:cNvSpPr txBox="1"/>
      </xdr:nvSpPr>
      <xdr:spPr>
        <a:xfrm>
          <a:off x="8267700" y="34373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615" name="TextBox 4614">
          <a:extLst>
            <a:ext uri="{FF2B5EF4-FFF2-40B4-BE49-F238E27FC236}">
              <a16:creationId xmlns:a16="http://schemas.microsoft.com/office/drawing/2014/main" id="{00000000-0008-0000-0000-00001D010000}"/>
            </a:ext>
          </a:extLst>
        </xdr:cNvPr>
        <xdr:cNvSpPr txBox="1"/>
      </xdr:nvSpPr>
      <xdr:spPr>
        <a:xfrm>
          <a:off x="8267700" y="34373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616" name="TextBox 4615">
          <a:extLst>
            <a:ext uri="{FF2B5EF4-FFF2-40B4-BE49-F238E27FC236}">
              <a16:creationId xmlns:a16="http://schemas.microsoft.com/office/drawing/2014/main" id="{00000000-0008-0000-0000-00001E010000}"/>
            </a:ext>
          </a:extLst>
        </xdr:cNvPr>
        <xdr:cNvSpPr txBox="1"/>
      </xdr:nvSpPr>
      <xdr:spPr>
        <a:xfrm>
          <a:off x="8267700" y="34373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617" name="TextBox 4616">
          <a:extLst>
            <a:ext uri="{FF2B5EF4-FFF2-40B4-BE49-F238E27FC236}">
              <a16:creationId xmlns:a16="http://schemas.microsoft.com/office/drawing/2014/main" id="{00000000-0008-0000-0000-00001F010000}"/>
            </a:ext>
          </a:extLst>
        </xdr:cNvPr>
        <xdr:cNvSpPr txBox="1"/>
      </xdr:nvSpPr>
      <xdr:spPr>
        <a:xfrm>
          <a:off x="8267700" y="34373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618" name="TextBox 4617">
          <a:extLst>
            <a:ext uri="{FF2B5EF4-FFF2-40B4-BE49-F238E27FC236}">
              <a16:creationId xmlns:a16="http://schemas.microsoft.com/office/drawing/2014/main" id="{00000000-0008-0000-0000-000020010000}"/>
            </a:ext>
          </a:extLst>
        </xdr:cNvPr>
        <xdr:cNvSpPr txBox="1"/>
      </xdr:nvSpPr>
      <xdr:spPr>
        <a:xfrm>
          <a:off x="8267700" y="34373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619" name="TextBox 4618">
          <a:extLst>
            <a:ext uri="{FF2B5EF4-FFF2-40B4-BE49-F238E27FC236}">
              <a16:creationId xmlns:a16="http://schemas.microsoft.com/office/drawing/2014/main" id="{00000000-0008-0000-0000-000021010000}"/>
            </a:ext>
          </a:extLst>
        </xdr:cNvPr>
        <xdr:cNvSpPr txBox="1"/>
      </xdr:nvSpPr>
      <xdr:spPr>
        <a:xfrm>
          <a:off x="8267700" y="34373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620" name="TextBox 4619">
          <a:extLst>
            <a:ext uri="{FF2B5EF4-FFF2-40B4-BE49-F238E27FC236}">
              <a16:creationId xmlns:a16="http://schemas.microsoft.com/office/drawing/2014/main" id="{00000000-0008-0000-0000-000022010000}"/>
            </a:ext>
          </a:extLst>
        </xdr:cNvPr>
        <xdr:cNvSpPr txBox="1"/>
      </xdr:nvSpPr>
      <xdr:spPr>
        <a:xfrm>
          <a:off x="8267700" y="34373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621" name="TextBox 4620">
          <a:extLst>
            <a:ext uri="{FF2B5EF4-FFF2-40B4-BE49-F238E27FC236}">
              <a16:creationId xmlns:a16="http://schemas.microsoft.com/office/drawing/2014/main" id="{00000000-0008-0000-0000-000023010000}"/>
            </a:ext>
          </a:extLst>
        </xdr:cNvPr>
        <xdr:cNvSpPr txBox="1"/>
      </xdr:nvSpPr>
      <xdr:spPr>
        <a:xfrm>
          <a:off x="8267700" y="34373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622" name="TextBox 4621">
          <a:extLst>
            <a:ext uri="{FF2B5EF4-FFF2-40B4-BE49-F238E27FC236}">
              <a16:creationId xmlns:a16="http://schemas.microsoft.com/office/drawing/2014/main" id="{00000000-0008-0000-0000-000024010000}"/>
            </a:ext>
          </a:extLst>
        </xdr:cNvPr>
        <xdr:cNvSpPr txBox="1"/>
      </xdr:nvSpPr>
      <xdr:spPr>
        <a:xfrm>
          <a:off x="8267700" y="34373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623" name="TextBox 4622">
          <a:extLst>
            <a:ext uri="{FF2B5EF4-FFF2-40B4-BE49-F238E27FC236}">
              <a16:creationId xmlns:a16="http://schemas.microsoft.com/office/drawing/2014/main" id="{00000000-0008-0000-0000-000025010000}"/>
            </a:ext>
          </a:extLst>
        </xdr:cNvPr>
        <xdr:cNvSpPr txBox="1"/>
      </xdr:nvSpPr>
      <xdr:spPr>
        <a:xfrm>
          <a:off x="8267700" y="34373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624" name="TextBox 4623">
          <a:extLst>
            <a:ext uri="{FF2B5EF4-FFF2-40B4-BE49-F238E27FC236}">
              <a16:creationId xmlns:a16="http://schemas.microsoft.com/office/drawing/2014/main" id="{00000000-0008-0000-0000-000026010000}"/>
            </a:ext>
          </a:extLst>
        </xdr:cNvPr>
        <xdr:cNvSpPr txBox="1"/>
      </xdr:nvSpPr>
      <xdr:spPr>
        <a:xfrm>
          <a:off x="12580620" y="34373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625" name="TextBox 4624">
          <a:extLst>
            <a:ext uri="{FF2B5EF4-FFF2-40B4-BE49-F238E27FC236}">
              <a16:creationId xmlns:a16="http://schemas.microsoft.com/office/drawing/2014/main" id="{00000000-0008-0000-0000-000027010000}"/>
            </a:ext>
          </a:extLst>
        </xdr:cNvPr>
        <xdr:cNvSpPr txBox="1"/>
      </xdr:nvSpPr>
      <xdr:spPr>
        <a:xfrm>
          <a:off x="12580620" y="34373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626" name="TextBox 4625">
          <a:extLst>
            <a:ext uri="{FF2B5EF4-FFF2-40B4-BE49-F238E27FC236}">
              <a16:creationId xmlns:a16="http://schemas.microsoft.com/office/drawing/2014/main" id="{00000000-0008-0000-0000-000028010000}"/>
            </a:ext>
          </a:extLst>
        </xdr:cNvPr>
        <xdr:cNvSpPr txBox="1"/>
      </xdr:nvSpPr>
      <xdr:spPr>
        <a:xfrm>
          <a:off x="12580620" y="34373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627" name="TextBox 4626">
          <a:extLst>
            <a:ext uri="{FF2B5EF4-FFF2-40B4-BE49-F238E27FC236}">
              <a16:creationId xmlns:a16="http://schemas.microsoft.com/office/drawing/2014/main" id="{00000000-0008-0000-0000-000029010000}"/>
            </a:ext>
          </a:extLst>
        </xdr:cNvPr>
        <xdr:cNvSpPr txBox="1"/>
      </xdr:nvSpPr>
      <xdr:spPr>
        <a:xfrm>
          <a:off x="12580620" y="34373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628" name="TextBox 4627">
          <a:extLst>
            <a:ext uri="{FF2B5EF4-FFF2-40B4-BE49-F238E27FC236}">
              <a16:creationId xmlns:a16="http://schemas.microsoft.com/office/drawing/2014/main" id="{00000000-0008-0000-0000-00002A010000}"/>
            </a:ext>
          </a:extLst>
        </xdr:cNvPr>
        <xdr:cNvSpPr txBox="1"/>
      </xdr:nvSpPr>
      <xdr:spPr>
        <a:xfrm>
          <a:off x="12580620" y="34373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629" name="TextBox 4628">
          <a:extLst>
            <a:ext uri="{FF2B5EF4-FFF2-40B4-BE49-F238E27FC236}">
              <a16:creationId xmlns:a16="http://schemas.microsoft.com/office/drawing/2014/main" id="{00000000-0008-0000-0000-00002B010000}"/>
            </a:ext>
          </a:extLst>
        </xdr:cNvPr>
        <xdr:cNvSpPr txBox="1"/>
      </xdr:nvSpPr>
      <xdr:spPr>
        <a:xfrm>
          <a:off x="12580620" y="34373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630" name="TextBox 4629">
          <a:extLst>
            <a:ext uri="{FF2B5EF4-FFF2-40B4-BE49-F238E27FC236}">
              <a16:creationId xmlns:a16="http://schemas.microsoft.com/office/drawing/2014/main" id="{00000000-0008-0000-0000-00002C010000}"/>
            </a:ext>
          </a:extLst>
        </xdr:cNvPr>
        <xdr:cNvSpPr txBox="1"/>
      </xdr:nvSpPr>
      <xdr:spPr>
        <a:xfrm>
          <a:off x="12580620" y="34373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631" name="TextBox 4630">
          <a:extLst>
            <a:ext uri="{FF2B5EF4-FFF2-40B4-BE49-F238E27FC236}">
              <a16:creationId xmlns:a16="http://schemas.microsoft.com/office/drawing/2014/main" id="{00000000-0008-0000-0000-00002D010000}"/>
            </a:ext>
          </a:extLst>
        </xdr:cNvPr>
        <xdr:cNvSpPr txBox="1"/>
      </xdr:nvSpPr>
      <xdr:spPr>
        <a:xfrm>
          <a:off x="12580620" y="34373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632" name="TextBox 4631">
          <a:extLst>
            <a:ext uri="{FF2B5EF4-FFF2-40B4-BE49-F238E27FC236}">
              <a16:creationId xmlns:a16="http://schemas.microsoft.com/office/drawing/2014/main" id="{00000000-0008-0000-0000-00002E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633" name="TextBox 4632">
          <a:extLst>
            <a:ext uri="{FF2B5EF4-FFF2-40B4-BE49-F238E27FC236}">
              <a16:creationId xmlns:a16="http://schemas.microsoft.com/office/drawing/2014/main" id="{00000000-0008-0000-0000-00002F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634" name="TextBox 4633">
          <a:extLst>
            <a:ext uri="{FF2B5EF4-FFF2-40B4-BE49-F238E27FC236}">
              <a16:creationId xmlns:a16="http://schemas.microsoft.com/office/drawing/2014/main" id="{00000000-0008-0000-0000-000030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635" name="TextBox 4634">
          <a:extLst>
            <a:ext uri="{FF2B5EF4-FFF2-40B4-BE49-F238E27FC236}">
              <a16:creationId xmlns:a16="http://schemas.microsoft.com/office/drawing/2014/main" id="{00000000-0008-0000-0000-000031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636" name="TextBox 4635">
          <a:extLst>
            <a:ext uri="{FF2B5EF4-FFF2-40B4-BE49-F238E27FC236}">
              <a16:creationId xmlns:a16="http://schemas.microsoft.com/office/drawing/2014/main" id="{00000000-0008-0000-0000-000032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637" name="TextBox 4636">
          <a:extLst>
            <a:ext uri="{FF2B5EF4-FFF2-40B4-BE49-F238E27FC236}">
              <a16:creationId xmlns:a16="http://schemas.microsoft.com/office/drawing/2014/main" id="{00000000-0008-0000-0000-000033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638" name="TextBox 4637">
          <a:extLst>
            <a:ext uri="{FF2B5EF4-FFF2-40B4-BE49-F238E27FC236}">
              <a16:creationId xmlns:a16="http://schemas.microsoft.com/office/drawing/2014/main" id="{00000000-0008-0000-0000-000034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639" name="TextBox 4638">
          <a:extLst>
            <a:ext uri="{FF2B5EF4-FFF2-40B4-BE49-F238E27FC236}">
              <a16:creationId xmlns:a16="http://schemas.microsoft.com/office/drawing/2014/main" id="{00000000-0008-0000-0000-000035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640" name="TextBox 4639">
          <a:extLst>
            <a:ext uri="{FF2B5EF4-FFF2-40B4-BE49-F238E27FC236}">
              <a16:creationId xmlns:a16="http://schemas.microsoft.com/office/drawing/2014/main" id="{00000000-0008-0000-0000-000036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641" name="TextBox 4640">
          <a:extLst>
            <a:ext uri="{FF2B5EF4-FFF2-40B4-BE49-F238E27FC236}">
              <a16:creationId xmlns:a16="http://schemas.microsoft.com/office/drawing/2014/main" id="{00000000-0008-0000-0000-000037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642" name="TextBox 4641">
          <a:extLst>
            <a:ext uri="{FF2B5EF4-FFF2-40B4-BE49-F238E27FC236}">
              <a16:creationId xmlns:a16="http://schemas.microsoft.com/office/drawing/2014/main" id="{00000000-0008-0000-0000-000038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643" name="TextBox 4642">
          <a:extLst>
            <a:ext uri="{FF2B5EF4-FFF2-40B4-BE49-F238E27FC236}">
              <a16:creationId xmlns:a16="http://schemas.microsoft.com/office/drawing/2014/main" id="{00000000-0008-0000-0000-000039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644" name="TextBox 4643">
          <a:extLst>
            <a:ext uri="{FF2B5EF4-FFF2-40B4-BE49-F238E27FC236}">
              <a16:creationId xmlns:a16="http://schemas.microsoft.com/office/drawing/2014/main" id="{00000000-0008-0000-0000-00003A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645" name="TextBox 4644">
          <a:extLst>
            <a:ext uri="{FF2B5EF4-FFF2-40B4-BE49-F238E27FC236}">
              <a16:creationId xmlns:a16="http://schemas.microsoft.com/office/drawing/2014/main" id="{00000000-0008-0000-0000-00003B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646" name="TextBox 4645">
          <a:extLst>
            <a:ext uri="{FF2B5EF4-FFF2-40B4-BE49-F238E27FC236}">
              <a16:creationId xmlns:a16="http://schemas.microsoft.com/office/drawing/2014/main" id="{00000000-0008-0000-0000-00003C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647" name="TextBox 4646">
          <a:extLst>
            <a:ext uri="{FF2B5EF4-FFF2-40B4-BE49-F238E27FC236}">
              <a16:creationId xmlns:a16="http://schemas.microsoft.com/office/drawing/2014/main" id="{00000000-0008-0000-0000-00003D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648" name="TextBox 4647">
          <a:extLst>
            <a:ext uri="{FF2B5EF4-FFF2-40B4-BE49-F238E27FC236}">
              <a16:creationId xmlns:a16="http://schemas.microsoft.com/office/drawing/2014/main" id="{00000000-0008-0000-0000-00003E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649" name="TextBox 4648">
          <a:extLst>
            <a:ext uri="{FF2B5EF4-FFF2-40B4-BE49-F238E27FC236}">
              <a16:creationId xmlns:a16="http://schemas.microsoft.com/office/drawing/2014/main" id="{00000000-0008-0000-0000-00003F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650" name="TextBox 4649">
          <a:extLst>
            <a:ext uri="{FF2B5EF4-FFF2-40B4-BE49-F238E27FC236}">
              <a16:creationId xmlns:a16="http://schemas.microsoft.com/office/drawing/2014/main" id="{00000000-0008-0000-0000-000040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651" name="TextBox 4650">
          <a:extLst>
            <a:ext uri="{FF2B5EF4-FFF2-40B4-BE49-F238E27FC236}">
              <a16:creationId xmlns:a16="http://schemas.microsoft.com/office/drawing/2014/main" id="{00000000-0008-0000-0000-000041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652" name="TextBox 4651">
          <a:extLst>
            <a:ext uri="{FF2B5EF4-FFF2-40B4-BE49-F238E27FC236}">
              <a16:creationId xmlns:a16="http://schemas.microsoft.com/office/drawing/2014/main" id="{00000000-0008-0000-0000-000042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653" name="TextBox 4652">
          <a:extLst>
            <a:ext uri="{FF2B5EF4-FFF2-40B4-BE49-F238E27FC236}">
              <a16:creationId xmlns:a16="http://schemas.microsoft.com/office/drawing/2014/main" id="{00000000-0008-0000-0000-000043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654" name="TextBox 4653">
          <a:extLst>
            <a:ext uri="{FF2B5EF4-FFF2-40B4-BE49-F238E27FC236}">
              <a16:creationId xmlns:a16="http://schemas.microsoft.com/office/drawing/2014/main" id="{00000000-0008-0000-0000-000044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655" name="TextBox 4654">
          <a:extLst>
            <a:ext uri="{FF2B5EF4-FFF2-40B4-BE49-F238E27FC236}">
              <a16:creationId xmlns:a16="http://schemas.microsoft.com/office/drawing/2014/main" id="{00000000-0008-0000-0000-000045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656" name="TextBox 4655">
          <a:extLst>
            <a:ext uri="{FF2B5EF4-FFF2-40B4-BE49-F238E27FC236}">
              <a16:creationId xmlns:a16="http://schemas.microsoft.com/office/drawing/2014/main" id="{00000000-0008-0000-0000-000046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657" name="TextBox 4656">
          <a:extLst>
            <a:ext uri="{FF2B5EF4-FFF2-40B4-BE49-F238E27FC236}">
              <a16:creationId xmlns:a16="http://schemas.microsoft.com/office/drawing/2014/main" id="{00000000-0008-0000-0000-000047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658" name="TextBox 4657">
          <a:extLst>
            <a:ext uri="{FF2B5EF4-FFF2-40B4-BE49-F238E27FC236}">
              <a16:creationId xmlns:a16="http://schemas.microsoft.com/office/drawing/2014/main" id="{00000000-0008-0000-0000-000048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659" name="TextBox 4658">
          <a:extLst>
            <a:ext uri="{FF2B5EF4-FFF2-40B4-BE49-F238E27FC236}">
              <a16:creationId xmlns:a16="http://schemas.microsoft.com/office/drawing/2014/main" id="{00000000-0008-0000-0000-000049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660" name="TextBox 4659">
          <a:extLst>
            <a:ext uri="{FF2B5EF4-FFF2-40B4-BE49-F238E27FC236}">
              <a16:creationId xmlns:a16="http://schemas.microsoft.com/office/drawing/2014/main" id="{00000000-0008-0000-0000-00004A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661" name="TextBox 4660">
          <a:extLst>
            <a:ext uri="{FF2B5EF4-FFF2-40B4-BE49-F238E27FC236}">
              <a16:creationId xmlns:a16="http://schemas.microsoft.com/office/drawing/2014/main" id="{00000000-0008-0000-0000-00004B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662" name="TextBox 4661">
          <a:extLst>
            <a:ext uri="{FF2B5EF4-FFF2-40B4-BE49-F238E27FC236}">
              <a16:creationId xmlns:a16="http://schemas.microsoft.com/office/drawing/2014/main" id="{00000000-0008-0000-0000-00004C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663" name="TextBox 4662">
          <a:extLst>
            <a:ext uri="{FF2B5EF4-FFF2-40B4-BE49-F238E27FC236}">
              <a16:creationId xmlns:a16="http://schemas.microsoft.com/office/drawing/2014/main" id="{00000000-0008-0000-0000-00004D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664" name="TextBox 4663">
          <a:extLst>
            <a:ext uri="{FF2B5EF4-FFF2-40B4-BE49-F238E27FC236}">
              <a16:creationId xmlns:a16="http://schemas.microsoft.com/office/drawing/2014/main" id="{00000000-0008-0000-0000-00004E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665" name="TextBox 4664">
          <a:extLst>
            <a:ext uri="{FF2B5EF4-FFF2-40B4-BE49-F238E27FC236}">
              <a16:creationId xmlns:a16="http://schemas.microsoft.com/office/drawing/2014/main" id="{00000000-0008-0000-0000-00004F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666" name="TextBox 4665">
          <a:extLst>
            <a:ext uri="{FF2B5EF4-FFF2-40B4-BE49-F238E27FC236}">
              <a16:creationId xmlns:a16="http://schemas.microsoft.com/office/drawing/2014/main" id="{00000000-0008-0000-0000-000050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667" name="TextBox 4666">
          <a:extLst>
            <a:ext uri="{FF2B5EF4-FFF2-40B4-BE49-F238E27FC236}">
              <a16:creationId xmlns:a16="http://schemas.microsoft.com/office/drawing/2014/main" id="{00000000-0008-0000-0000-000051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668" name="TextBox 4667">
          <a:extLst>
            <a:ext uri="{FF2B5EF4-FFF2-40B4-BE49-F238E27FC236}">
              <a16:creationId xmlns:a16="http://schemas.microsoft.com/office/drawing/2014/main" id="{00000000-0008-0000-0000-000052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669" name="TextBox 4668">
          <a:extLst>
            <a:ext uri="{FF2B5EF4-FFF2-40B4-BE49-F238E27FC236}">
              <a16:creationId xmlns:a16="http://schemas.microsoft.com/office/drawing/2014/main" id="{00000000-0008-0000-0000-000053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670" name="TextBox 4669">
          <a:extLst>
            <a:ext uri="{FF2B5EF4-FFF2-40B4-BE49-F238E27FC236}">
              <a16:creationId xmlns:a16="http://schemas.microsoft.com/office/drawing/2014/main" id="{00000000-0008-0000-0000-000054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671" name="TextBox 4670">
          <a:extLst>
            <a:ext uri="{FF2B5EF4-FFF2-40B4-BE49-F238E27FC236}">
              <a16:creationId xmlns:a16="http://schemas.microsoft.com/office/drawing/2014/main" id="{00000000-0008-0000-0000-000055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672" name="TextBox 4671">
          <a:extLst>
            <a:ext uri="{FF2B5EF4-FFF2-40B4-BE49-F238E27FC236}">
              <a16:creationId xmlns:a16="http://schemas.microsoft.com/office/drawing/2014/main" id="{00000000-0008-0000-0000-000056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673" name="TextBox 4672">
          <a:extLst>
            <a:ext uri="{FF2B5EF4-FFF2-40B4-BE49-F238E27FC236}">
              <a16:creationId xmlns:a16="http://schemas.microsoft.com/office/drawing/2014/main" id="{00000000-0008-0000-0000-000057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674" name="TextBox 4673">
          <a:extLst>
            <a:ext uri="{FF2B5EF4-FFF2-40B4-BE49-F238E27FC236}">
              <a16:creationId xmlns:a16="http://schemas.microsoft.com/office/drawing/2014/main" id="{00000000-0008-0000-0000-000058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675" name="TextBox 4674">
          <a:extLst>
            <a:ext uri="{FF2B5EF4-FFF2-40B4-BE49-F238E27FC236}">
              <a16:creationId xmlns:a16="http://schemas.microsoft.com/office/drawing/2014/main" id="{00000000-0008-0000-0000-000059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676" name="TextBox 4675">
          <a:extLst>
            <a:ext uri="{FF2B5EF4-FFF2-40B4-BE49-F238E27FC236}">
              <a16:creationId xmlns:a16="http://schemas.microsoft.com/office/drawing/2014/main" id="{00000000-0008-0000-0000-00005A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677" name="TextBox 4676">
          <a:extLst>
            <a:ext uri="{FF2B5EF4-FFF2-40B4-BE49-F238E27FC236}">
              <a16:creationId xmlns:a16="http://schemas.microsoft.com/office/drawing/2014/main" id="{00000000-0008-0000-0000-00005B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678" name="TextBox 4677">
          <a:extLst>
            <a:ext uri="{FF2B5EF4-FFF2-40B4-BE49-F238E27FC236}">
              <a16:creationId xmlns:a16="http://schemas.microsoft.com/office/drawing/2014/main" id="{00000000-0008-0000-0000-00005C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679" name="TextBox 4678">
          <a:extLst>
            <a:ext uri="{FF2B5EF4-FFF2-40B4-BE49-F238E27FC236}">
              <a16:creationId xmlns:a16="http://schemas.microsoft.com/office/drawing/2014/main" id="{00000000-0008-0000-0000-00005D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680" name="TextBox 4679">
          <a:extLst>
            <a:ext uri="{FF2B5EF4-FFF2-40B4-BE49-F238E27FC236}">
              <a16:creationId xmlns:a16="http://schemas.microsoft.com/office/drawing/2014/main" id="{00000000-0008-0000-0000-00005E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681" name="TextBox 4680">
          <a:extLst>
            <a:ext uri="{FF2B5EF4-FFF2-40B4-BE49-F238E27FC236}">
              <a16:creationId xmlns:a16="http://schemas.microsoft.com/office/drawing/2014/main" id="{00000000-0008-0000-0000-00005F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682" name="TextBox 4681">
          <a:extLst>
            <a:ext uri="{FF2B5EF4-FFF2-40B4-BE49-F238E27FC236}">
              <a16:creationId xmlns:a16="http://schemas.microsoft.com/office/drawing/2014/main" id="{00000000-0008-0000-0000-000060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683" name="TextBox 4682">
          <a:extLst>
            <a:ext uri="{FF2B5EF4-FFF2-40B4-BE49-F238E27FC236}">
              <a16:creationId xmlns:a16="http://schemas.microsoft.com/office/drawing/2014/main" id="{00000000-0008-0000-0000-000061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684" name="TextBox 4683">
          <a:extLst>
            <a:ext uri="{FF2B5EF4-FFF2-40B4-BE49-F238E27FC236}">
              <a16:creationId xmlns:a16="http://schemas.microsoft.com/office/drawing/2014/main" id="{00000000-0008-0000-0000-000062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685" name="TextBox 4684">
          <a:extLst>
            <a:ext uri="{FF2B5EF4-FFF2-40B4-BE49-F238E27FC236}">
              <a16:creationId xmlns:a16="http://schemas.microsoft.com/office/drawing/2014/main" id="{00000000-0008-0000-0000-000063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686" name="TextBox 4685">
          <a:extLst>
            <a:ext uri="{FF2B5EF4-FFF2-40B4-BE49-F238E27FC236}">
              <a16:creationId xmlns:a16="http://schemas.microsoft.com/office/drawing/2014/main" id="{00000000-0008-0000-0000-000064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687" name="TextBox 4686">
          <a:extLst>
            <a:ext uri="{FF2B5EF4-FFF2-40B4-BE49-F238E27FC236}">
              <a16:creationId xmlns:a16="http://schemas.microsoft.com/office/drawing/2014/main" id="{00000000-0008-0000-0000-000065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688" name="TextBox 4687">
          <a:extLst>
            <a:ext uri="{FF2B5EF4-FFF2-40B4-BE49-F238E27FC236}">
              <a16:creationId xmlns:a16="http://schemas.microsoft.com/office/drawing/2014/main" id="{00000000-0008-0000-0000-000066010000}"/>
            </a:ext>
          </a:extLst>
        </xdr:cNvPr>
        <xdr:cNvSpPr txBox="1"/>
      </xdr:nvSpPr>
      <xdr:spPr>
        <a:xfrm>
          <a:off x="1258062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689" name="TextBox 4688">
          <a:extLst>
            <a:ext uri="{FF2B5EF4-FFF2-40B4-BE49-F238E27FC236}">
              <a16:creationId xmlns:a16="http://schemas.microsoft.com/office/drawing/2014/main" id="{00000000-0008-0000-0000-000067010000}"/>
            </a:ext>
          </a:extLst>
        </xdr:cNvPr>
        <xdr:cNvSpPr txBox="1"/>
      </xdr:nvSpPr>
      <xdr:spPr>
        <a:xfrm>
          <a:off x="1258062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690" name="TextBox 4689">
          <a:extLst>
            <a:ext uri="{FF2B5EF4-FFF2-40B4-BE49-F238E27FC236}">
              <a16:creationId xmlns:a16="http://schemas.microsoft.com/office/drawing/2014/main" id="{00000000-0008-0000-0000-000068010000}"/>
            </a:ext>
          </a:extLst>
        </xdr:cNvPr>
        <xdr:cNvSpPr txBox="1"/>
      </xdr:nvSpPr>
      <xdr:spPr>
        <a:xfrm>
          <a:off x="1258062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691" name="TextBox 4690">
          <a:extLst>
            <a:ext uri="{FF2B5EF4-FFF2-40B4-BE49-F238E27FC236}">
              <a16:creationId xmlns:a16="http://schemas.microsoft.com/office/drawing/2014/main" id="{00000000-0008-0000-0000-000069010000}"/>
            </a:ext>
          </a:extLst>
        </xdr:cNvPr>
        <xdr:cNvSpPr txBox="1"/>
      </xdr:nvSpPr>
      <xdr:spPr>
        <a:xfrm>
          <a:off x="1258062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692" name="TextBox 4691">
          <a:extLst>
            <a:ext uri="{FF2B5EF4-FFF2-40B4-BE49-F238E27FC236}">
              <a16:creationId xmlns:a16="http://schemas.microsoft.com/office/drawing/2014/main" id="{00000000-0008-0000-0000-00006A010000}"/>
            </a:ext>
          </a:extLst>
        </xdr:cNvPr>
        <xdr:cNvSpPr txBox="1"/>
      </xdr:nvSpPr>
      <xdr:spPr>
        <a:xfrm>
          <a:off x="1258062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693" name="TextBox 4692">
          <a:extLst>
            <a:ext uri="{FF2B5EF4-FFF2-40B4-BE49-F238E27FC236}">
              <a16:creationId xmlns:a16="http://schemas.microsoft.com/office/drawing/2014/main" id="{00000000-0008-0000-0000-00006B010000}"/>
            </a:ext>
          </a:extLst>
        </xdr:cNvPr>
        <xdr:cNvSpPr txBox="1"/>
      </xdr:nvSpPr>
      <xdr:spPr>
        <a:xfrm>
          <a:off x="1258062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694" name="TextBox 4693">
          <a:extLst>
            <a:ext uri="{FF2B5EF4-FFF2-40B4-BE49-F238E27FC236}">
              <a16:creationId xmlns:a16="http://schemas.microsoft.com/office/drawing/2014/main" id="{00000000-0008-0000-0000-00006C010000}"/>
            </a:ext>
          </a:extLst>
        </xdr:cNvPr>
        <xdr:cNvSpPr txBox="1"/>
      </xdr:nvSpPr>
      <xdr:spPr>
        <a:xfrm>
          <a:off x="1258062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695" name="TextBox 4694">
          <a:extLst>
            <a:ext uri="{FF2B5EF4-FFF2-40B4-BE49-F238E27FC236}">
              <a16:creationId xmlns:a16="http://schemas.microsoft.com/office/drawing/2014/main" id="{00000000-0008-0000-0000-00006D010000}"/>
            </a:ext>
          </a:extLst>
        </xdr:cNvPr>
        <xdr:cNvSpPr txBox="1"/>
      </xdr:nvSpPr>
      <xdr:spPr>
        <a:xfrm>
          <a:off x="1258062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696" name="TextBox 4695">
          <a:extLst>
            <a:ext uri="{FF2B5EF4-FFF2-40B4-BE49-F238E27FC236}">
              <a16:creationId xmlns:a16="http://schemas.microsoft.com/office/drawing/2014/main" id="{00000000-0008-0000-0000-00006E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697" name="TextBox 4696">
          <a:extLst>
            <a:ext uri="{FF2B5EF4-FFF2-40B4-BE49-F238E27FC236}">
              <a16:creationId xmlns:a16="http://schemas.microsoft.com/office/drawing/2014/main" id="{00000000-0008-0000-0000-00006F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698" name="TextBox 4697">
          <a:extLst>
            <a:ext uri="{FF2B5EF4-FFF2-40B4-BE49-F238E27FC236}">
              <a16:creationId xmlns:a16="http://schemas.microsoft.com/office/drawing/2014/main" id="{00000000-0008-0000-0000-000070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699" name="TextBox 4698">
          <a:extLst>
            <a:ext uri="{FF2B5EF4-FFF2-40B4-BE49-F238E27FC236}">
              <a16:creationId xmlns:a16="http://schemas.microsoft.com/office/drawing/2014/main" id="{00000000-0008-0000-0000-000071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700" name="TextBox 4699">
          <a:extLst>
            <a:ext uri="{FF2B5EF4-FFF2-40B4-BE49-F238E27FC236}">
              <a16:creationId xmlns:a16="http://schemas.microsoft.com/office/drawing/2014/main" id="{00000000-0008-0000-0000-000072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701" name="TextBox 4700">
          <a:extLst>
            <a:ext uri="{FF2B5EF4-FFF2-40B4-BE49-F238E27FC236}">
              <a16:creationId xmlns:a16="http://schemas.microsoft.com/office/drawing/2014/main" id="{00000000-0008-0000-0000-000073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702" name="TextBox 4701">
          <a:extLst>
            <a:ext uri="{FF2B5EF4-FFF2-40B4-BE49-F238E27FC236}">
              <a16:creationId xmlns:a16="http://schemas.microsoft.com/office/drawing/2014/main" id="{00000000-0008-0000-0000-000074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703" name="TextBox 4702">
          <a:extLst>
            <a:ext uri="{FF2B5EF4-FFF2-40B4-BE49-F238E27FC236}">
              <a16:creationId xmlns:a16="http://schemas.microsoft.com/office/drawing/2014/main" id="{00000000-0008-0000-0000-000075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704" name="TextBox 4703">
          <a:extLst>
            <a:ext uri="{FF2B5EF4-FFF2-40B4-BE49-F238E27FC236}">
              <a16:creationId xmlns:a16="http://schemas.microsoft.com/office/drawing/2014/main" id="{00000000-0008-0000-0000-000076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705" name="TextBox 4704">
          <a:extLst>
            <a:ext uri="{FF2B5EF4-FFF2-40B4-BE49-F238E27FC236}">
              <a16:creationId xmlns:a16="http://schemas.microsoft.com/office/drawing/2014/main" id="{00000000-0008-0000-0000-000077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706" name="TextBox 4705">
          <a:extLst>
            <a:ext uri="{FF2B5EF4-FFF2-40B4-BE49-F238E27FC236}">
              <a16:creationId xmlns:a16="http://schemas.microsoft.com/office/drawing/2014/main" id="{00000000-0008-0000-0000-000078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707" name="TextBox 4706">
          <a:extLst>
            <a:ext uri="{FF2B5EF4-FFF2-40B4-BE49-F238E27FC236}">
              <a16:creationId xmlns:a16="http://schemas.microsoft.com/office/drawing/2014/main" id="{00000000-0008-0000-0000-000079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708" name="TextBox 4707">
          <a:extLst>
            <a:ext uri="{FF2B5EF4-FFF2-40B4-BE49-F238E27FC236}">
              <a16:creationId xmlns:a16="http://schemas.microsoft.com/office/drawing/2014/main" id="{00000000-0008-0000-0000-00007A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709" name="TextBox 4708">
          <a:extLst>
            <a:ext uri="{FF2B5EF4-FFF2-40B4-BE49-F238E27FC236}">
              <a16:creationId xmlns:a16="http://schemas.microsoft.com/office/drawing/2014/main" id="{00000000-0008-0000-0000-00007B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710" name="TextBox 4709">
          <a:extLst>
            <a:ext uri="{FF2B5EF4-FFF2-40B4-BE49-F238E27FC236}">
              <a16:creationId xmlns:a16="http://schemas.microsoft.com/office/drawing/2014/main" id="{00000000-0008-0000-0000-00007C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711" name="TextBox 4710">
          <a:extLst>
            <a:ext uri="{FF2B5EF4-FFF2-40B4-BE49-F238E27FC236}">
              <a16:creationId xmlns:a16="http://schemas.microsoft.com/office/drawing/2014/main" id="{00000000-0008-0000-0000-00007D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712" name="TextBox 4711">
          <a:extLst>
            <a:ext uri="{FF2B5EF4-FFF2-40B4-BE49-F238E27FC236}">
              <a16:creationId xmlns:a16="http://schemas.microsoft.com/office/drawing/2014/main" id="{00000000-0008-0000-0000-00007E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713" name="TextBox 4712">
          <a:extLst>
            <a:ext uri="{FF2B5EF4-FFF2-40B4-BE49-F238E27FC236}">
              <a16:creationId xmlns:a16="http://schemas.microsoft.com/office/drawing/2014/main" id="{00000000-0008-0000-0000-00007F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714" name="TextBox 4713">
          <a:extLst>
            <a:ext uri="{FF2B5EF4-FFF2-40B4-BE49-F238E27FC236}">
              <a16:creationId xmlns:a16="http://schemas.microsoft.com/office/drawing/2014/main" id="{00000000-0008-0000-0000-000080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715" name="TextBox 4714">
          <a:extLst>
            <a:ext uri="{FF2B5EF4-FFF2-40B4-BE49-F238E27FC236}">
              <a16:creationId xmlns:a16="http://schemas.microsoft.com/office/drawing/2014/main" id="{00000000-0008-0000-0000-000081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716" name="TextBox 4715">
          <a:extLst>
            <a:ext uri="{FF2B5EF4-FFF2-40B4-BE49-F238E27FC236}">
              <a16:creationId xmlns:a16="http://schemas.microsoft.com/office/drawing/2014/main" id="{00000000-0008-0000-0000-000082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717" name="TextBox 4716">
          <a:extLst>
            <a:ext uri="{FF2B5EF4-FFF2-40B4-BE49-F238E27FC236}">
              <a16:creationId xmlns:a16="http://schemas.microsoft.com/office/drawing/2014/main" id="{00000000-0008-0000-0000-000083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718" name="TextBox 4717">
          <a:extLst>
            <a:ext uri="{FF2B5EF4-FFF2-40B4-BE49-F238E27FC236}">
              <a16:creationId xmlns:a16="http://schemas.microsoft.com/office/drawing/2014/main" id="{00000000-0008-0000-0000-000084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719" name="TextBox 4718">
          <a:extLst>
            <a:ext uri="{FF2B5EF4-FFF2-40B4-BE49-F238E27FC236}">
              <a16:creationId xmlns:a16="http://schemas.microsoft.com/office/drawing/2014/main" id="{00000000-0008-0000-0000-000085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720" name="TextBox 4719">
          <a:extLst>
            <a:ext uri="{FF2B5EF4-FFF2-40B4-BE49-F238E27FC236}">
              <a16:creationId xmlns:a16="http://schemas.microsoft.com/office/drawing/2014/main" id="{00000000-0008-0000-0000-000086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721" name="TextBox 4720">
          <a:extLst>
            <a:ext uri="{FF2B5EF4-FFF2-40B4-BE49-F238E27FC236}">
              <a16:creationId xmlns:a16="http://schemas.microsoft.com/office/drawing/2014/main" id="{00000000-0008-0000-0000-000087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722" name="TextBox 4721">
          <a:extLst>
            <a:ext uri="{FF2B5EF4-FFF2-40B4-BE49-F238E27FC236}">
              <a16:creationId xmlns:a16="http://schemas.microsoft.com/office/drawing/2014/main" id="{00000000-0008-0000-0000-000088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723" name="TextBox 4722">
          <a:extLst>
            <a:ext uri="{FF2B5EF4-FFF2-40B4-BE49-F238E27FC236}">
              <a16:creationId xmlns:a16="http://schemas.microsoft.com/office/drawing/2014/main" id="{00000000-0008-0000-0000-000089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724" name="TextBox 4723">
          <a:extLst>
            <a:ext uri="{FF2B5EF4-FFF2-40B4-BE49-F238E27FC236}">
              <a16:creationId xmlns:a16="http://schemas.microsoft.com/office/drawing/2014/main" id="{00000000-0008-0000-0000-00008A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725" name="TextBox 4724">
          <a:extLst>
            <a:ext uri="{FF2B5EF4-FFF2-40B4-BE49-F238E27FC236}">
              <a16:creationId xmlns:a16="http://schemas.microsoft.com/office/drawing/2014/main" id="{00000000-0008-0000-0000-00008B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726" name="TextBox 4725">
          <a:extLst>
            <a:ext uri="{FF2B5EF4-FFF2-40B4-BE49-F238E27FC236}">
              <a16:creationId xmlns:a16="http://schemas.microsoft.com/office/drawing/2014/main" id="{00000000-0008-0000-0000-00008C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727" name="TextBox 4726">
          <a:extLst>
            <a:ext uri="{FF2B5EF4-FFF2-40B4-BE49-F238E27FC236}">
              <a16:creationId xmlns:a16="http://schemas.microsoft.com/office/drawing/2014/main" id="{00000000-0008-0000-0000-00008D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728" name="TextBox 4727">
          <a:extLst>
            <a:ext uri="{FF2B5EF4-FFF2-40B4-BE49-F238E27FC236}">
              <a16:creationId xmlns:a16="http://schemas.microsoft.com/office/drawing/2014/main" id="{00000000-0008-0000-0000-00008E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729" name="TextBox 4728">
          <a:extLst>
            <a:ext uri="{FF2B5EF4-FFF2-40B4-BE49-F238E27FC236}">
              <a16:creationId xmlns:a16="http://schemas.microsoft.com/office/drawing/2014/main" id="{00000000-0008-0000-0000-00008F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730" name="TextBox 4729">
          <a:extLst>
            <a:ext uri="{FF2B5EF4-FFF2-40B4-BE49-F238E27FC236}">
              <a16:creationId xmlns:a16="http://schemas.microsoft.com/office/drawing/2014/main" id="{00000000-0008-0000-0000-000090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731" name="TextBox 4730">
          <a:extLst>
            <a:ext uri="{FF2B5EF4-FFF2-40B4-BE49-F238E27FC236}">
              <a16:creationId xmlns:a16="http://schemas.microsoft.com/office/drawing/2014/main" id="{00000000-0008-0000-0000-000091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732" name="TextBox 4731">
          <a:extLst>
            <a:ext uri="{FF2B5EF4-FFF2-40B4-BE49-F238E27FC236}">
              <a16:creationId xmlns:a16="http://schemas.microsoft.com/office/drawing/2014/main" id="{00000000-0008-0000-0000-000092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733" name="TextBox 4732">
          <a:extLst>
            <a:ext uri="{FF2B5EF4-FFF2-40B4-BE49-F238E27FC236}">
              <a16:creationId xmlns:a16="http://schemas.microsoft.com/office/drawing/2014/main" id="{00000000-0008-0000-0000-000093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734" name="TextBox 4733">
          <a:extLst>
            <a:ext uri="{FF2B5EF4-FFF2-40B4-BE49-F238E27FC236}">
              <a16:creationId xmlns:a16="http://schemas.microsoft.com/office/drawing/2014/main" id="{00000000-0008-0000-0000-000094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735" name="TextBox 4734">
          <a:extLst>
            <a:ext uri="{FF2B5EF4-FFF2-40B4-BE49-F238E27FC236}">
              <a16:creationId xmlns:a16="http://schemas.microsoft.com/office/drawing/2014/main" id="{00000000-0008-0000-0000-000095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736" name="TextBox 4735">
          <a:extLst>
            <a:ext uri="{FF2B5EF4-FFF2-40B4-BE49-F238E27FC236}">
              <a16:creationId xmlns:a16="http://schemas.microsoft.com/office/drawing/2014/main" id="{00000000-0008-0000-0000-000096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737" name="TextBox 4736">
          <a:extLst>
            <a:ext uri="{FF2B5EF4-FFF2-40B4-BE49-F238E27FC236}">
              <a16:creationId xmlns:a16="http://schemas.microsoft.com/office/drawing/2014/main" id="{00000000-0008-0000-0000-000097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738" name="TextBox 4737">
          <a:extLst>
            <a:ext uri="{FF2B5EF4-FFF2-40B4-BE49-F238E27FC236}">
              <a16:creationId xmlns:a16="http://schemas.microsoft.com/office/drawing/2014/main" id="{00000000-0008-0000-0000-000098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739" name="TextBox 4738">
          <a:extLst>
            <a:ext uri="{FF2B5EF4-FFF2-40B4-BE49-F238E27FC236}">
              <a16:creationId xmlns:a16="http://schemas.microsoft.com/office/drawing/2014/main" id="{00000000-0008-0000-0000-000099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740" name="TextBox 4739">
          <a:extLst>
            <a:ext uri="{FF2B5EF4-FFF2-40B4-BE49-F238E27FC236}">
              <a16:creationId xmlns:a16="http://schemas.microsoft.com/office/drawing/2014/main" id="{00000000-0008-0000-0000-00009A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741" name="TextBox 4740">
          <a:extLst>
            <a:ext uri="{FF2B5EF4-FFF2-40B4-BE49-F238E27FC236}">
              <a16:creationId xmlns:a16="http://schemas.microsoft.com/office/drawing/2014/main" id="{00000000-0008-0000-0000-00009B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742" name="TextBox 4741">
          <a:extLst>
            <a:ext uri="{FF2B5EF4-FFF2-40B4-BE49-F238E27FC236}">
              <a16:creationId xmlns:a16="http://schemas.microsoft.com/office/drawing/2014/main" id="{00000000-0008-0000-0000-00009C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743" name="TextBox 4742">
          <a:extLst>
            <a:ext uri="{FF2B5EF4-FFF2-40B4-BE49-F238E27FC236}">
              <a16:creationId xmlns:a16="http://schemas.microsoft.com/office/drawing/2014/main" id="{00000000-0008-0000-0000-00009D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744" name="TextBox 4743">
          <a:extLst>
            <a:ext uri="{FF2B5EF4-FFF2-40B4-BE49-F238E27FC236}">
              <a16:creationId xmlns:a16="http://schemas.microsoft.com/office/drawing/2014/main" id="{00000000-0008-0000-0000-00009E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745" name="TextBox 4744">
          <a:extLst>
            <a:ext uri="{FF2B5EF4-FFF2-40B4-BE49-F238E27FC236}">
              <a16:creationId xmlns:a16="http://schemas.microsoft.com/office/drawing/2014/main" id="{00000000-0008-0000-0000-00009F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746" name="TextBox 4745">
          <a:extLst>
            <a:ext uri="{FF2B5EF4-FFF2-40B4-BE49-F238E27FC236}">
              <a16:creationId xmlns:a16="http://schemas.microsoft.com/office/drawing/2014/main" id="{00000000-0008-0000-0000-0000A0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747" name="TextBox 4746">
          <a:extLst>
            <a:ext uri="{FF2B5EF4-FFF2-40B4-BE49-F238E27FC236}">
              <a16:creationId xmlns:a16="http://schemas.microsoft.com/office/drawing/2014/main" id="{00000000-0008-0000-0000-0000A1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748" name="TextBox 4747">
          <a:extLst>
            <a:ext uri="{FF2B5EF4-FFF2-40B4-BE49-F238E27FC236}">
              <a16:creationId xmlns:a16="http://schemas.microsoft.com/office/drawing/2014/main" id="{00000000-0008-0000-0000-0000A2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749" name="TextBox 4748">
          <a:extLst>
            <a:ext uri="{FF2B5EF4-FFF2-40B4-BE49-F238E27FC236}">
              <a16:creationId xmlns:a16="http://schemas.microsoft.com/office/drawing/2014/main" id="{00000000-0008-0000-0000-0000A3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750" name="TextBox 4749">
          <a:extLst>
            <a:ext uri="{FF2B5EF4-FFF2-40B4-BE49-F238E27FC236}">
              <a16:creationId xmlns:a16="http://schemas.microsoft.com/office/drawing/2014/main" id="{00000000-0008-0000-0000-0000A4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751" name="TextBox 4750">
          <a:extLst>
            <a:ext uri="{FF2B5EF4-FFF2-40B4-BE49-F238E27FC236}">
              <a16:creationId xmlns:a16="http://schemas.microsoft.com/office/drawing/2014/main" id="{00000000-0008-0000-0000-0000A5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752" name="TextBox 4751">
          <a:extLst>
            <a:ext uri="{FF2B5EF4-FFF2-40B4-BE49-F238E27FC236}">
              <a16:creationId xmlns:a16="http://schemas.microsoft.com/office/drawing/2014/main" id="{00000000-0008-0000-0000-0000A6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753" name="TextBox 4752">
          <a:extLst>
            <a:ext uri="{FF2B5EF4-FFF2-40B4-BE49-F238E27FC236}">
              <a16:creationId xmlns:a16="http://schemas.microsoft.com/office/drawing/2014/main" id="{00000000-0008-0000-0000-0000A7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754" name="TextBox 4753">
          <a:extLst>
            <a:ext uri="{FF2B5EF4-FFF2-40B4-BE49-F238E27FC236}">
              <a16:creationId xmlns:a16="http://schemas.microsoft.com/office/drawing/2014/main" id="{00000000-0008-0000-0000-0000A8010000}"/>
            </a:ext>
          </a:extLst>
        </xdr:cNvPr>
        <xdr:cNvSpPr txBox="1"/>
      </xdr:nvSpPr>
      <xdr:spPr>
        <a:xfrm>
          <a:off x="1258062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755" name="TextBox 4754">
          <a:extLst>
            <a:ext uri="{FF2B5EF4-FFF2-40B4-BE49-F238E27FC236}">
              <a16:creationId xmlns:a16="http://schemas.microsoft.com/office/drawing/2014/main" id="{00000000-0008-0000-0000-0000A9010000}"/>
            </a:ext>
          </a:extLst>
        </xdr:cNvPr>
        <xdr:cNvSpPr txBox="1"/>
      </xdr:nvSpPr>
      <xdr:spPr>
        <a:xfrm>
          <a:off x="1258062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756" name="TextBox 4755">
          <a:extLst>
            <a:ext uri="{FF2B5EF4-FFF2-40B4-BE49-F238E27FC236}">
              <a16:creationId xmlns:a16="http://schemas.microsoft.com/office/drawing/2014/main" id="{00000000-0008-0000-0000-0000AA010000}"/>
            </a:ext>
          </a:extLst>
        </xdr:cNvPr>
        <xdr:cNvSpPr txBox="1"/>
      </xdr:nvSpPr>
      <xdr:spPr>
        <a:xfrm>
          <a:off x="1258062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757" name="TextBox 4756">
          <a:extLst>
            <a:ext uri="{FF2B5EF4-FFF2-40B4-BE49-F238E27FC236}">
              <a16:creationId xmlns:a16="http://schemas.microsoft.com/office/drawing/2014/main" id="{00000000-0008-0000-0000-0000AB010000}"/>
            </a:ext>
          </a:extLst>
        </xdr:cNvPr>
        <xdr:cNvSpPr txBox="1"/>
      </xdr:nvSpPr>
      <xdr:spPr>
        <a:xfrm>
          <a:off x="1258062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758" name="TextBox 4757">
          <a:extLst>
            <a:ext uri="{FF2B5EF4-FFF2-40B4-BE49-F238E27FC236}">
              <a16:creationId xmlns:a16="http://schemas.microsoft.com/office/drawing/2014/main" id="{00000000-0008-0000-0000-0000AC010000}"/>
            </a:ext>
          </a:extLst>
        </xdr:cNvPr>
        <xdr:cNvSpPr txBox="1"/>
      </xdr:nvSpPr>
      <xdr:spPr>
        <a:xfrm>
          <a:off x="1258062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759" name="TextBox 4758">
          <a:extLst>
            <a:ext uri="{FF2B5EF4-FFF2-40B4-BE49-F238E27FC236}">
              <a16:creationId xmlns:a16="http://schemas.microsoft.com/office/drawing/2014/main" id="{00000000-0008-0000-0000-0000AD010000}"/>
            </a:ext>
          </a:extLst>
        </xdr:cNvPr>
        <xdr:cNvSpPr txBox="1"/>
      </xdr:nvSpPr>
      <xdr:spPr>
        <a:xfrm>
          <a:off x="1258062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760" name="TextBox 4759">
          <a:extLst>
            <a:ext uri="{FF2B5EF4-FFF2-40B4-BE49-F238E27FC236}">
              <a16:creationId xmlns:a16="http://schemas.microsoft.com/office/drawing/2014/main" id="{00000000-0008-0000-0000-0000AE010000}"/>
            </a:ext>
          </a:extLst>
        </xdr:cNvPr>
        <xdr:cNvSpPr txBox="1"/>
      </xdr:nvSpPr>
      <xdr:spPr>
        <a:xfrm>
          <a:off x="1258062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761" name="TextBox 4760">
          <a:extLst>
            <a:ext uri="{FF2B5EF4-FFF2-40B4-BE49-F238E27FC236}">
              <a16:creationId xmlns:a16="http://schemas.microsoft.com/office/drawing/2014/main" id="{00000000-0008-0000-0000-0000AF010000}"/>
            </a:ext>
          </a:extLst>
        </xdr:cNvPr>
        <xdr:cNvSpPr txBox="1"/>
      </xdr:nvSpPr>
      <xdr:spPr>
        <a:xfrm>
          <a:off x="1258062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4762" name="TextBox 4761">
          <a:extLst>
            <a:ext uri="{FF2B5EF4-FFF2-40B4-BE49-F238E27FC236}">
              <a16:creationId xmlns:a16="http://schemas.microsoft.com/office/drawing/2014/main" id="{00000000-0008-0000-0000-0000B0010000}"/>
            </a:ext>
          </a:extLst>
        </xdr:cNvPr>
        <xdr:cNvSpPr txBox="1"/>
      </xdr:nvSpPr>
      <xdr:spPr>
        <a:xfrm>
          <a:off x="8267700" y="33550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4763" name="TextBox 4762">
          <a:extLst>
            <a:ext uri="{FF2B5EF4-FFF2-40B4-BE49-F238E27FC236}">
              <a16:creationId xmlns:a16="http://schemas.microsoft.com/office/drawing/2014/main" id="{00000000-0008-0000-0000-0000B1010000}"/>
            </a:ext>
          </a:extLst>
        </xdr:cNvPr>
        <xdr:cNvSpPr txBox="1"/>
      </xdr:nvSpPr>
      <xdr:spPr>
        <a:xfrm>
          <a:off x="8267700" y="33550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764" name="TextBox 4763">
          <a:extLst>
            <a:ext uri="{FF2B5EF4-FFF2-40B4-BE49-F238E27FC236}">
              <a16:creationId xmlns:a16="http://schemas.microsoft.com/office/drawing/2014/main" id="{00000000-0008-0000-0000-0000B2010000}"/>
            </a:ext>
          </a:extLst>
        </xdr:cNvPr>
        <xdr:cNvSpPr txBox="1"/>
      </xdr:nvSpPr>
      <xdr:spPr>
        <a:xfrm>
          <a:off x="12580620" y="3396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765" name="TextBox 4764">
          <a:extLst>
            <a:ext uri="{FF2B5EF4-FFF2-40B4-BE49-F238E27FC236}">
              <a16:creationId xmlns:a16="http://schemas.microsoft.com/office/drawing/2014/main" id="{00000000-0008-0000-0000-0000B3010000}"/>
            </a:ext>
          </a:extLst>
        </xdr:cNvPr>
        <xdr:cNvSpPr txBox="1"/>
      </xdr:nvSpPr>
      <xdr:spPr>
        <a:xfrm>
          <a:off x="12580620" y="3396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766" name="TextBox 4765">
          <a:extLst>
            <a:ext uri="{FF2B5EF4-FFF2-40B4-BE49-F238E27FC236}">
              <a16:creationId xmlns:a16="http://schemas.microsoft.com/office/drawing/2014/main" id="{00000000-0008-0000-0000-0000B4010000}"/>
            </a:ext>
          </a:extLst>
        </xdr:cNvPr>
        <xdr:cNvSpPr txBox="1"/>
      </xdr:nvSpPr>
      <xdr:spPr>
        <a:xfrm>
          <a:off x="12580620" y="3396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767" name="TextBox 4766">
          <a:extLst>
            <a:ext uri="{FF2B5EF4-FFF2-40B4-BE49-F238E27FC236}">
              <a16:creationId xmlns:a16="http://schemas.microsoft.com/office/drawing/2014/main" id="{00000000-0008-0000-0000-0000B5010000}"/>
            </a:ext>
          </a:extLst>
        </xdr:cNvPr>
        <xdr:cNvSpPr txBox="1"/>
      </xdr:nvSpPr>
      <xdr:spPr>
        <a:xfrm>
          <a:off x="12580620" y="3396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768" name="TextBox 4767">
          <a:extLst>
            <a:ext uri="{FF2B5EF4-FFF2-40B4-BE49-F238E27FC236}">
              <a16:creationId xmlns:a16="http://schemas.microsoft.com/office/drawing/2014/main" id="{00000000-0008-0000-0000-0000B6010000}"/>
            </a:ext>
          </a:extLst>
        </xdr:cNvPr>
        <xdr:cNvSpPr txBox="1"/>
      </xdr:nvSpPr>
      <xdr:spPr>
        <a:xfrm>
          <a:off x="12580620" y="3396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769" name="TextBox 4768">
          <a:extLst>
            <a:ext uri="{FF2B5EF4-FFF2-40B4-BE49-F238E27FC236}">
              <a16:creationId xmlns:a16="http://schemas.microsoft.com/office/drawing/2014/main" id="{00000000-0008-0000-0000-0000B7010000}"/>
            </a:ext>
          </a:extLst>
        </xdr:cNvPr>
        <xdr:cNvSpPr txBox="1"/>
      </xdr:nvSpPr>
      <xdr:spPr>
        <a:xfrm>
          <a:off x="12580620" y="3396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770" name="TextBox 4769">
          <a:extLst>
            <a:ext uri="{FF2B5EF4-FFF2-40B4-BE49-F238E27FC236}">
              <a16:creationId xmlns:a16="http://schemas.microsoft.com/office/drawing/2014/main" id="{00000000-0008-0000-0000-0000B8010000}"/>
            </a:ext>
          </a:extLst>
        </xdr:cNvPr>
        <xdr:cNvSpPr txBox="1"/>
      </xdr:nvSpPr>
      <xdr:spPr>
        <a:xfrm>
          <a:off x="12580620" y="3396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771" name="TextBox 4770">
          <a:extLst>
            <a:ext uri="{FF2B5EF4-FFF2-40B4-BE49-F238E27FC236}">
              <a16:creationId xmlns:a16="http://schemas.microsoft.com/office/drawing/2014/main" id="{00000000-0008-0000-0000-0000B9010000}"/>
            </a:ext>
          </a:extLst>
        </xdr:cNvPr>
        <xdr:cNvSpPr txBox="1"/>
      </xdr:nvSpPr>
      <xdr:spPr>
        <a:xfrm>
          <a:off x="12580620" y="3396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772" name="TextBox 4771">
          <a:extLst>
            <a:ext uri="{FF2B5EF4-FFF2-40B4-BE49-F238E27FC236}">
              <a16:creationId xmlns:a16="http://schemas.microsoft.com/office/drawing/2014/main" id="{00000000-0008-0000-0000-0000BA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773" name="TextBox 4772">
          <a:extLst>
            <a:ext uri="{FF2B5EF4-FFF2-40B4-BE49-F238E27FC236}">
              <a16:creationId xmlns:a16="http://schemas.microsoft.com/office/drawing/2014/main" id="{00000000-0008-0000-0000-0000BB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774" name="TextBox 4773">
          <a:extLst>
            <a:ext uri="{FF2B5EF4-FFF2-40B4-BE49-F238E27FC236}">
              <a16:creationId xmlns:a16="http://schemas.microsoft.com/office/drawing/2014/main" id="{00000000-0008-0000-0000-0000BC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775" name="TextBox 4774">
          <a:extLst>
            <a:ext uri="{FF2B5EF4-FFF2-40B4-BE49-F238E27FC236}">
              <a16:creationId xmlns:a16="http://schemas.microsoft.com/office/drawing/2014/main" id="{00000000-0008-0000-0000-0000BD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776" name="TextBox 4775">
          <a:extLst>
            <a:ext uri="{FF2B5EF4-FFF2-40B4-BE49-F238E27FC236}">
              <a16:creationId xmlns:a16="http://schemas.microsoft.com/office/drawing/2014/main" id="{00000000-0008-0000-0000-0000BE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777" name="TextBox 4776">
          <a:extLst>
            <a:ext uri="{FF2B5EF4-FFF2-40B4-BE49-F238E27FC236}">
              <a16:creationId xmlns:a16="http://schemas.microsoft.com/office/drawing/2014/main" id="{00000000-0008-0000-0000-0000BF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778" name="TextBox 4777">
          <a:extLst>
            <a:ext uri="{FF2B5EF4-FFF2-40B4-BE49-F238E27FC236}">
              <a16:creationId xmlns:a16="http://schemas.microsoft.com/office/drawing/2014/main" id="{00000000-0008-0000-0000-0000C0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779" name="TextBox 4778">
          <a:extLst>
            <a:ext uri="{FF2B5EF4-FFF2-40B4-BE49-F238E27FC236}">
              <a16:creationId xmlns:a16="http://schemas.microsoft.com/office/drawing/2014/main" id="{00000000-0008-0000-0000-0000C1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780" name="TextBox 4779">
          <a:extLst>
            <a:ext uri="{FF2B5EF4-FFF2-40B4-BE49-F238E27FC236}">
              <a16:creationId xmlns:a16="http://schemas.microsoft.com/office/drawing/2014/main" id="{00000000-0008-0000-0000-0000C2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781" name="TextBox 4780">
          <a:extLst>
            <a:ext uri="{FF2B5EF4-FFF2-40B4-BE49-F238E27FC236}">
              <a16:creationId xmlns:a16="http://schemas.microsoft.com/office/drawing/2014/main" id="{00000000-0008-0000-0000-0000C3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782" name="TextBox 4781">
          <a:extLst>
            <a:ext uri="{FF2B5EF4-FFF2-40B4-BE49-F238E27FC236}">
              <a16:creationId xmlns:a16="http://schemas.microsoft.com/office/drawing/2014/main" id="{00000000-0008-0000-0000-0000C4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783" name="TextBox 4782">
          <a:extLst>
            <a:ext uri="{FF2B5EF4-FFF2-40B4-BE49-F238E27FC236}">
              <a16:creationId xmlns:a16="http://schemas.microsoft.com/office/drawing/2014/main" id="{00000000-0008-0000-0000-0000C5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784" name="TextBox 4783">
          <a:extLst>
            <a:ext uri="{FF2B5EF4-FFF2-40B4-BE49-F238E27FC236}">
              <a16:creationId xmlns:a16="http://schemas.microsoft.com/office/drawing/2014/main" id="{00000000-0008-0000-0000-0000C6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785" name="TextBox 4784">
          <a:extLst>
            <a:ext uri="{FF2B5EF4-FFF2-40B4-BE49-F238E27FC236}">
              <a16:creationId xmlns:a16="http://schemas.microsoft.com/office/drawing/2014/main" id="{00000000-0008-0000-0000-0000C7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786" name="TextBox 4785">
          <a:extLst>
            <a:ext uri="{FF2B5EF4-FFF2-40B4-BE49-F238E27FC236}">
              <a16:creationId xmlns:a16="http://schemas.microsoft.com/office/drawing/2014/main" id="{00000000-0008-0000-0000-0000C8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787" name="TextBox 4786">
          <a:extLst>
            <a:ext uri="{FF2B5EF4-FFF2-40B4-BE49-F238E27FC236}">
              <a16:creationId xmlns:a16="http://schemas.microsoft.com/office/drawing/2014/main" id="{00000000-0008-0000-0000-0000C9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788" name="TextBox 4787">
          <a:extLst>
            <a:ext uri="{FF2B5EF4-FFF2-40B4-BE49-F238E27FC236}">
              <a16:creationId xmlns:a16="http://schemas.microsoft.com/office/drawing/2014/main" id="{00000000-0008-0000-0000-0000CA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789" name="TextBox 4788">
          <a:extLst>
            <a:ext uri="{FF2B5EF4-FFF2-40B4-BE49-F238E27FC236}">
              <a16:creationId xmlns:a16="http://schemas.microsoft.com/office/drawing/2014/main" id="{00000000-0008-0000-0000-0000CB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790" name="TextBox 4789">
          <a:extLst>
            <a:ext uri="{FF2B5EF4-FFF2-40B4-BE49-F238E27FC236}">
              <a16:creationId xmlns:a16="http://schemas.microsoft.com/office/drawing/2014/main" id="{00000000-0008-0000-0000-0000CC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791" name="TextBox 4790">
          <a:extLst>
            <a:ext uri="{FF2B5EF4-FFF2-40B4-BE49-F238E27FC236}">
              <a16:creationId xmlns:a16="http://schemas.microsoft.com/office/drawing/2014/main" id="{00000000-0008-0000-0000-0000CD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792" name="TextBox 4791">
          <a:extLst>
            <a:ext uri="{FF2B5EF4-FFF2-40B4-BE49-F238E27FC236}">
              <a16:creationId xmlns:a16="http://schemas.microsoft.com/office/drawing/2014/main" id="{00000000-0008-0000-0000-0000CE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793" name="TextBox 4792">
          <a:extLst>
            <a:ext uri="{FF2B5EF4-FFF2-40B4-BE49-F238E27FC236}">
              <a16:creationId xmlns:a16="http://schemas.microsoft.com/office/drawing/2014/main" id="{00000000-0008-0000-0000-0000CF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794" name="TextBox 4793">
          <a:extLst>
            <a:ext uri="{FF2B5EF4-FFF2-40B4-BE49-F238E27FC236}">
              <a16:creationId xmlns:a16="http://schemas.microsoft.com/office/drawing/2014/main" id="{00000000-0008-0000-0000-0000D0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795" name="TextBox 4794">
          <a:extLst>
            <a:ext uri="{FF2B5EF4-FFF2-40B4-BE49-F238E27FC236}">
              <a16:creationId xmlns:a16="http://schemas.microsoft.com/office/drawing/2014/main" id="{00000000-0008-0000-0000-0000D1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796" name="TextBox 4795">
          <a:extLst>
            <a:ext uri="{FF2B5EF4-FFF2-40B4-BE49-F238E27FC236}">
              <a16:creationId xmlns:a16="http://schemas.microsoft.com/office/drawing/2014/main" id="{00000000-0008-0000-0000-0000D2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797" name="TextBox 4796">
          <a:extLst>
            <a:ext uri="{FF2B5EF4-FFF2-40B4-BE49-F238E27FC236}">
              <a16:creationId xmlns:a16="http://schemas.microsoft.com/office/drawing/2014/main" id="{00000000-0008-0000-0000-0000D3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798" name="TextBox 4797">
          <a:extLst>
            <a:ext uri="{FF2B5EF4-FFF2-40B4-BE49-F238E27FC236}">
              <a16:creationId xmlns:a16="http://schemas.microsoft.com/office/drawing/2014/main" id="{00000000-0008-0000-0000-0000D4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799" name="TextBox 4798">
          <a:extLst>
            <a:ext uri="{FF2B5EF4-FFF2-40B4-BE49-F238E27FC236}">
              <a16:creationId xmlns:a16="http://schemas.microsoft.com/office/drawing/2014/main" id="{00000000-0008-0000-0000-0000D5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800" name="TextBox 4799">
          <a:extLst>
            <a:ext uri="{FF2B5EF4-FFF2-40B4-BE49-F238E27FC236}">
              <a16:creationId xmlns:a16="http://schemas.microsoft.com/office/drawing/2014/main" id="{00000000-0008-0000-0000-0000D6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801" name="TextBox 4800">
          <a:extLst>
            <a:ext uri="{FF2B5EF4-FFF2-40B4-BE49-F238E27FC236}">
              <a16:creationId xmlns:a16="http://schemas.microsoft.com/office/drawing/2014/main" id="{00000000-0008-0000-0000-0000D7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802" name="TextBox 4801">
          <a:extLst>
            <a:ext uri="{FF2B5EF4-FFF2-40B4-BE49-F238E27FC236}">
              <a16:creationId xmlns:a16="http://schemas.microsoft.com/office/drawing/2014/main" id="{00000000-0008-0000-0000-0000D8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803" name="TextBox 4802">
          <a:extLst>
            <a:ext uri="{FF2B5EF4-FFF2-40B4-BE49-F238E27FC236}">
              <a16:creationId xmlns:a16="http://schemas.microsoft.com/office/drawing/2014/main" id="{00000000-0008-0000-0000-0000D9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804" name="TextBox 4803">
          <a:extLst>
            <a:ext uri="{FF2B5EF4-FFF2-40B4-BE49-F238E27FC236}">
              <a16:creationId xmlns:a16="http://schemas.microsoft.com/office/drawing/2014/main" id="{00000000-0008-0000-0000-0000DA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805" name="TextBox 4804">
          <a:extLst>
            <a:ext uri="{FF2B5EF4-FFF2-40B4-BE49-F238E27FC236}">
              <a16:creationId xmlns:a16="http://schemas.microsoft.com/office/drawing/2014/main" id="{00000000-0008-0000-0000-0000DB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806" name="TextBox 4805">
          <a:extLst>
            <a:ext uri="{FF2B5EF4-FFF2-40B4-BE49-F238E27FC236}">
              <a16:creationId xmlns:a16="http://schemas.microsoft.com/office/drawing/2014/main" id="{00000000-0008-0000-0000-0000DC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807" name="TextBox 4806">
          <a:extLst>
            <a:ext uri="{FF2B5EF4-FFF2-40B4-BE49-F238E27FC236}">
              <a16:creationId xmlns:a16="http://schemas.microsoft.com/office/drawing/2014/main" id="{00000000-0008-0000-0000-0000DD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808" name="TextBox 4807">
          <a:extLst>
            <a:ext uri="{FF2B5EF4-FFF2-40B4-BE49-F238E27FC236}">
              <a16:creationId xmlns:a16="http://schemas.microsoft.com/office/drawing/2014/main" id="{00000000-0008-0000-0000-0000DE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809" name="TextBox 4808">
          <a:extLst>
            <a:ext uri="{FF2B5EF4-FFF2-40B4-BE49-F238E27FC236}">
              <a16:creationId xmlns:a16="http://schemas.microsoft.com/office/drawing/2014/main" id="{00000000-0008-0000-0000-0000DF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810" name="TextBox 4809">
          <a:extLst>
            <a:ext uri="{FF2B5EF4-FFF2-40B4-BE49-F238E27FC236}">
              <a16:creationId xmlns:a16="http://schemas.microsoft.com/office/drawing/2014/main" id="{00000000-0008-0000-0000-0000E0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811" name="TextBox 4810">
          <a:extLst>
            <a:ext uri="{FF2B5EF4-FFF2-40B4-BE49-F238E27FC236}">
              <a16:creationId xmlns:a16="http://schemas.microsoft.com/office/drawing/2014/main" id="{00000000-0008-0000-0000-0000E1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812" name="TextBox 4811">
          <a:extLst>
            <a:ext uri="{FF2B5EF4-FFF2-40B4-BE49-F238E27FC236}">
              <a16:creationId xmlns:a16="http://schemas.microsoft.com/office/drawing/2014/main" id="{00000000-0008-0000-0000-0000E2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813" name="TextBox 4812">
          <a:extLst>
            <a:ext uri="{FF2B5EF4-FFF2-40B4-BE49-F238E27FC236}">
              <a16:creationId xmlns:a16="http://schemas.microsoft.com/office/drawing/2014/main" id="{00000000-0008-0000-0000-0000E3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814" name="TextBox 4813">
          <a:extLst>
            <a:ext uri="{FF2B5EF4-FFF2-40B4-BE49-F238E27FC236}">
              <a16:creationId xmlns:a16="http://schemas.microsoft.com/office/drawing/2014/main" id="{00000000-0008-0000-0000-0000E4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815" name="TextBox 4814">
          <a:extLst>
            <a:ext uri="{FF2B5EF4-FFF2-40B4-BE49-F238E27FC236}">
              <a16:creationId xmlns:a16="http://schemas.microsoft.com/office/drawing/2014/main" id="{00000000-0008-0000-0000-0000E5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816" name="TextBox 4815">
          <a:extLst>
            <a:ext uri="{FF2B5EF4-FFF2-40B4-BE49-F238E27FC236}">
              <a16:creationId xmlns:a16="http://schemas.microsoft.com/office/drawing/2014/main" id="{00000000-0008-0000-0000-0000E6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817" name="TextBox 4816">
          <a:extLst>
            <a:ext uri="{FF2B5EF4-FFF2-40B4-BE49-F238E27FC236}">
              <a16:creationId xmlns:a16="http://schemas.microsoft.com/office/drawing/2014/main" id="{00000000-0008-0000-0000-0000E7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818" name="TextBox 4817">
          <a:extLst>
            <a:ext uri="{FF2B5EF4-FFF2-40B4-BE49-F238E27FC236}">
              <a16:creationId xmlns:a16="http://schemas.microsoft.com/office/drawing/2014/main" id="{00000000-0008-0000-0000-0000E8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819" name="TextBox 4818">
          <a:extLst>
            <a:ext uri="{FF2B5EF4-FFF2-40B4-BE49-F238E27FC236}">
              <a16:creationId xmlns:a16="http://schemas.microsoft.com/office/drawing/2014/main" id="{00000000-0008-0000-0000-0000E9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820" name="TextBox 4819">
          <a:extLst>
            <a:ext uri="{FF2B5EF4-FFF2-40B4-BE49-F238E27FC236}">
              <a16:creationId xmlns:a16="http://schemas.microsoft.com/office/drawing/2014/main" id="{00000000-0008-0000-0000-0000EA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821" name="TextBox 4820">
          <a:extLst>
            <a:ext uri="{FF2B5EF4-FFF2-40B4-BE49-F238E27FC236}">
              <a16:creationId xmlns:a16="http://schemas.microsoft.com/office/drawing/2014/main" id="{00000000-0008-0000-0000-0000EB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822" name="TextBox 4821">
          <a:extLst>
            <a:ext uri="{FF2B5EF4-FFF2-40B4-BE49-F238E27FC236}">
              <a16:creationId xmlns:a16="http://schemas.microsoft.com/office/drawing/2014/main" id="{00000000-0008-0000-0000-0000EC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823" name="TextBox 4822">
          <a:extLst>
            <a:ext uri="{FF2B5EF4-FFF2-40B4-BE49-F238E27FC236}">
              <a16:creationId xmlns:a16="http://schemas.microsoft.com/office/drawing/2014/main" id="{00000000-0008-0000-0000-0000ED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824" name="TextBox 4823">
          <a:extLst>
            <a:ext uri="{FF2B5EF4-FFF2-40B4-BE49-F238E27FC236}">
              <a16:creationId xmlns:a16="http://schemas.microsoft.com/office/drawing/2014/main" id="{00000000-0008-0000-0000-0000EE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825" name="TextBox 4824">
          <a:extLst>
            <a:ext uri="{FF2B5EF4-FFF2-40B4-BE49-F238E27FC236}">
              <a16:creationId xmlns:a16="http://schemas.microsoft.com/office/drawing/2014/main" id="{00000000-0008-0000-0000-0000EF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826" name="TextBox 4825">
          <a:extLst>
            <a:ext uri="{FF2B5EF4-FFF2-40B4-BE49-F238E27FC236}">
              <a16:creationId xmlns:a16="http://schemas.microsoft.com/office/drawing/2014/main" id="{00000000-0008-0000-0000-0000F0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827" name="TextBox 4826">
          <a:extLst>
            <a:ext uri="{FF2B5EF4-FFF2-40B4-BE49-F238E27FC236}">
              <a16:creationId xmlns:a16="http://schemas.microsoft.com/office/drawing/2014/main" id="{00000000-0008-0000-0000-0000F1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828" name="TextBox 4827">
          <a:extLst>
            <a:ext uri="{FF2B5EF4-FFF2-40B4-BE49-F238E27FC236}">
              <a16:creationId xmlns:a16="http://schemas.microsoft.com/office/drawing/2014/main" id="{00000000-0008-0000-0000-0000F2010000}"/>
            </a:ext>
          </a:extLst>
        </xdr:cNvPr>
        <xdr:cNvSpPr txBox="1"/>
      </xdr:nvSpPr>
      <xdr:spPr>
        <a:xfrm>
          <a:off x="1258062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829" name="TextBox 4828">
          <a:extLst>
            <a:ext uri="{FF2B5EF4-FFF2-40B4-BE49-F238E27FC236}">
              <a16:creationId xmlns:a16="http://schemas.microsoft.com/office/drawing/2014/main" id="{00000000-0008-0000-0000-0000F3010000}"/>
            </a:ext>
          </a:extLst>
        </xdr:cNvPr>
        <xdr:cNvSpPr txBox="1"/>
      </xdr:nvSpPr>
      <xdr:spPr>
        <a:xfrm>
          <a:off x="1258062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830" name="TextBox 4829">
          <a:extLst>
            <a:ext uri="{FF2B5EF4-FFF2-40B4-BE49-F238E27FC236}">
              <a16:creationId xmlns:a16="http://schemas.microsoft.com/office/drawing/2014/main" id="{00000000-0008-0000-0000-0000F4010000}"/>
            </a:ext>
          </a:extLst>
        </xdr:cNvPr>
        <xdr:cNvSpPr txBox="1"/>
      </xdr:nvSpPr>
      <xdr:spPr>
        <a:xfrm>
          <a:off x="1258062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831" name="TextBox 4830">
          <a:extLst>
            <a:ext uri="{FF2B5EF4-FFF2-40B4-BE49-F238E27FC236}">
              <a16:creationId xmlns:a16="http://schemas.microsoft.com/office/drawing/2014/main" id="{00000000-0008-0000-0000-0000F5010000}"/>
            </a:ext>
          </a:extLst>
        </xdr:cNvPr>
        <xdr:cNvSpPr txBox="1"/>
      </xdr:nvSpPr>
      <xdr:spPr>
        <a:xfrm>
          <a:off x="1258062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832" name="TextBox 4831">
          <a:extLst>
            <a:ext uri="{FF2B5EF4-FFF2-40B4-BE49-F238E27FC236}">
              <a16:creationId xmlns:a16="http://schemas.microsoft.com/office/drawing/2014/main" id="{00000000-0008-0000-0000-0000F6010000}"/>
            </a:ext>
          </a:extLst>
        </xdr:cNvPr>
        <xdr:cNvSpPr txBox="1"/>
      </xdr:nvSpPr>
      <xdr:spPr>
        <a:xfrm>
          <a:off x="1258062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833" name="TextBox 4832">
          <a:extLst>
            <a:ext uri="{FF2B5EF4-FFF2-40B4-BE49-F238E27FC236}">
              <a16:creationId xmlns:a16="http://schemas.microsoft.com/office/drawing/2014/main" id="{00000000-0008-0000-0000-0000F7010000}"/>
            </a:ext>
          </a:extLst>
        </xdr:cNvPr>
        <xdr:cNvSpPr txBox="1"/>
      </xdr:nvSpPr>
      <xdr:spPr>
        <a:xfrm>
          <a:off x="1258062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834" name="TextBox 4833">
          <a:extLst>
            <a:ext uri="{FF2B5EF4-FFF2-40B4-BE49-F238E27FC236}">
              <a16:creationId xmlns:a16="http://schemas.microsoft.com/office/drawing/2014/main" id="{00000000-0008-0000-0000-0000F8010000}"/>
            </a:ext>
          </a:extLst>
        </xdr:cNvPr>
        <xdr:cNvSpPr txBox="1"/>
      </xdr:nvSpPr>
      <xdr:spPr>
        <a:xfrm>
          <a:off x="1258062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835" name="TextBox 4834">
          <a:extLst>
            <a:ext uri="{FF2B5EF4-FFF2-40B4-BE49-F238E27FC236}">
              <a16:creationId xmlns:a16="http://schemas.microsoft.com/office/drawing/2014/main" id="{00000000-0008-0000-0000-0000F9010000}"/>
            </a:ext>
          </a:extLst>
        </xdr:cNvPr>
        <xdr:cNvSpPr txBox="1"/>
      </xdr:nvSpPr>
      <xdr:spPr>
        <a:xfrm>
          <a:off x="1258062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4836" name="TextBox 4835">
          <a:extLst>
            <a:ext uri="{FF2B5EF4-FFF2-40B4-BE49-F238E27FC236}">
              <a16:creationId xmlns:a16="http://schemas.microsoft.com/office/drawing/2014/main" id="{D790F7C5-4FB4-4169-AECB-29A162C3B4E0}"/>
            </a:ext>
          </a:extLst>
        </xdr:cNvPr>
        <xdr:cNvSpPr txBox="1"/>
      </xdr:nvSpPr>
      <xdr:spPr>
        <a:xfrm>
          <a:off x="12580620" y="33550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4837" name="TextBox 4836">
          <a:extLst>
            <a:ext uri="{FF2B5EF4-FFF2-40B4-BE49-F238E27FC236}">
              <a16:creationId xmlns:a16="http://schemas.microsoft.com/office/drawing/2014/main" id="{4B3266CB-1924-4B0B-A63A-F668BBA86148}"/>
            </a:ext>
          </a:extLst>
        </xdr:cNvPr>
        <xdr:cNvSpPr txBox="1"/>
      </xdr:nvSpPr>
      <xdr:spPr>
        <a:xfrm>
          <a:off x="12580620" y="33550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4838" name="TextBox 4837">
          <a:extLst>
            <a:ext uri="{FF2B5EF4-FFF2-40B4-BE49-F238E27FC236}">
              <a16:creationId xmlns:a16="http://schemas.microsoft.com/office/drawing/2014/main" id="{CBC7410D-7C3A-41C0-B6C7-F75F0212AE33}"/>
            </a:ext>
          </a:extLst>
        </xdr:cNvPr>
        <xdr:cNvSpPr txBox="1"/>
      </xdr:nvSpPr>
      <xdr:spPr>
        <a:xfrm>
          <a:off x="12580620" y="33550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4839" name="TextBox 4838">
          <a:extLst>
            <a:ext uri="{FF2B5EF4-FFF2-40B4-BE49-F238E27FC236}">
              <a16:creationId xmlns:a16="http://schemas.microsoft.com/office/drawing/2014/main" id="{50BBF757-870F-4C5F-8A6D-BB01D20FB785}"/>
            </a:ext>
          </a:extLst>
        </xdr:cNvPr>
        <xdr:cNvSpPr txBox="1"/>
      </xdr:nvSpPr>
      <xdr:spPr>
        <a:xfrm>
          <a:off x="12580620" y="33550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4840" name="TextBox 4839">
          <a:extLst>
            <a:ext uri="{FF2B5EF4-FFF2-40B4-BE49-F238E27FC236}">
              <a16:creationId xmlns:a16="http://schemas.microsoft.com/office/drawing/2014/main" id="{924A6A0B-67A0-4D39-98DD-B4890EA7059F}"/>
            </a:ext>
          </a:extLst>
        </xdr:cNvPr>
        <xdr:cNvSpPr txBox="1"/>
      </xdr:nvSpPr>
      <xdr:spPr>
        <a:xfrm>
          <a:off x="12580620" y="33550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4841" name="TextBox 4840">
          <a:extLst>
            <a:ext uri="{FF2B5EF4-FFF2-40B4-BE49-F238E27FC236}">
              <a16:creationId xmlns:a16="http://schemas.microsoft.com/office/drawing/2014/main" id="{418D698A-7CAD-4873-9383-980E4B117409}"/>
            </a:ext>
          </a:extLst>
        </xdr:cNvPr>
        <xdr:cNvSpPr txBox="1"/>
      </xdr:nvSpPr>
      <xdr:spPr>
        <a:xfrm>
          <a:off x="12580620" y="33550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4842" name="TextBox 4841">
          <a:extLst>
            <a:ext uri="{FF2B5EF4-FFF2-40B4-BE49-F238E27FC236}">
              <a16:creationId xmlns:a16="http://schemas.microsoft.com/office/drawing/2014/main" id="{D4576B78-2AC7-4FA0-B5A6-410991F126C0}"/>
            </a:ext>
          </a:extLst>
        </xdr:cNvPr>
        <xdr:cNvSpPr txBox="1"/>
      </xdr:nvSpPr>
      <xdr:spPr>
        <a:xfrm>
          <a:off x="12580620" y="33550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4843" name="TextBox 4842">
          <a:extLst>
            <a:ext uri="{FF2B5EF4-FFF2-40B4-BE49-F238E27FC236}">
              <a16:creationId xmlns:a16="http://schemas.microsoft.com/office/drawing/2014/main" id="{3F70C200-9F35-47B9-A6A0-8BD020BFA9F5}"/>
            </a:ext>
          </a:extLst>
        </xdr:cNvPr>
        <xdr:cNvSpPr txBox="1"/>
      </xdr:nvSpPr>
      <xdr:spPr>
        <a:xfrm>
          <a:off x="12580620" y="33550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4844" name="TextBox 4843">
          <a:extLst>
            <a:ext uri="{FF2B5EF4-FFF2-40B4-BE49-F238E27FC236}">
              <a16:creationId xmlns:a16="http://schemas.microsoft.com/office/drawing/2014/main" id="{B21B1052-165D-406E-ACA9-FA2B1238ADAA}"/>
            </a:ext>
          </a:extLst>
        </xdr:cNvPr>
        <xdr:cNvSpPr txBox="1"/>
      </xdr:nvSpPr>
      <xdr:spPr>
        <a:xfrm>
          <a:off x="12580620" y="33550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4845" name="TextBox 4844">
          <a:extLst>
            <a:ext uri="{FF2B5EF4-FFF2-40B4-BE49-F238E27FC236}">
              <a16:creationId xmlns:a16="http://schemas.microsoft.com/office/drawing/2014/main" id="{65417AB6-2889-49DD-9AEF-7149F5D9B7B2}"/>
            </a:ext>
          </a:extLst>
        </xdr:cNvPr>
        <xdr:cNvSpPr txBox="1"/>
      </xdr:nvSpPr>
      <xdr:spPr>
        <a:xfrm>
          <a:off x="12580620" y="33550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4846" name="TextBox 4845">
          <a:extLst>
            <a:ext uri="{FF2B5EF4-FFF2-40B4-BE49-F238E27FC236}">
              <a16:creationId xmlns:a16="http://schemas.microsoft.com/office/drawing/2014/main" id="{7BF692BA-8340-4141-BC82-F9CF78D79873}"/>
            </a:ext>
          </a:extLst>
        </xdr:cNvPr>
        <xdr:cNvSpPr txBox="1"/>
      </xdr:nvSpPr>
      <xdr:spPr>
        <a:xfrm>
          <a:off x="12580620" y="33550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4847" name="TextBox 4846">
          <a:extLst>
            <a:ext uri="{FF2B5EF4-FFF2-40B4-BE49-F238E27FC236}">
              <a16:creationId xmlns:a16="http://schemas.microsoft.com/office/drawing/2014/main" id="{79127C80-C540-411B-B139-200EBBA5DA66}"/>
            </a:ext>
          </a:extLst>
        </xdr:cNvPr>
        <xdr:cNvSpPr txBox="1"/>
      </xdr:nvSpPr>
      <xdr:spPr>
        <a:xfrm>
          <a:off x="12580620" y="33550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4848" name="TextBox 4847">
          <a:extLst>
            <a:ext uri="{FF2B5EF4-FFF2-40B4-BE49-F238E27FC236}">
              <a16:creationId xmlns:a16="http://schemas.microsoft.com/office/drawing/2014/main" id="{B67D3F3D-F87A-4ACF-91FC-9A53D5A2D4D3}"/>
            </a:ext>
          </a:extLst>
        </xdr:cNvPr>
        <xdr:cNvSpPr txBox="1"/>
      </xdr:nvSpPr>
      <xdr:spPr>
        <a:xfrm>
          <a:off x="12580620" y="33550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4849" name="TextBox 4848">
          <a:extLst>
            <a:ext uri="{FF2B5EF4-FFF2-40B4-BE49-F238E27FC236}">
              <a16:creationId xmlns:a16="http://schemas.microsoft.com/office/drawing/2014/main" id="{58EC8DC8-71FC-42BE-93DA-79FE716E2108}"/>
            </a:ext>
          </a:extLst>
        </xdr:cNvPr>
        <xdr:cNvSpPr txBox="1"/>
      </xdr:nvSpPr>
      <xdr:spPr>
        <a:xfrm>
          <a:off x="12580620" y="33550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850" name="TextBox 4849">
          <a:extLst>
            <a:ext uri="{FF2B5EF4-FFF2-40B4-BE49-F238E27FC236}">
              <a16:creationId xmlns:a16="http://schemas.microsoft.com/office/drawing/2014/main" id="{7B7B12E6-3D6A-411C-8750-B2D904ED71B9}"/>
            </a:ext>
          </a:extLst>
        </xdr:cNvPr>
        <xdr:cNvSpPr txBox="1"/>
      </xdr:nvSpPr>
      <xdr:spPr>
        <a:xfrm>
          <a:off x="12580620" y="3375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851" name="TextBox 4850">
          <a:extLst>
            <a:ext uri="{FF2B5EF4-FFF2-40B4-BE49-F238E27FC236}">
              <a16:creationId xmlns:a16="http://schemas.microsoft.com/office/drawing/2014/main" id="{F482887C-F492-4307-823C-4E10D7821CC6}"/>
            </a:ext>
          </a:extLst>
        </xdr:cNvPr>
        <xdr:cNvSpPr txBox="1"/>
      </xdr:nvSpPr>
      <xdr:spPr>
        <a:xfrm>
          <a:off x="12580620" y="3375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852" name="TextBox 4851">
          <a:extLst>
            <a:ext uri="{FF2B5EF4-FFF2-40B4-BE49-F238E27FC236}">
              <a16:creationId xmlns:a16="http://schemas.microsoft.com/office/drawing/2014/main" id="{0949CA64-0CC0-4B53-A59D-24AD43506153}"/>
            </a:ext>
          </a:extLst>
        </xdr:cNvPr>
        <xdr:cNvSpPr txBox="1"/>
      </xdr:nvSpPr>
      <xdr:spPr>
        <a:xfrm>
          <a:off x="12580620" y="3375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853" name="TextBox 4852">
          <a:extLst>
            <a:ext uri="{FF2B5EF4-FFF2-40B4-BE49-F238E27FC236}">
              <a16:creationId xmlns:a16="http://schemas.microsoft.com/office/drawing/2014/main" id="{AF47DE7E-DEEE-4D8F-BEA0-B678FC4108A0}"/>
            </a:ext>
          </a:extLst>
        </xdr:cNvPr>
        <xdr:cNvSpPr txBox="1"/>
      </xdr:nvSpPr>
      <xdr:spPr>
        <a:xfrm>
          <a:off x="12580620" y="3375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854" name="TextBox 4853">
          <a:extLst>
            <a:ext uri="{FF2B5EF4-FFF2-40B4-BE49-F238E27FC236}">
              <a16:creationId xmlns:a16="http://schemas.microsoft.com/office/drawing/2014/main" id="{50B7B56B-3E53-478E-BD2A-1CB44BB0EE30}"/>
            </a:ext>
          </a:extLst>
        </xdr:cNvPr>
        <xdr:cNvSpPr txBox="1"/>
      </xdr:nvSpPr>
      <xdr:spPr>
        <a:xfrm>
          <a:off x="12580620" y="3375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855" name="TextBox 4854">
          <a:extLst>
            <a:ext uri="{FF2B5EF4-FFF2-40B4-BE49-F238E27FC236}">
              <a16:creationId xmlns:a16="http://schemas.microsoft.com/office/drawing/2014/main" id="{9A76D97E-F211-4995-A860-8787CD5178FF}"/>
            </a:ext>
          </a:extLst>
        </xdr:cNvPr>
        <xdr:cNvSpPr txBox="1"/>
      </xdr:nvSpPr>
      <xdr:spPr>
        <a:xfrm>
          <a:off x="12580620" y="3375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856" name="TextBox 4855">
          <a:extLst>
            <a:ext uri="{FF2B5EF4-FFF2-40B4-BE49-F238E27FC236}">
              <a16:creationId xmlns:a16="http://schemas.microsoft.com/office/drawing/2014/main" id="{9FC70A70-D526-4203-8E11-372D840B6103}"/>
            </a:ext>
          </a:extLst>
        </xdr:cNvPr>
        <xdr:cNvSpPr txBox="1"/>
      </xdr:nvSpPr>
      <xdr:spPr>
        <a:xfrm>
          <a:off x="12580620" y="3375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857" name="TextBox 4856">
          <a:extLst>
            <a:ext uri="{FF2B5EF4-FFF2-40B4-BE49-F238E27FC236}">
              <a16:creationId xmlns:a16="http://schemas.microsoft.com/office/drawing/2014/main" id="{4F6B1A49-C9DC-473C-8ECD-E788E907B701}"/>
            </a:ext>
          </a:extLst>
        </xdr:cNvPr>
        <xdr:cNvSpPr txBox="1"/>
      </xdr:nvSpPr>
      <xdr:spPr>
        <a:xfrm>
          <a:off x="12580620" y="3375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858" name="TextBox 4857">
          <a:extLst>
            <a:ext uri="{FF2B5EF4-FFF2-40B4-BE49-F238E27FC236}">
              <a16:creationId xmlns:a16="http://schemas.microsoft.com/office/drawing/2014/main" id="{7249EAE9-2088-4834-9241-A764E60A6F18}"/>
            </a:ext>
          </a:extLst>
        </xdr:cNvPr>
        <xdr:cNvSpPr txBox="1"/>
      </xdr:nvSpPr>
      <xdr:spPr>
        <a:xfrm>
          <a:off x="12580620" y="3375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859" name="TextBox 4858">
          <a:extLst>
            <a:ext uri="{FF2B5EF4-FFF2-40B4-BE49-F238E27FC236}">
              <a16:creationId xmlns:a16="http://schemas.microsoft.com/office/drawing/2014/main" id="{CEEDDCB2-23A2-47B2-AA3F-37312ED4C714}"/>
            </a:ext>
          </a:extLst>
        </xdr:cNvPr>
        <xdr:cNvSpPr txBox="1"/>
      </xdr:nvSpPr>
      <xdr:spPr>
        <a:xfrm>
          <a:off x="12580620" y="3375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860" name="TextBox 4859">
          <a:extLst>
            <a:ext uri="{FF2B5EF4-FFF2-40B4-BE49-F238E27FC236}">
              <a16:creationId xmlns:a16="http://schemas.microsoft.com/office/drawing/2014/main" id="{C53CCEBA-D398-4C3C-8E47-107C27B759C1}"/>
            </a:ext>
          </a:extLst>
        </xdr:cNvPr>
        <xdr:cNvSpPr txBox="1"/>
      </xdr:nvSpPr>
      <xdr:spPr>
        <a:xfrm>
          <a:off x="12580620" y="3375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861" name="TextBox 4860">
          <a:extLst>
            <a:ext uri="{FF2B5EF4-FFF2-40B4-BE49-F238E27FC236}">
              <a16:creationId xmlns:a16="http://schemas.microsoft.com/office/drawing/2014/main" id="{C8C855ED-970E-43B8-A5B1-6F6ADBB998A9}"/>
            </a:ext>
          </a:extLst>
        </xdr:cNvPr>
        <xdr:cNvSpPr txBox="1"/>
      </xdr:nvSpPr>
      <xdr:spPr>
        <a:xfrm>
          <a:off x="12580620" y="3375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862" name="TextBox 4861">
          <a:extLst>
            <a:ext uri="{FF2B5EF4-FFF2-40B4-BE49-F238E27FC236}">
              <a16:creationId xmlns:a16="http://schemas.microsoft.com/office/drawing/2014/main" id="{E705C099-0DDB-4CBB-91AA-6BD578E38D4C}"/>
            </a:ext>
          </a:extLst>
        </xdr:cNvPr>
        <xdr:cNvSpPr txBox="1"/>
      </xdr:nvSpPr>
      <xdr:spPr>
        <a:xfrm>
          <a:off x="12580620" y="3375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863" name="TextBox 4862">
          <a:extLst>
            <a:ext uri="{FF2B5EF4-FFF2-40B4-BE49-F238E27FC236}">
              <a16:creationId xmlns:a16="http://schemas.microsoft.com/office/drawing/2014/main" id="{ADA9DEB9-F0D8-4AB1-B42C-8371D735EDB0}"/>
            </a:ext>
          </a:extLst>
        </xdr:cNvPr>
        <xdr:cNvSpPr txBox="1"/>
      </xdr:nvSpPr>
      <xdr:spPr>
        <a:xfrm>
          <a:off x="12580620" y="3375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864" name="TextBox 4863">
          <a:extLst>
            <a:ext uri="{FF2B5EF4-FFF2-40B4-BE49-F238E27FC236}">
              <a16:creationId xmlns:a16="http://schemas.microsoft.com/office/drawing/2014/main" id="{709CBE26-A551-4C7C-A384-D56B48045E68}"/>
            </a:ext>
          </a:extLst>
        </xdr:cNvPr>
        <xdr:cNvSpPr txBox="1"/>
      </xdr:nvSpPr>
      <xdr:spPr>
        <a:xfrm>
          <a:off x="12580620" y="3396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865" name="TextBox 4864">
          <a:extLst>
            <a:ext uri="{FF2B5EF4-FFF2-40B4-BE49-F238E27FC236}">
              <a16:creationId xmlns:a16="http://schemas.microsoft.com/office/drawing/2014/main" id="{FCF004D5-83CC-4601-BE3C-2D350D291279}"/>
            </a:ext>
          </a:extLst>
        </xdr:cNvPr>
        <xdr:cNvSpPr txBox="1"/>
      </xdr:nvSpPr>
      <xdr:spPr>
        <a:xfrm>
          <a:off x="12580620" y="3396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866" name="TextBox 4865">
          <a:extLst>
            <a:ext uri="{FF2B5EF4-FFF2-40B4-BE49-F238E27FC236}">
              <a16:creationId xmlns:a16="http://schemas.microsoft.com/office/drawing/2014/main" id="{27CE9EF6-2DFA-4778-9205-D83560524403}"/>
            </a:ext>
          </a:extLst>
        </xdr:cNvPr>
        <xdr:cNvSpPr txBox="1"/>
      </xdr:nvSpPr>
      <xdr:spPr>
        <a:xfrm>
          <a:off x="12580620" y="3396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867" name="TextBox 4866">
          <a:extLst>
            <a:ext uri="{FF2B5EF4-FFF2-40B4-BE49-F238E27FC236}">
              <a16:creationId xmlns:a16="http://schemas.microsoft.com/office/drawing/2014/main" id="{AEF2C205-301C-4560-BC83-375E974BCEAF}"/>
            </a:ext>
          </a:extLst>
        </xdr:cNvPr>
        <xdr:cNvSpPr txBox="1"/>
      </xdr:nvSpPr>
      <xdr:spPr>
        <a:xfrm>
          <a:off x="12580620" y="3396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868" name="TextBox 4867">
          <a:extLst>
            <a:ext uri="{FF2B5EF4-FFF2-40B4-BE49-F238E27FC236}">
              <a16:creationId xmlns:a16="http://schemas.microsoft.com/office/drawing/2014/main" id="{3DCCF9ED-9B1F-4DC7-B839-6E3EB677417B}"/>
            </a:ext>
          </a:extLst>
        </xdr:cNvPr>
        <xdr:cNvSpPr txBox="1"/>
      </xdr:nvSpPr>
      <xdr:spPr>
        <a:xfrm>
          <a:off x="12580620" y="3396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869" name="TextBox 4868">
          <a:extLst>
            <a:ext uri="{FF2B5EF4-FFF2-40B4-BE49-F238E27FC236}">
              <a16:creationId xmlns:a16="http://schemas.microsoft.com/office/drawing/2014/main" id="{3D9466B2-EB98-463C-88EA-A326C523B5D8}"/>
            </a:ext>
          </a:extLst>
        </xdr:cNvPr>
        <xdr:cNvSpPr txBox="1"/>
      </xdr:nvSpPr>
      <xdr:spPr>
        <a:xfrm>
          <a:off x="12580620" y="3396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870" name="TextBox 4869">
          <a:extLst>
            <a:ext uri="{FF2B5EF4-FFF2-40B4-BE49-F238E27FC236}">
              <a16:creationId xmlns:a16="http://schemas.microsoft.com/office/drawing/2014/main" id="{0F2E4FBC-6F9D-49D8-B320-D21C3287204C}"/>
            </a:ext>
          </a:extLst>
        </xdr:cNvPr>
        <xdr:cNvSpPr txBox="1"/>
      </xdr:nvSpPr>
      <xdr:spPr>
        <a:xfrm>
          <a:off x="12580620" y="3396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871" name="TextBox 4870">
          <a:extLst>
            <a:ext uri="{FF2B5EF4-FFF2-40B4-BE49-F238E27FC236}">
              <a16:creationId xmlns:a16="http://schemas.microsoft.com/office/drawing/2014/main" id="{9EE8A67A-FC51-41CC-B6A6-507074A0155B}"/>
            </a:ext>
          </a:extLst>
        </xdr:cNvPr>
        <xdr:cNvSpPr txBox="1"/>
      </xdr:nvSpPr>
      <xdr:spPr>
        <a:xfrm>
          <a:off x="12580620" y="3396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872" name="TextBox 4871">
          <a:extLst>
            <a:ext uri="{FF2B5EF4-FFF2-40B4-BE49-F238E27FC236}">
              <a16:creationId xmlns:a16="http://schemas.microsoft.com/office/drawing/2014/main" id="{E3EE1ED8-1246-4E13-86A2-D686D3F3CFAC}"/>
            </a:ext>
          </a:extLst>
        </xdr:cNvPr>
        <xdr:cNvSpPr txBox="1"/>
      </xdr:nvSpPr>
      <xdr:spPr>
        <a:xfrm>
          <a:off x="12580620" y="3396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873" name="TextBox 4872">
          <a:extLst>
            <a:ext uri="{FF2B5EF4-FFF2-40B4-BE49-F238E27FC236}">
              <a16:creationId xmlns:a16="http://schemas.microsoft.com/office/drawing/2014/main" id="{112F0F0B-ABFD-4DDD-BCB9-10FEAFDB5AD9}"/>
            </a:ext>
          </a:extLst>
        </xdr:cNvPr>
        <xdr:cNvSpPr txBox="1"/>
      </xdr:nvSpPr>
      <xdr:spPr>
        <a:xfrm>
          <a:off x="12580620" y="3396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874" name="TextBox 4873">
          <a:extLst>
            <a:ext uri="{FF2B5EF4-FFF2-40B4-BE49-F238E27FC236}">
              <a16:creationId xmlns:a16="http://schemas.microsoft.com/office/drawing/2014/main" id="{12EDF718-BDAC-48A4-BBFB-24DCD5C1D4FC}"/>
            </a:ext>
          </a:extLst>
        </xdr:cNvPr>
        <xdr:cNvSpPr txBox="1"/>
      </xdr:nvSpPr>
      <xdr:spPr>
        <a:xfrm>
          <a:off x="12580620" y="3396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875" name="TextBox 4874">
          <a:extLst>
            <a:ext uri="{FF2B5EF4-FFF2-40B4-BE49-F238E27FC236}">
              <a16:creationId xmlns:a16="http://schemas.microsoft.com/office/drawing/2014/main" id="{B3B85458-8D8F-4F12-B7C0-DC92B39A1F35}"/>
            </a:ext>
          </a:extLst>
        </xdr:cNvPr>
        <xdr:cNvSpPr txBox="1"/>
      </xdr:nvSpPr>
      <xdr:spPr>
        <a:xfrm>
          <a:off x="12580620" y="3396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876" name="TextBox 4875">
          <a:extLst>
            <a:ext uri="{FF2B5EF4-FFF2-40B4-BE49-F238E27FC236}">
              <a16:creationId xmlns:a16="http://schemas.microsoft.com/office/drawing/2014/main" id="{BF066412-0AC2-4C2B-9E92-DFE86D6A185E}"/>
            </a:ext>
          </a:extLst>
        </xdr:cNvPr>
        <xdr:cNvSpPr txBox="1"/>
      </xdr:nvSpPr>
      <xdr:spPr>
        <a:xfrm>
          <a:off x="12580620" y="3396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877" name="TextBox 4876">
          <a:extLst>
            <a:ext uri="{FF2B5EF4-FFF2-40B4-BE49-F238E27FC236}">
              <a16:creationId xmlns:a16="http://schemas.microsoft.com/office/drawing/2014/main" id="{F84E80ED-F217-41BA-9FA6-C1DBC25F3A17}"/>
            </a:ext>
          </a:extLst>
        </xdr:cNvPr>
        <xdr:cNvSpPr txBox="1"/>
      </xdr:nvSpPr>
      <xdr:spPr>
        <a:xfrm>
          <a:off x="12580620" y="3396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153</xdr:row>
      <xdr:rowOff>0</xdr:rowOff>
    </xdr:from>
    <xdr:ext cx="65" cy="172227"/>
    <xdr:sp macro="" textlink="">
      <xdr:nvSpPr>
        <xdr:cNvPr id="4880" name="TextBox 4879">
          <a:extLst>
            <a:ext uri="{FF2B5EF4-FFF2-40B4-BE49-F238E27FC236}">
              <a16:creationId xmlns:a16="http://schemas.microsoft.com/office/drawing/2014/main" id="{00000000-0008-0000-0000-000007000000}"/>
            </a:ext>
          </a:extLst>
        </xdr:cNvPr>
        <xdr:cNvSpPr txBox="1"/>
      </xdr:nvSpPr>
      <xdr:spPr>
        <a:xfrm>
          <a:off x="8267700" y="33352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153</xdr:row>
      <xdr:rowOff>0</xdr:rowOff>
    </xdr:from>
    <xdr:ext cx="65" cy="172227"/>
    <xdr:sp macro="" textlink="">
      <xdr:nvSpPr>
        <xdr:cNvPr id="4884" name="TextBox 4883">
          <a:extLst>
            <a:ext uri="{FF2B5EF4-FFF2-40B4-BE49-F238E27FC236}">
              <a16:creationId xmlns:a16="http://schemas.microsoft.com/office/drawing/2014/main" id="{00000000-0008-0000-0000-00000B000000}"/>
            </a:ext>
          </a:extLst>
        </xdr:cNvPr>
        <xdr:cNvSpPr txBox="1"/>
      </xdr:nvSpPr>
      <xdr:spPr>
        <a:xfrm>
          <a:off x="8267700" y="33352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4885" name="TextBox 4884">
          <a:extLst>
            <a:ext uri="{FF2B5EF4-FFF2-40B4-BE49-F238E27FC236}">
              <a16:creationId xmlns:a16="http://schemas.microsoft.com/office/drawing/2014/main" id="{00000000-0008-0000-0000-00000C000000}"/>
            </a:ext>
          </a:extLst>
        </xdr:cNvPr>
        <xdr:cNvSpPr txBox="1"/>
      </xdr:nvSpPr>
      <xdr:spPr>
        <a:xfrm>
          <a:off x="8267700" y="33550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4886" name="TextBox 4885">
          <a:extLst>
            <a:ext uri="{FF2B5EF4-FFF2-40B4-BE49-F238E27FC236}">
              <a16:creationId xmlns:a16="http://schemas.microsoft.com/office/drawing/2014/main" id="{00000000-0008-0000-0000-00000D000000}"/>
            </a:ext>
          </a:extLst>
        </xdr:cNvPr>
        <xdr:cNvSpPr txBox="1"/>
      </xdr:nvSpPr>
      <xdr:spPr>
        <a:xfrm>
          <a:off x="8267700" y="33550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887" name="TextBox 4886">
          <a:extLst>
            <a:ext uri="{FF2B5EF4-FFF2-40B4-BE49-F238E27FC236}">
              <a16:creationId xmlns:a16="http://schemas.microsoft.com/office/drawing/2014/main" id="{00000000-0008-0000-0000-00000E000000}"/>
            </a:ext>
          </a:extLst>
        </xdr:cNvPr>
        <xdr:cNvSpPr txBox="1"/>
      </xdr:nvSpPr>
      <xdr:spPr>
        <a:xfrm>
          <a:off x="8267700" y="33748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888" name="TextBox 4887">
          <a:extLst>
            <a:ext uri="{FF2B5EF4-FFF2-40B4-BE49-F238E27FC236}">
              <a16:creationId xmlns:a16="http://schemas.microsoft.com/office/drawing/2014/main" id="{00000000-0008-0000-0000-00000F000000}"/>
            </a:ext>
          </a:extLst>
        </xdr:cNvPr>
        <xdr:cNvSpPr txBox="1"/>
      </xdr:nvSpPr>
      <xdr:spPr>
        <a:xfrm>
          <a:off x="8267700" y="33748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889" name="TextBox 4888">
          <a:extLst>
            <a:ext uri="{FF2B5EF4-FFF2-40B4-BE49-F238E27FC236}">
              <a16:creationId xmlns:a16="http://schemas.microsoft.com/office/drawing/2014/main" id="{00000000-0008-0000-0000-000010000000}"/>
            </a:ext>
          </a:extLst>
        </xdr:cNvPr>
        <xdr:cNvSpPr txBox="1"/>
      </xdr:nvSpPr>
      <xdr:spPr>
        <a:xfrm>
          <a:off x="8267700" y="3394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890" name="TextBox 4889">
          <a:extLst>
            <a:ext uri="{FF2B5EF4-FFF2-40B4-BE49-F238E27FC236}">
              <a16:creationId xmlns:a16="http://schemas.microsoft.com/office/drawing/2014/main" id="{00000000-0008-0000-0000-000011000000}"/>
            </a:ext>
          </a:extLst>
        </xdr:cNvPr>
        <xdr:cNvSpPr txBox="1"/>
      </xdr:nvSpPr>
      <xdr:spPr>
        <a:xfrm>
          <a:off x="8267700" y="3394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891" name="TextBox 4890">
          <a:extLst>
            <a:ext uri="{FF2B5EF4-FFF2-40B4-BE49-F238E27FC236}">
              <a16:creationId xmlns:a16="http://schemas.microsoft.com/office/drawing/2014/main" id="{00000000-0008-0000-0000-000012000000}"/>
            </a:ext>
          </a:extLst>
        </xdr:cNvPr>
        <xdr:cNvSpPr txBox="1"/>
      </xdr:nvSpPr>
      <xdr:spPr>
        <a:xfrm>
          <a:off x="8267700" y="34145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892" name="TextBox 4891">
          <a:extLst>
            <a:ext uri="{FF2B5EF4-FFF2-40B4-BE49-F238E27FC236}">
              <a16:creationId xmlns:a16="http://schemas.microsoft.com/office/drawing/2014/main" id="{00000000-0008-0000-0000-000013000000}"/>
            </a:ext>
          </a:extLst>
        </xdr:cNvPr>
        <xdr:cNvSpPr txBox="1"/>
      </xdr:nvSpPr>
      <xdr:spPr>
        <a:xfrm>
          <a:off x="8267700" y="34145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893" name="TextBox 4892">
          <a:extLst>
            <a:ext uri="{FF2B5EF4-FFF2-40B4-BE49-F238E27FC236}">
              <a16:creationId xmlns:a16="http://schemas.microsoft.com/office/drawing/2014/main" id="{00000000-0008-0000-0000-000014000000}"/>
            </a:ext>
          </a:extLst>
        </xdr:cNvPr>
        <xdr:cNvSpPr txBox="1"/>
      </xdr:nvSpPr>
      <xdr:spPr>
        <a:xfrm>
          <a:off x="8267700" y="34343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894" name="TextBox 4893">
          <a:extLst>
            <a:ext uri="{FF2B5EF4-FFF2-40B4-BE49-F238E27FC236}">
              <a16:creationId xmlns:a16="http://schemas.microsoft.com/office/drawing/2014/main" id="{00000000-0008-0000-0000-000015000000}"/>
            </a:ext>
          </a:extLst>
        </xdr:cNvPr>
        <xdr:cNvSpPr txBox="1"/>
      </xdr:nvSpPr>
      <xdr:spPr>
        <a:xfrm>
          <a:off x="8267700" y="34343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895" name="TextBox 4894">
          <a:extLst>
            <a:ext uri="{FF2B5EF4-FFF2-40B4-BE49-F238E27FC236}">
              <a16:creationId xmlns:a16="http://schemas.microsoft.com/office/drawing/2014/main" id="{00000000-0008-0000-0000-00001600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896" name="TextBox 4895">
          <a:extLst>
            <a:ext uri="{FF2B5EF4-FFF2-40B4-BE49-F238E27FC236}">
              <a16:creationId xmlns:a16="http://schemas.microsoft.com/office/drawing/2014/main" id="{00000000-0008-0000-0000-00001700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897" name="TextBox 4896">
          <a:extLst>
            <a:ext uri="{FF2B5EF4-FFF2-40B4-BE49-F238E27FC236}">
              <a16:creationId xmlns:a16="http://schemas.microsoft.com/office/drawing/2014/main" id="{00000000-0008-0000-0000-000018000000}"/>
            </a:ext>
          </a:extLst>
        </xdr:cNvPr>
        <xdr:cNvSpPr txBox="1"/>
      </xdr:nvSpPr>
      <xdr:spPr>
        <a:xfrm>
          <a:off x="8267700" y="34739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898" name="TextBox 4897">
          <a:extLst>
            <a:ext uri="{FF2B5EF4-FFF2-40B4-BE49-F238E27FC236}">
              <a16:creationId xmlns:a16="http://schemas.microsoft.com/office/drawing/2014/main" id="{00000000-0008-0000-0000-000019000000}"/>
            </a:ext>
          </a:extLst>
        </xdr:cNvPr>
        <xdr:cNvSpPr txBox="1"/>
      </xdr:nvSpPr>
      <xdr:spPr>
        <a:xfrm>
          <a:off x="8267700" y="34739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161</xdr:row>
      <xdr:rowOff>0</xdr:rowOff>
    </xdr:from>
    <xdr:ext cx="65" cy="172227"/>
    <xdr:sp macro="" textlink="">
      <xdr:nvSpPr>
        <xdr:cNvPr id="4899" name="TextBox 4898">
          <a:extLst>
            <a:ext uri="{FF2B5EF4-FFF2-40B4-BE49-F238E27FC236}">
              <a16:creationId xmlns:a16="http://schemas.microsoft.com/office/drawing/2014/main" id="{00000000-0008-0000-0000-00001A000000}"/>
            </a:ext>
          </a:extLst>
        </xdr:cNvPr>
        <xdr:cNvSpPr txBox="1"/>
      </xdr:nvSpPr>
      <xdr:spPr>
        <a:xfrm>
          <a:off x="8267700" y="34922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161</xdr:row>
      <xdr:rowOff>0</xdr:rowOff>
    </xdr:from>
    <xdr:ext cx="65" cy="172227"/>
    <xdr:sp macro="" textlink="">
      <xdr:nvSpPr>
        <xdr:cNvPr id="4900" name="TextBox 4899">
          <a:extLst>
            <a:ext uri="{FF2B5EF4-FFF2-40B4-BE49-F238E27FC236}">
              <a16:creationId xmlns:a16="http://schemas.microsoft.com/office/drawing/2014/main" id="{00000000-0008-0000-0000-00001B000000}"/>
            </a:ext>
          </a:extLst>
        </xdr:cNvPr>
        <xdr:cNvSpPr txBox="1"/>
      </xdr:nvSpPr>
      <xdr:spPr>
        <a:xfrm>
          <a:off x="8267700" y="34922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162</xdr:row>
      <xdr:rowOff>0</xdr:rowOff>
    </xdr:from>
    <xdr:ext cx="65" cy="172227"/>
    <xdr:sp macro="" textlink="">
      <xdr:nvSpPr>
        <xdr:cNvPr id="4901" name="TextBox 4900">
          <a:extLst>
            <a:ext uri="{FF2B5EF4-FFF2-40B4-BE49-F238E27FC236}">
              <a16:creationId xmlns:a16="http://schemas.microsoft.com/office/drawing/2014/main" id="{00000000-0008-0000-0000-00001C000000}"/>
            </a:ext>
          </a:extLst>
        </xdr:cNvPr>
        <xdr:cNvSpPr txBox="1"/>
      </xdr:nvSpPr>
      <xdr:spPr>
        <a:xfrm>
          <a:off x="8267700" y="35105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162</xdr:row>
      <xdr:rowOff>0</xdr:rowOff>
    </xdr:from>
    <xdr:ext cx="65" cy="172227"/>
    <xdr:sp macro="" textlink="">
      <xdr:nvSpPr>
        <xdr:cNvPr id="4902" name="TextBox 4901">
          <a:extLst>
            <a:ext uri="{FF2B5EF4-FFF2-40B4-BE49-F238E27FC236}">
              <a16:creationId xmlns:a16="http://schemas.microsoft.com/office/drawing/2014/main" id="{00000000-0008-0000-0000-00001D000000}"/>
            </a:ext>
          </a:extLst>
        </xdr:cNvPr>
        <xdr:cNvSpPr txBox="1"/>
      </xdr:nvSpPr>
      <xdr:spPr>
        <a:xfrm>
          <a:off x="8267700" y="35105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4903" name="TextBox 4902">
          <a:extLst>
            <a:ext uri="{FF2B5EF4-FFF2-40B4-BE49-F238E27FC236}">
              <a16:creationId xmlns:a16="http://schemas.microsoft.com/office/drawing/2014/main" id="{00000000-0008-0000-0000-00001E000000}"/>
            </a:ext>
          </a:extLst>
        </xdr:cNvPr>
        <xdr:cNvSpPr txBox="1"/>
      </xdr:nvSpPr>
      <xdr:spPr>
        <a:xfrm>
          <a:off x="8267700" y="36202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4904" name="TextBox 4903">
          <a:extLst>
            <a:ext uri="{FF2B5EF4-FFF2-40B4-BE49-F238E27FC236}">
              <a16:creationId xmlns:a16="http://schemas.microsoft.com/office/drawing/2014/main" id="{00000000-0008-0000-0000-00001F000000}"/>
            </a:ext>
          </a:extLst>
        </xdr:cNvPr>
        <xdr:cNvSpPr txBox="1"/>
      </xdr:nvSpPr>
      <xdr:spPr>
        <a:xfrm>
          <a:off x="8267700" y="36202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4905" name="TextBox 4904">
          <a:extLst>
            <a:ext uri="{FF2B5EF4-FFF2-40B4-BE49-F238E27FC236}">
              <a16:creationId xmlns:a16="http://schemas.microsoft.com/office/drawing/2014/main" id="{00000000-0008-0000-0000-000020000000}"/>
            </a:ext>
          </a:extLst>
        </xdr:cNvPr>
        <xdr:cNvSpPr txBox="1"/>
      </xdr:nvSpPr>
      <xdr:spPr>
        <a:xfrm>
          <a:off x="826770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4906" name="TextBox 4905">
          <a:extLst>
            <a:ext uri="{FF2B5EF4-FFF2-40B4-BE49-F238E27FC236}">
              <a16:creationId xmlns:a16="http://schemas.microsoft.com/office/drawing/2014/main" id="{00000000-0008-0000-0000-000021000000}"/>
            </a:ext>
          </a:extLst>
        </xdr:cNvPr>
        <xdr:cNvSpPr txBox="1"/>
      </xdr:nvSpPr>
      <xdr:spPr>
        <a:xfrm>
          <a:off x="826770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4907" name="TextBox 4906">
          <a:extLst>
            <a:ext uri="{FF2B5EF4-FFF2-40B4-BE49-F238E27FC236}">
              <a16:creationId xmlns:a16="http://schemas.microsoft.com/office/drawing/2014/main" id="{00000000-0008-0000-0000-000022000000}"/>
            </a:ext>
          </a:extLst>
        </xdr:cNvPr>
        <xdr:cNvSpPr txBox="1"/>
      </xdr:nvSpPr>
      <xdr:spPr>
        <a:xfrm>
          <a:off x="8267700" y="36568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4908" name="TextBox 4907">
          <a:extLst>
            <a:ext uri="{FF2B5EF4-FFF2-40B4-BE49-F238E27FC236}">
              <a16:creationId xmlns:a16="http://schemas.microsoft.com/office/drawing/2014/main" id="{00000000-0008-0000-0000-000023000000}"/>
            </a:ext>
          </a:extLst>
        </xdr:cNvPr>
        <xdr:cNvSpPr txBox="1"/>
      </xdr:nvSpPr>
      <xdr:spPr>
        <a:xfrm>
          <a:off x="8267700" y="36568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4909" name="TextBox 4908">
          <a:extLst>
            <a:ext uri="{FF2B5EF4-FFF2-40B4-BE49-F238E27FC236}">
              <a16:creationId xmlns:a16="http://schemas.microsoft.com/office/drawing/2014/main" id="{00000000-0008-0000-0000-000024000000}"/>
            </a:ext>
          </a:extLst>
        </xdr:cNvPr>
        <xdr:cNvSpPr txBox="1"/>
      </xdr:nvSpPr>
      <xdr:spPr>
        <a:xfrm>
          <a:off x="8267700" y="36751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4910" name="TextBox 4909">
          <a:extLst>
            <a:ext uri="{FF2B5EF4-FFF2-40B4-BE49-F238E27FC236}">
              <a16:creationId xmlns:a16="http://schemas.microsoft.com/office/drawing/2014/main" id="{00000000-0008-0000-0000-000025000000}"/>
            </a:ext>
          </a:extLst>
        </xdr:cNvPr>
        <xdr:cNvSpPr txBox="1"/>
      </xdr:nvSpPr>
      <xdr:spPr>
        <a:xfrm>
          <a:off x="8267700" y="36751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172</xdr:row>
      <xdr:rowOff>0</xdr:rowOff>
    </xdr:from>
    <xdr:ext cx="65" cy="172227"/>
    <xdr:sp macro="" textlink="">
      <xdr:nvSpPr>
        <xdr:cNvPr id="4911" name="TextBox 4910">
          <a:extLst>
            <a:ext uri="{FF2B5EF4-FFF2-40B4-BE49-F238E27FC236}">
              <a16:creationId xmlns:a16="http://schemas.microsoft.com/office/drawing/2014/main" id="{00000000-0008-0000-0000-000026000000}"/>
            </a:ext>
          </a:extLst>
        </xdr:cNvPr>
        <xdr:cNvSpPr txBox="1"/>
      </xdr:nvSpPr>
      <xdr:spPr>
        <a:xfrm>
          <a:off x="8267700" y="36934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172</xdr:row>
      <xdr:rowOff>0</xdr:rowOff>
    </xdr:from>
    <xdr:ext cx="65" cy="172227"/>
    <xdr:sp macro="" textlink="">
      <xdr:nvSpPr>
        <xdr:cNvPr id="4912" name="TextBox 4911">
          <a:extLst>
            <a:ext uri="{FF2B5EF4-FFF2-40B4-BE49-F238E27FC236}">
              <a16:creationId xmlns:a16="http://schemas.microsoft.com/office/drawing/2014/main" id="{00000000-0008-0000-0000-000027000000}"/>
            </a:ext>
          </a:extLst>
        </xdr:cNvPr>
        <xdr:cNvSpPr txBox="1"/>
      </xdr:nvSpPr>
      <xdr:spPr>
        <a:xfrm>
          <a:off x="8267700" y="36934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178</xdr:row>
      <xdr:rowOff>0</xdr:rowOff>
    </xdr:from>
    <xdr:ext cx="65" cy="172227"/>
    <xdr:sp macro="" textlink="">
      <xdr:nvSpPr>
        <xdr:cNvPr id="4913" name="TextBox 4912">
          <a:extLst>
            <a:ext uri="{FF2B5EF4-FFF2-40B4-BE49-F238E27FC236}">
              <a16:creationId xmlns:a16="http://schemas.microsoft.com/office/drawing/2014/main" id="{00000000-0008-0000-0000-000028000000}"/>
            </a:ext>
          </a:extLst>
        </xdr:cNvPr>
        <xdr:cNvSpPr txBox="1"/>
      </xdr:nvSpPr>
      <xdr:spPr>
        <a:xfrm>
          <a:off x="8267700" y="38031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178</xdr:row>
      <xdr:rowOff>0</xdr:rowOff>
    </xdr:from>
    <xdr:ext cx="65" cy="172227"/>
    <xdr:sp macro="" textlink="">
      <xdr:nvSpPr>
        <xdr:cNvPr id="4914" name="TextBox 4913">
          <a:extLst>
            <a:ext uri="{FF2B5EF4-FFF2-40B4-BE49-F238E27FC236}">
              <a16:creationId xmlns:a16="http://schemas.microsoft.com/office/drawing/2014/main" id="{00000000-0008-0000-0000-000029000000}"/>
            </a:ext>
          </a:extLst>
        </xdr:cNvPr>
        <xdr:cNvSpPr txBox="1"/>
      </xdr:nvSpPr>
      <xdr:spPr>
        <a:xfrm>
          <a:off x="8267700" y="38031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179</xdr:row>
      <xdr:rowOff>0</xdr:rowOff>
    </xdr:from>
    <xdr:ext cx="65" cy="172227"/>
    <xdr:sp macro="" textlink="">
      <xdr:nvSpPr>
        <xdr:cNvPr id="4915" name="TextBox 4914">
          <a:extLst>
            <a:ext uri="{FF2B5EF4-FFF2-40B4-BE49-F238E27FC236}">
              <a16:creationId xmlns:a16="http://schemas.microsoft.com/office/drawing/2014/main" id="{00000000-0008-0000-0000-00002A000000}"/>
            </a:ext>
          </a:extLst>
        </xdr:cNvPr>
        <xdr:cNvSpPr txBox="1"/>
      </xdr:nvSpPr>
      <xdr:spPr>
        <a:xfrm>
          <a:off x="8267700" y="38214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179</xdr:row>
      <xdr:rowOff>0</xdr:rowOff>
    </xdr:from>
    <xdr:ext cx="65" cy="172227"/>
    <xdr:sp macro="" textlink="">
      <xdr:nvSpPr>
        <xdr:cNvPr id="4916" name="TextBox 4915">
          <a:extLst>
            <a:ext uri="{FF2B5EF4-FFF2-40B4-BE49-F238E27FC236}">
              <a16:creationId xmlns:a16="http://schemas.microsoft.com/office/drawing/2014/main" id="{00000000-0008-0000-0000-00002B000000}"/>
            </a:ext>
          </a:extLst>
        </xdr:cNvPr>
        <xdr:cNvSpPr txBox="1"/>
      </xdr:nvSpPr>
      <xdr:spPr>
        <a:xfrm>
          <a:off x="8267700" y="38214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180</xdr:row>
      <xdr:rowOff>0</xdr:rowOff>
    </xdr:from>
    <xdr:ext cx="65" cy="172227"/>
    <xdr:sp macro="" textlink="">
      <xdr:nvSpPr>
        <xdr:cNvPr id="4917" name="TextBox 4916">
          <a:extLst>
            <a:ext uri="{FF2B5EF4-FFF2-40B4-BE49-F238E27FC236}">
              <a16:creationId xmlns:a16="http://schemas.microsoft.com/office/drawing/2014/main" id="{00000000-0008-0000-0000-00002C000000}"/>
            </a:ext>
          </a:extLst>
        </xdr:cNvPr>
        <xdr:cNvSpPr txBox="1"/>
      </xdr:nvSpPr>
      <xdr:spPr>
        <a:xfrm>
          <a:off x="8267700" y="38397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180</xdr:row>
      <xdr:rowOff>0</xdr:rowOff>
    </xdr:from>
    <xdr:ext cx="65" cy="172227"/>
    <xdr:sp macro="" textlink="">
      <xdr:nvSpPr>
        <xdr:cNvPr id="4918" name="TextBox 4917">
          <a:extLst>
            <a:ext uri="{FF2B5EF4-FFF2-40B4-BE49-F238E27FC236}">
              <a16:creationId xmlns:a16="http://schemas.microsoft.com/office/drawing/2014/main" id="{00000000-0008-0000-0000-00002D000000}"/>
            </a:ext>
          </a:extLst>
        </xdr:cNvPr>
        <xdr:cNvSpPr txBox="1"/>
      </xdr:nvSpPr>
      <xdr:spPr>
        <a:xfrm>
          <a:off x="8267700" y="38397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181</xdr:row>
      <xdr:rowOff>0</xdr:rowOff>
    </xdr:from>
    <xdr:ext cx="65" cy="172227"/>
    <xdr:sp macro="" textlink="">
      <xdr:nvSpPr>
        <xdr:cNvPr id="4919" name="TextBox 4918">
          <a:extLst>
            <a:ext uri="{FF2B5EF4-FFF2-40B4-BE49-F238E27FC236}">
              <a16:creationId xmlns:a16="http://schemas.microsoft.com/office/drawing/2014/main" id="{00000000-0008-0000-0000-00002E000000}"/>
            </a:ext>
          </a:extLst>
        </xdr:cNvPr>
        <xdr:cNvSpPr txBox="1"/>
      </xdr:nvSpPr>
      <xdr:spPr>
        <a:xfrm>
          <a:off x="8267700" y="3858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181</xdr:row>
      <xdr:rowOff>0</xdr:rowOff>
    </xdr:from>
    <xdr:ext cx="65" cy="172227"/>
    <xdr:sp macro="" textlink="">
      <xdr:nvSpPr>
        <xdr:cNvPr id="4920" name="TextBox 4919">
          <a:extLst>
            <a:ext uri="{FF2B5EF4-FFF2-40B4-BE49-F238E27FC236}">
              <a16:creationId xmlns:a16="http://schemas.microsoft.com/office/drawing/2014/main" id="{00000000-0008-0000-0000-00002F000000}"/>
            </a:ext>
          </a:extLst>
        </xdr:cNvPr>
        <xdr:cNvSpPr txBox="1"/>
      </xdr:nvSpPr>
      <xdr:spPr>
        <a:xfrm>
          <a:off x="8267700" y="3858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182</xdr:row>
      <xdr:rowOff>0</xdr:rowOff>
    </xdr:from>
    <xdr:ext cx="65" cy="172227"/>
    <xdr:sp macro="" textlink="">
      <xdr:nvSpPr>
        <xdr:cNvPr id="4921" name="TextBox 4920">
          <a:extLst>
            <a:ext uri="{FF2B5EF4-FFF2-40B4-BE49-F238E27FC236}">
              <a16:creationId xmlns:a16="http://schemas.microsoft.com/office/drawing/2014/main" id="{00000000-0008-0000-0000-000030000000}"/>
            </a:ext>
          </a:extLst>
        </xdr:cNvPr>
        <xdr:cNvSpPr txBox="1"/>
      </xdr:nvSpPr>
      <xdr:spPr>
        <a:xfrm>
          <a:off x="8267700" y="38762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182</xdr:row>
      <xdr:rowOff>0</xdr:rowOff>
    </xdr:from>
    <xdr:ext cx="65" cy="172227"/>
    <xdr:sp macro="" textlink="">
      <xdr:nvSpPr>
        <xdr:cNvPr id="4922" name="TextBox 4921">
          <a:extLst>
            <a:ext uri="{FF2B5EF4-FFF2-40B4-BE49-F238E27FC236}">
              <a16:creationId xmlns:a16="http://schemas.microsoft.com/office/drawing/2014/main" id="{00000000-0008-0000-0000-000031000000}"/>
            </a:ext>
          </a:extLst>
        </xdr:cNvPr>
        <xdr:cNvSpPr txBox="1"/>
      </xdr:nvSpPr>
      <xdr:spPr>
        <a:xfrm>
          <a:off x="8267700" y="38762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4923" name="TextBox 4922">
          <a:extLst>
            <a:ext uri="{FF2B5EF4-FFF2-40B4-BE49-F238E27FC236}">
              <a16:creationId xmlns:a16="http://schemas.microsoft.com/office/drawing/2014/main" id="{00000000-0008-0000-0000-000032000000}"/>
            </a:ext>
          </a:extLst>
        </xdr:cNvPr>
        <xdr:cNvSpPr txBox="1"/>
      </xdr:nvSpPr>
      <xdr:spPr>
        <a:xfrm>
          <a:off x="8267700" y="39494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4924" name="TextBox 4923">
          <a:extLst>
            <a:ext uri="{FF2B5EF4-FFF2-40B4-BE49-F238E27FC236}">
              <a16:creationId xmlns:a16="http://schemas.microsoft.com/office/drawing/2014/main" id="{00000000-0008-0000-0000-000033000000}"/>
            </a:ext>
          </a:extLst>
        </xdr:cNvPr>
        <xdr:cNvSpPr txBox="1"/>
      </xdr:nvSpPr>
      <xdr:spPr>
        <a:xfrm>
          <a:off x="8267700" y="39494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4925" name="TextBox 4924">
          <a:extLst>
            <a:ext uri="{FF2B5EF4-FFF2-40B4-BE49-F238E27FC236}">
              <a16:creationId xmlns:a16="http://schemas.microsoft.com/office/drawing/2014/main" id="{00000000-0008-0000-0000-000034000000}"/>
            </a:ext>
          </a:extLst>
        </xdr:cNvPr>
        <xdr:cNvSpPr txBox="1"/>
      </xdr:nvSpPr>
      <xdr:spPr>
        <a:xfrm>
          <a:off x="8267700" y="39494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4926" name="TextBox 4925">
          <a:extLst>
            <a:ext uri="{FF2B5EF4-FFF2-40B4-BE49-F238E27FC236}">
              <a16:creationId xmlns:a16="http://schemas.microsoft.com/office/drawing/2014/main" id="{00000000-0008-0000-0000-000035000000}"/>
            </a:ext>
          </a:extLst>
        </xdr:cNvPr>
        <xdr:cNvSpPr txBox="1"/>
      </xdr:nvSpPr>
      <xdr:spPr>
        <a:xfrm>
          <a:off x="8267700" y="39494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4927" name="TextBox 4926">
          <a:extLst>
            <a:ext uri="{FF2B5EF4-FFF2-40B4-BE49-F238E27FC236}">
              <a16:creationId xmlns:a16="http://schemas.microsoft.com/office/drawing/2014/main" id="{00000000-0008-0000-0000-000036000000}"/>
            </a:ext>
          </a:extLst>
        </xdr:cNvPr>
        <xdr:cNvSpPr txBox="1"/>
      </xdr:nvSpPr>
      <xdr:spPr>
        <a:xfrm>
          <a:off x="8267700" y="39494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4928" name="TextBox 4927">
          <a:extLst>
            <a:ext uri="{FF2B5EF4-FFF2-40B4-BE49-F238E27FC236}">
              <a16:creationId xmlns:a16="http://schemas.microsoft.com/office/drawing/2014/main" id="{00000000-0008-0000-0000-000037000000}"/>
            </a:ext>
          </a:extLst>
        </xdr:cNvPr>
        <xdr:cNvSpPr txBox="1"/>
      </xdr:nvSpPr>
      <xdr:spPr>
        <a:xfrm>
          <a:off x="8267700" y="39494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4929" name="TextBox 4928">
          <a:extLst>
            <a:ext uri="{FF2B5EF4-FFF2-40B4-BE49-F238E27FC236}">
              <a16:creationId xmlns:a16="http://schemas.microsoft.com/office/drawing/2014/main" id="{00000000-0008-0000-0000-000038000000}"/>
            </a:ext>
          </a:extLst>
        </xdr:cNvPr>
        <xdr:cNvSpPr txBox="1"/>
      </xdr:nvSpPr>
      <xdr:spPr>
        <a:xfrm>
          <a:off x="8267700" y="39494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4930" name="TextBox 4929">
          <a:extLst>
            <a:ext uri="{FF2B5EF4-FFF2-40B4-BE49-F238E27FC236}">
              <a16:creationId xmlns:a16="http://schemas.microsoft.com/office/drawing/2014/main" id="{00000000-0008-0000-0000-000039000000}"/>
            </a:ext>
          </a:extLst>
        </xdr:cNvPr>
        <xdr:cNvSpPr txBox="1"/>
      </xdr:nvSpPr>
      <xdr:spPr>
        <a:xfrm>
          <a:off x="8267700" y="39494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4931" name="TextBox 4930">
          <a:extLst>
            <a:ext uri="{FF2B5EF4-FFF2-40B4-BE49-F238E27FC236}">
              <a16:creationId xmlns:a16="http://schemas.microsoft.com/office/drawing/2014/main" id="{00000000-0008-0000-0000-00003A000000}"/>
            </a:ext>
          </a:extLst>
        </xdr:cNvPr>
        <xdr:cNvSpPr txBox="1"/>
      </xdr:nvSpPr>
      <xdr:spPr>
        <a:xfrm>
          <a:off x="8267700" y="39494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4932" name="TextBox 4931">
          <a:extLst>
            <a:ext uri="{FF2B5EF4-FFF2-40B4-BE49-F238E27FC236}">
              <a16:creationId xmlns:a16="http://schemas.microsoft.com/office/drawing/2014/main" id="{00000000-0008-0000-0000-00003B000000}"/>
            </a:ext>
          </a:extLst>
        </xdr:cNvPr>
        <xdr:cNvSpPr txBox="1"/>
      </xdr:nvSpPr>
      <xdr:spPr>
        <a:xfrm>
          <a:off x="8267700" y="39494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4933" name="TextBox 4932">
          <a:extLst>
            <a:ext uri="{FF2B5EF4-FFF2-40B4-BE49-F238E27FC236}">
              <a16:creationId xmlns:a16="http://schemas.microsoft.com/office/drawing/2014/main" id="{00000000-0008-0000-0000-00003C000000}"/>
            </a:ext>
          </a:extLst>
        </xdr:cNvPr>
        <xdr:cNvSpPr txBox="1"/>
      </xdr:nvSpPr>
      <xdr:spPr>
        <a:xfrm>
          <a:off x="8267700" y="39494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4934" name="TextBox 4933">
          <a:extLst>
            <a:ext uri="{FF2B5EF4-FFF2-40B4-BE49-F238E27FC236}">
              <a16:creationId xmlns:a16="http://schemas.microsoft.com/office/drawing/2014/main" id="{00000000-0008-0000-0000-00003D000000}"/>
            </a:ext>
          </a:extLst>
        </xdr:cNvPr>
        <xdr:cNvSpPr txBox="1"/>
      </xdr:nvSpPr>
      <xdr:spPr>
        <a:xfrm>
          <a:off x="8267700" y="39494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4935" name="TextBox 4934">
          <a:extLst>
            <a:ext uri="{FF2B5EF4-FFF2-40B4-BE49-F238E27FC236}">
              <a16:creationId xmlns:a16="http://schemas.microsoft.com/office/drawing/2014/main" id="{00000000-0008-0000-0000-00003E000000}"/>
            </a:ext>
          </a:extLst>
        </xdr:cNvPr>
        <xdr:cNvSpPr txBox="1"/>
      </xdr:nvSpPr>
      <xdr:spPr>
        <a:xfrm>
          <a:off x="8267700" y="39494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4936" name="TextBox 4935">
          <a:extLst>
            <a:ext uri="{FF2B5EF4-FFF2-40B4-BE49-F238E27FC236}">
              <a16:creationId xmlns:a16="http://schemas.microsoft.com/office/drawing/2014/main" id="{00000000-0008-0000-0000-00003F000000}"/>
            </a:ext>
          </a:extLst>
        </xdr:cNvPr>
        <xdr:cNvSpPr txBox="1"/>
      </xdr:nvSpPr>
      <xdr:spPr>
        <a:xfrm>
          <a:off x="8267700" y="39494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4937" name="TextBox 4936">
          <a:extLst>
            <a:ext uri="{FF2B5EF4-FFF2-40B4-BE49-F238E27FC236}">
              <a16:creationId xmlns:a16="http://schemas.microsoft.com/office/drawing/2014/main" id="{00000000-0008-0000-0000-000040000000}"/>
            </a:ext>
          </a:extLst>
        </xdr:cNvPr>
        <xdr:cNvSpPr txBox="1"/>
      </xdr:nvSpPr>
      <xdr:spPr>
        <a:xfrm>
          <a:off x="8267700" y="39494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4938" name="TextBox 4937">
          <a:extLst>
            <a:ext uri="{FF2B5EF4-FFF2-40B4-BE49-F238E27FC236}">
              <a16:creationId xmlns:a16="http://schemas.microsoft.com/office/drawing/2014/main" id="{00000000-0008-0000-0000-000041000000}"/>
            </a:ext>
          </a:extLst>
        </xdr:cNvPr>
        <xdr:cNvSpPr txBox="1"/>
      </xdr:nvSpPr>
      <xdr:spPr>
        <a:xfrm>
          <a:off x="8267700" y="39494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4939" name="TextBox 4938">
          <a:extLst>
            <a:ext uri="{FF2B5EF4-FFF2-40B4-BE49-F238E27FC236}">
              <a16:creationId xmlns:a16="http://schemas.microsoft.com/office/drawing/2014/main" id="{00000000-0008-0000-0000-000042000000}"/>
            </a:ext>
          </a:extLst>
        </xdr:cNvPr>
        <xdr:cNvSpPr txBox="1"/>
      </xdr:nvSpPr>
      <xdr:spPr>
        <a:xfrm>
          <a:off x="8267700" y="39494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4940" name="TextBox 4939">
          <a:extLst>
            <a:ext uri="{FF2B5EF4-FFF2-40B4-BE49-F238E27FC236}">
              <a16:creationId xmlns:a16="http://schemas.microsoft.com/office/drawing/2014/main" id="{00000000-0008-0000-0000-000043000000}"/>
            </a:ext>
          </a:extLst>
        </xdr:cNvPr>
        <xdr:cNvSpPr txBox="1"/>
      </xdr:nvSpPr>
      <xdr:spPr>
        <a:xfrm>
          <a:off x="8267700" y="39494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4941" name="TextBox 4940">
          <a:extLst>
            <a:ext uri="{FF2B5EF4-FFF2-40B4-BE49-F238E27FC236}">
              <a16:creationId xmlns:a16="http://schemas.microsoft.com/office/drawing/2014/main" id="{00000000-0008-0000-0000-000044000000}"/>
            </a:ext>
          </a:extLst>
        </xdr:cNvPr>
        <xdr:cNvSpPr txBox="1"/>
      </xdr:nvSpPr>
      <xdr:spPr>
        <a:xfrm>
          <a:off x="8267700" y="39494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4942" name="TextBox 4941">
          <a:extLst>
            <a:ext uri="{FF2B5EF4-FFF2-40B4-BE49-F238E27FC236}">
              <a16:creationId xmlns:a16="http://schemas.microsoft.com/office/drawing/2014/main" id="{00000000-0008-0000-0000-000045000000}"/>
            </a:ext>
          </a:extLst>
        </xdr:cNvPr>
        <xdr:cNvSpPr txBox="1"/>
      </xdr:nvSpPr>
      <xdr:spPr>
        <a:xfrm>
          <a:off x="8267700" y="39494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943" name="TextBox 4942">
          <a:extLst>
            <a:ext uri="{FF2B5EF4-FFF2-40B4-BE49-F238E27FC236}">
              <a16:creationId xmlns:a16="http://schemas.microsoft.com/office/drawing/2014/main" id="{00000000-0008-0000-0000-000048000000}"/>
            </a:ext>
          </a:extLst>
        </xdr:cNvPr>
        <xdr:cNvSpPr txBox="1"/>
      </xdr:nvSpPr>
      <xdr:spPr>
        <a:xfrm>
          <a:off x="8267700" y="33748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944" name="TextBox 4943">
          <a:extLst>
            <a:ext uri="{FF2B5EF4-FFF2-40B4-BE49-F238E27FC236}">
              <a16:creationId xmlns:a16="http://schemas.microsoft.com/office/drawing/2014/main" id="{00000000-0008-0000-0000-000049000000}"/>
            </a:ext>
          </a:extLst>
        </xdr:cNvPr>
        <xdr:cNvSpPr txBox="1"/>
      </xdr:nvSpPr>
      <xdr:spPr>
        <a:xfrm>
          <a:off x="8267700" y="33748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945" name="TextBox 4944">
          <a:extLst>
            <a:ext uri="{FF2B5EF4-FFF2-40B4-BE49-F238E27FC236}">
              <a16:creationId xmlns:a16="http://schemas.microsoft.com/office/drawing/2014/main" id="{00000000-0008-0000-0000-00004C000000}"/>
            </a:ext>
          </a:extLst>
        </xdr:cNvPr>
        <xdr:cNvSpPr txBox="1"/>
      </xdr:nvSpPr>
      <xdr:spPr>
        <a:xfrm>
          <a:off x="8267700" y="3394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946" name="TextBox 4945">
          <a:extLst>
            <a:ext uri="{FF2B5EF4-FFF2-40B4-BE49-F238E27FC236}">
              <a16:creationId xmlns:a16="http://schemas.microsoft.com/office/drawing/2014/main" id="{00000000-0008-0000-0000-00004D000000}"/>
            </a:ext>
          </a:extLst>
        </xdr:cNvPr>
        <xdr:cNvSpPr txBox="1"/>
      </xdr:nvSpPr>
      <xdr:spPr>
        <a:xfrm>
          <a:off x="8267700" y="3394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947" name="TextBox 4946">
          <a:extLst>
            <a:ext uri="{FF2B5EF4-FFF2-40B4-BE49-F238E27FC236}">
              <a16:creationId xmlns:a16="http://schemas.microsoft.com/office/drawing/2014/main" id="{00000000-0008-0000-0000-00004E000000}"/>
            </a:ext>
          </a:extLst>
        </xdr:cNvPr>
        <xdr:cNvSpPr txBox="1"/>
      </xdr:nvSpPr>
      <xdr:spPr>
        <a:xfrm>
          <a:off x="8267700" y="34145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948" name="TextBox 4947">
          <a:extLst>
            <a:ext uri="{FF2B5EF4-FFF2-40B4-BE49-F238E27FC236}">
              <a16:creationId xmlns:a16="http://schemas.microsoft.com/office/drawing/2014/main" id="{00000000-0008-0000-0000-00004F000000}"/>
            </a:ext>
          </a:extLst>
        </xdr:cNvPr>
        <xdr:cNvSpPr txBox="1"/>
      </xdr:nvSpPr>
      <xdr:spPr>
        <a:xfrm>
          <a:off x="8267700" y="34145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949" name="TextBox 4948">
          <a:extLst>
            <a:ext uri="{FF2B5EF4-FFF2-40B4-BE49-F238E27FC236}">
              <a16:creationId xmlns:a16="http://schemas.microsoft.com/office/drawing/2014/main" id="{00000000-0008-0000-0000-000050000000}"/>
            </a:ext>
          </a:extLst>
        </xdr:cNvPr>
        <xdr:cNvSpPr txBox="1"/>
      </xdr:nvSpPr>
      <xdr:spPr>
        <a:xfrm>
          <a:off x="8267700" y="34145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950" name="TextBox 4949">
          <a:extLst>
            <a:ext uri="{FF2B5EF4-FFF2-40B4-BE49-F238E27FC236}">
              <a16:creationId xmlns:a16="http://schemas.microsoft.com/office/drawing/2014/main" id="{00000000-0008-0000-0000-000051000000}"/>
            </a:ext>
          </a:extLst>
        </xdr:cNvPr>
        <xdr:cNvSpPr txBox="1"/>
      </xdr:nvSpPr>
      <xdr:spPr>
        <a:xfrm>
          <a:off x="8267700" y="34145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4951" name="TextBox 4950">
          <a:extLst>
            <a:ext uri="{FF2B5EF4-FFF2-40B4-BE49-F238E27FC236}">
              <a16:creationId xmlns:a16="http://schemas.microsoft.com/office/drawing/2014/main" id="{00000000-0008-0000-0000-000052000000}"/>
            </a:ext>
          </a:extLst>
        </xdr:cNvPr>
        <xdr:cNvSpPr txBox="1"/>
      </xdr:nvSpPr>
      <xdr:spPr>
        <a:xfrm>
          <a:off x="8267700" y="33550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4952" name="TextBox 4951">
          <a:extLst>
            <a:ext uri="{FF2B5EF4-FFF2-40B4-BE49-F238E27FC236}">
              <a16:creationId xmlns:a16="http://schemas.microsoft.com/office/drawing/2014/main" id="{00000000-0008-0000-0000-000053000000}"/>
            </a:ext>
          </a:extLst>
        </xdr:cNvPr>
        <xdr:cNvSpPr txBox="1"/>
      </xdr:nvSpPr>
      <xdr:spPr>
        <a:xfrm>
          <a:off x="8267700" y="33550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953" name="TextBox 4952">
          <a:extLst>
            <a:ext uri="{FF2B5EF4-FFF2-40B4-BE49-F238E27FC236}">
              <a16:creationId xmlns:a16="http://schemas.microsoft.com/office/drawing/2014/main" id="{00000000-0008-0000-0000-000054000000}"/>
            </a:ext>
          </a:extLst>
        </xdr:cNvPr>
        <xdr:cNvSpPr txBox="1"/>
      </xdr:nvSpPr>
      <xdr:spPr>
        <a:xfrm>
          <a:off x="8267700" y="33748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954" name="TextBox 4953">
          <a:extLst>
            <a:ext uri="{FF2B5EF4-FFF2-40B4-BE49-F238E27FC236}">
              <a16:creationId xmlns:a16="http://schemas.microsoft.com/office/drawing/2014/main" id="{00000000-0008-0000-0000-000055000000}"/>
            </a:ext>
          </a:extLst>
        </xdr:cNvPr>
        <xdr:cNvSpPr txBox="1"/>
      </xdr:nvSpPr>
      <xdr:spPr>
        <a:xfrm>
          <a:off x="8267700" y="33748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955" name="TextBox 4954">
          <a:extLst>
            <a:ext uri="{FF2B5EF4-FFF2-40B4-BE49-F238E27FC236}">
              <a16:creationId xmlns:a16="http://schemas.microsoft.com/office/drawing/2014/main" id="{00000000-0008-0000-0000-000056000000}"/>
            </a:ext>
          </a:extLst>
        </xdr:cNvPr>
        <xdr:cNvSpPr txBox="1"/>
      </xdr:nvSpPr>
      <xdr:spPr>
        <a:xfrm>
          <a:off x="8267700" y="33748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956" name="TextBox 4955">
          <a:extLst>
            <a:ext uri="{FF2B5EF4-FFF2-40B4-BE49-F238E27FC236}">
              <a16:creationId xmlns:a16="http://schemas.microsoft.com/office/drawing/2014/main" id="{00000000-0008-0000-0000-000057000000}"/>
            </a:ext>
          </a:extLst>
        </xdr:cNvPr>
        <xdr:cNvSpPr txBox="1"/>
      </xdr:nvSpPr>
      <xdr:spPr>
        <a:xfrm>
          <a:off x="8267700" y="33748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957" name="TextBox 4956">
          <a:extLst>
            <a:ext uri="{FF2B5EF4-FFF2-40B4-BE49-F238E27FC236}">
              <a16:creationId xmlns:a16="http://schemas.microsoft.com/office/drawing/2014/main" id="{00000000-0008-0000-0000-000058000000}"/>
            </a:ext>
          </a:extLst>
        </xdr:cNvPr>
        <xdr:cNvSpPr txBox="1"/>
      </xdr:nvSpPr>
      <xdr:spPr>
        <a:xfrm>
          <a:off x="8267700" y="3394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958" name="TextBox 4957">
          <a:extLst>
            <a:ext uri="{FF2B5EF4-FFF2-40B4-BE49-F238E27FC236}">
              <a16:creationId xmlns:a16="http://schemas.microsoft.com/office/drawing/2014/main" id="{00000000-0008-0000-0000-000059000000}"/>
            </a:ext>
          </a:extLst>
        </xdr:cNvPr>
        <xdr:cNvSpPr txBox="1"/>
      </xdr:nvSpPr>
      <xdr:spPr>
        <a:xfrm>
          <a:off x="8267700" y="3394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959" name="TextBox 4958">
          <a:extLst>
            <a:ext uri="{FF2B5EF4-FFF2-40B4-BE49-F238E27FC236}">
              <a16:creationId xmlns:a16="http://schemas.microsoft.com/office/drawing/2014/main" id="{00000000-0008-0000-0000-00005A000000}"/>
            </a:ext>
          </a:extLst>
        </xdr:cNvPr>
        <xdr:cNvSpPr txBox="1"/>
      </xdr:nvSpPr>
      <xdr:spPr>
        <a:xfrm>
          <a:off x="8267700" y="3394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960" name="TextBox 4959">
          <a:extLst>
            <a:ext uri="{FF2B5EF4-FFF2-40B4-BE49-F238E27FC236}">
              <a16:creationId xmlns:a16="http://schemas.microsoft.com/office/drawing/2014/main" id="{00000000-0008-0000-0000-00005B000000}"/>
            </a:ext>
          </a:extLst>
        </xdr:cNvPr>
        <xdr:cNvSpPr txBox="1"/>
      </xdr:nvSpPr>
      <xdr:spPr>
        <a:xfrm>
          <a:off x="8267700" y="3394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961" name="TextBox 4960">
          <a:extLst>
            <a:ext uri="{FF2B5EF4-FFF2-40B4-BE49-F238E27FC236}">
              <a16:creationId xmlns:a16="http://schemas.microsoft.com/office/drawing/2014/main" id="{00000000-0008-0000-0000-00005C000000}"/>
            </a:ext>
          </a:extLst>
        </xdr:cNvPr>
        <xdr:cNvSpPr txBox="1"/>
      </xdr:nvSpPr>
      <xdr:spPr>
        <a:xfrm>
          <a:off x="8267700" y="3394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962" name="TextBox 4961">
          <a:extLst>
            <a:ext uri="{FF2B5EF4-FFF2-40B4-BE49-F238E27FC236}">
              <a16:creationId xmlns:a16="http://schemas.microsoft.com/office/drawing/2014/main" id="{00000000-0008-0000-0000-00005D000000}"/>
            </a:ext>
          </a:extLst>
        </xdr:cNvPr>
        <xdr:cNvSpPr txBox="1"/>
      </xdr:nvSpPr>
      <xdr:spPr>
        <a:xfrm>
          <a:off x="8267700" y="3394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963" name="TextBox 4962">
          <a:extLst>
            <a:ext uri="{FF2B5EF4-FFF2-40B4-BE49-F238E27FC236}">
              <a16:creationId xmlns:a16="http://schemas.microsoft.com/office/drawing/2014/main" id="{00000000-0008-0000-0000-00005E000000}"/>
            </a:ext>
          </a:extLst>
        </xdr:cNvPr>
        <xdr:cNvSpPr txBox="1"/>
      </xdr:nvSpPr>
      <xdr:spPr>
        <a:xfrm>
          <a:off x="8267700" y="3394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964" name="TextBox 4963">
          <a:extLst>
            <a:ext uri="{FF2B5EF4-FFF2-40B4-BE49-F238E27FC236}">
              <a16:creationId xmlns:a16="http://schemas.microsoft.com/office/drawing/2014/main" id="{00000000-0008-0000-0000-00005F000000}"/>
            </a:ext>
          </a:extLst>
        </xdr:cNvPr>
        <xdr:cNvSpPr txBox="1"/>
      </xdr:nvSpPr>
      <xdr:spPr>
        <a:xfrm>
          <a:off x="8267700" y="3394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4965" name="TextBox 4964">
          <a:extLst>
            <a:ext uri="{FF2B5EF4-FFF2-40B4-BE49-F238E27FC236}">
              <a16:creationId xmlns:a16="http://schemas.microsoft.com/office/drawing/2014/main" id="{00000000-0008-0000-0000-000060000000}"/>
            </a:ext>
          </a:extLst>
        </xdr:cNvPr>
        <xdr:cNvSpPr txBox="1"/>
      </xdr:nvSpPr>
      <xdr:spPr>
        <a:xfrm>
          <a:off x="8267700" y="33550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4966" name="TextBox 4965">
          <a:extLst>
            <a:ext uri="{FF2B5EF4-FFF2-40B4-BE49-F238E27FC236}">
              <a16:creationId xmlns:a16="http://schemas.microsoft.com/office/drawing/2014/main" id="{00000000-0008-0000-0000-000061000000}"/>
            </a:ext>
          </a:extLst>
        </xdr:cNvPr>
        <xdr:cNvSpPr txBox="1"/>
      </xdr:nvSpPr>
      <xdr:spPr>
        <a:xfrm>
          <a:off x="8267700" y="33550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4967" name="TextBox 4966">
          <a:extLst>
            <a:ext uri="{FF2B5EF4-FFF2-40B4-BE49-F238E27FC236}">
              <a16:creationId xmlns:a16="http://schemas.microsoft.com/office/drawing/2014/main" id="{00000000-0008-0000-0000-000062000000}"/>
            </a:ext>
          </a:extLst>
        </xdr:cNvPr>
        <xdr:cNvSpPr txBox="1"/>
      </xdr:nvSpPr>
      <xdr:spPr>
        <a:xfrm>
          <a:off x="8267700" y="33550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4968" name="TextBox 4967">
          <a:extLst>
            <a:ext uri="{FF2B5EF4-FFF2-40B4-BE49-F238E27FC236}">
              <a16:creationId xmlns:a16="http://schemas.microsoft.com/office/drawing/2014/main" id="{00000000-0008-0000-0000-000063000000}"/>
            </a:ext>
          </a:extLst>
        </xdr:cNvPr>
        <xdr:cNvSpPr txBox="1"/>
      </xdr:nvSpPr>
      <xdr:spPr>
        <a:xfrm>
          <a:off x="8267700" y="33550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969" name="TextBox 4968">
          <a:extLst>
            <a:ext uri="{FF2B5EF4-FFF2-40B4-BE49-F238E27FC236}">
              <a16:creationId xmlns:a16="http://schemas.microsoft.com/office/drawing/2014/main" id="{00000000-0008-0000-0000-000064000000}"/>
            </a:ext>
          </a:extLst>
        </xdr:cNvPr>
        <xdr:cNvSpPr txBox="1"/>
      </xdr:nvSpPr>
      <xdr:spPr>
        <a:xfrm>
          <a:off x="8267700" y="33748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970" name="TextBox 4969">
          <a:extLst>
            <a:ext uri="{FF2B5EF4-FFF2-40B4-BE49-F238E27FC236}">
              <a16:creationId xmlns:a16="http://schemas.microsoft.com/office/drawing/2014/main" id="{00000000-0008-0000-0000-000065000000}"/>
            </a:ext>
          </a:extLst>
        </xdr:cNvPr>
        <xdr:cNvSpPr txBox="1"/>
      </xdr:nvSpPr>
      <xdr:spPr>
        <a:xfrm>
          <a:off x="8267700" y="33748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971" name="TextBox 4970">
          <a:extLst>
            <a:ext uri="{FF2B5EF4-FFF2-40B4-BE49-F238E27FC236}">
              <a16:creationId xmlns:a16="http://schemas.microsoft.com/office/drawing/2014/main" id="{00000000-0008-0000-0000-000066000000}"/>
            </a:ext>
          </a:extLst>
        </xdr:cNvPr>
        <xdr:cNvSpPr txBox="1"/>
      </xdr:nvSpPr>
      <xdr:spPr>
        <a:xfrm>
          <a:off x="8267700" y="33748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972" name="TextBox 4971">
          <a:extLst>
            <a:ext uri="{FF2B5EF4-FFF2-40B4-BE49-F238E27FC236}">
              <a16:creationId xmlns:a16="http://schemas.microsoft.com/office/drawing/2014/main" id="{00000000-0008-0000-0000-000067000000}"/>
            </a:ext>
          </a:extLst>
        </xdr:cNvPr>
        <xdr:cNvSpPr txBox="1"/>
      </xdr:nvSpPr>
      <xdr:spPr>
        <a:xfrm>
          <a:off x="8267700" y="33748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973" name="TextBox 4972">
          <a:extLst>
            <a:ext uri="{FF2B5EF4-FFF2-40B4-BE49-F238E27FC236}">
              <a16:creationId xmlns:a16="http://schemas.microsoft.com/office/drawing/2014/main" id="{00000000-0008-0000-0000-000068000000}"/>
            </a:ext>
          </a:extLst>
        </xdr:cNvPr>
        <xdr:cNvSpPr txBox="1"/>
      </xdr:nvSpPr>
      <xdr:spPr>
        <a:xfrm>
          <a:off x="8267700" y="33748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974" name="TextBox 4973">
          <a:extLst>
            <a:ext uri="{FF2B5EF4-FFF2-40B4-BE49-F238E27FC236}">
              <a16:creationId xmlns:a16="http://schemas.microsoft.com/office/drawing/2014/main" id="{00000000-0008-0000-0000-000069000000}"/>
            </a:ext>
          </a:extLst>
        </xdr:cNvPr>
        <xdr:cNvSpPr txBox="1"/>
      </xdr:nvSpPr>
      <xdr:spPr>
        <a:xfrm>
          <a:off x="8267700" y="33748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975" name="TextBox 4974">
          <a:extLst>
            <a:ext uri="{FF2B5EF4-FFF2-40B4-BE49-F238E27FC236}">
              <a16:creationId xmlns:a16="http://schemas.microsoft.com/office/drawing/2014/main" id="{00000000-0008-0000-0000-00006A000000}"/>
            </a:ext>
          </a:extLst>
        </xdr:cNvPr>
        <xdr:cNvSpPr txBox="1"/>
      </xdr:nvSpPr>
      <xdr:spPr>
        <a:xfrm>
          <a:off x="8267700" y="33748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976" name="TextBox 4975">
          <a:extLst>
            <a:ext uri="{FF2B5EF4-FFF2-40B4-BE49-F238E27FC236}">
              <a16:creationId xmlns:a16="http://schemas.microsoft.com/office/drawing/2014/main" id="{00000000-0008-0000-0000-00006B000000}"/>
            </a:ext>
          </a:extLst>
        </xdr:cNvPr>
        <xdr:cNvSpPr txBox="1"/>
      </xdr:nvSpPr>
      <xdr:spPr>
        <a:xfrm>
          <a:off x="8267700" y="33748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977" name="TextBox 4976">
          <a:extLst>
            <a:ext uri="{FF2B5EF4-FFF2-40B4-BE49-F238E27FC236}">
              <a16:creationId xmlns:a16="http://schemas.microsoft.com/office/drawing/2014/main" id="{00000000-0008-0000-0000-00006C000000}"/>
            </a:ext>
          </a:extLst>
        </xdr:cNvPr>
        <xdr:cNvSpPr txBox="1"/>
      </xdr:nvSpPr>
      <xdr:spPr>
        <a:xfrm>
          <a:off x="8267700" y="33748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978" name="TextBox 4977">
          <a:extLst>
            <a:ext uri="{FF2B5EF4-FFF2-40B4-BE49-F238E27FC236}">
              <a16:creationId xmlns:a16="http://schemas.microsoft.com/office/drawing/2014/main" id="{00000000-0008-0000-0000-00006D000000}"/>
            </a:ext>
          </a:extLst>
        </xdr:cNvPr>
        <xdr:cNvSpPr txBox="1"/>
      </xdr:nvSpPr>
      <xdr:spPr>
        <a:xfrm>
          <a:off x="8267700" y="33748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979" name="TextBox 4978">
          <a:extLst>
            <a:ext uri="{FF2B5EF4-FFF2-40B4-BE49-F238E27FC236}">
              <a16:creationId xmlns:a16="http://schemas.microsoft.com/office/drawing/2014/main" id="{00000000-0008-0000-0000-00006E000000}"/>
            </a:ext>
          </a:extLst>
        </xdr:cNvPr>
        <xdr:cNvSpPr txBox="1"/>
      </xdr:nvSpPr>
      <xdr:spPr>
        <a:xfrm>
          <a:off x="8267700" y="33748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980" name="TextBox 4979">
          <a:extLst>
            <a:ext uri="{FF2B5EF4-FFF2-40B4-BE49-F238E27FC236}">
              <a16:creationId xmlns:a16="http://schemas.microsoft.com/office/drawing/2014/main" id="{00000000-0008-0000-0000-00006F000000}"/>
            </a:ext>
          </a:extLst>
        </xdr:cNvPr>
        <xdr:cNvSpPr txBox="1"/>
      </xdr:nvSpPr>
      <xdr:spPr>
        <a:xfrm>
          <a:off x="8267700" y="33748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981" name="TextBox 4980">
          <a:extLst>
            <a:ext uri="{FF2B5EF4-FFF2-40B4-BE49-F238E27FC236}">
              <a16:creationId xmlns:a16="http://schemas.microsoft.com/office/drawing/2014/main" id="{00000000-0008-0000-0000-000070000000}"/>
            </a:ext>
          </a:extLst>
        </xdr:cNvPr>
        <xdr:cNvSpPr txBox="1"/>
      </xdr:nvSpPr>
      <xdr:spPr>
        <a:xfrm>
          <a:off x="8267700" y="33748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982" name="TextBox 4981">
          <a:extLst>
            <a:ext uri="{FF2B5EF4-FFF2-40B4-BE49-F238E27FC236}">
              <a16:creationId xmlns:a16="http://schemas.microsoft.com/office/drawing/2014/main" id="{00000000-0008-0000-0000-000071000000}"/>
            </a:ext>
          </a:extLst>
        </xdr:cNvPr>
        <xdr:cNvSpPr txBox="1"/>
      </xdr:nvSpPr>
      <xdr:spPr>
        <a:xfrm>
          <a:off x="8267700" y="33748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983" name="TextBox 4982">
          <a:extLst>
            <a:ext uri="{FF2B5EF4-FFF2-40B4-BE49-F238E27FC236}">
              <a16:creationId xmlns:a16="http://schemas.microsoft.com/office/drawing/2014/main" id="{00000000-0008-0000-0000-000072000000}"/>
            </a:ext>
          </a:extLst>
        </xdr:cNvPr>
        <xdr:cNvSpPr txBox="1"/>
      </xdr:nvSpPr>
      <xdr:spPr>
        <a:xfrm>
          <a:off x="8267700" y="33748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984" name="TextBox 4983">
          <a:extLst>
            <a:ext uri="{FF2B5EF4-FFF2-40B4-BE49-F238E27FC236}">
              <a16:creationId xmlns:a16="http://schemas.microsoft.com/office/drawing/2014/main" id="{00000000-0008-0000-0000-000073000000}"/>
            </a:ext>
          </a:extLst>
        </xdr:cNvPr>
        <xdr:cNvSpPr txBox="1"/>
      </xdr:nvSpPr>
      <xdr:spPr>
        <a:xfrm>
          <a:off x="8267700" y="33748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985" name="TextBox 4984">
          <a:extLst>
            <a:ext uri="{FF2B5EF4-FFF2-40B4-BE49-F238E27FC236}">
              <a16:creationId xmlns:a16="http://schemas.microsoft.com/office/drawing/2014/main" id="{00000000-0008-0000-0000-000074000000}"/>
            </a:ext>
          </a:extLst>
        </xdr:cNvPr>
        <xdr:cNvSpPr txBox="1"/>
      </xdr:nvSpPr>
      <xdr:spPr>
        <a:xfrm>
          <a:off x="12580620" y="33748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986" name="TextBox 4985">
          <a:extLst>
            <a:ext uri="{FF2B5EF4-FFF2-40B4-BE49-F238E27FC236}">
              <a16:creationId xmlns:a16="http://schemas.microsoft.com/office/drawing/2014/main" id="{00000000-0008-0000-0000-000075000000}"/>
            </a:ext>
          </a:extLst>
        </xdr:cNvPr>
        <xdr:cNvSpPr txBox="1"/>
      </xdr:nvSpPr>
      <xdr:spPr>
        <a:xfrm>
          <a:off x="12580620" y="33748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987" name="TextBox 4986">
          <a:extLst>
            <a:ext uri="{FF2B5EF4-FFF2-40B4-BE49-F238E27FC236}">
              <a16:creationId xmlns:a16="http://schemas.microsoft.com/office/drawing/2014/main" id="{00000000-0008-0000-0000-000076000000}"/>
            </a:ext>
          </a:extLst>
        </xdr:cNvPr>
        <xdr:cNvSpPr txBox="1"/>
      </xdr:nvSpPr>
      <xdr:spPr>
        <a:xfrm>
          <a:off x="12580620" y="33748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988" name="TextBox 4987">
          <a:extLst>
            <a:ext uri="{FF2B5EF4-FFF2-40B4-BE49-F238E27FC236}">
              <a16:creationId xmlns:a16="http://schemas.microsoft.com/office/drawing/2014/main" id="{00000000-0008-0000-0000-000077000000}"/>
            </a:ext>
          </a:extLst>
        </xdr:cNvPr>
        <xdr:cNvSpPr txBox="1"/>
      </xdr:nvSpPr>
      <xdr:spPr>
        <a:xfrm>
          <a:off x="12580620" y="33748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989" name="TextBox 4988">
          <a:extLst>
            <a:ext uri="{FF2B5EF4-FFF2-40B4-BE49-F238E27FC236}">
              <a16:creationId xmlns:a16="http://schemas.microsoft.com/office/drawing/2014/main" id="{00000000-0008-0000-0000-000078000000}"/>
            </a:ext>
          </a:extLst>
        </xdr:cNvPr>
        <xdr:cNvSpPr txBox="1"/>
      </xdr:nvSpPr>
      <xdr:spPr>
        <a:xfrm>
          <a:off x="12580620" y="33748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990" name="TextBox 4989">
          <a:extLst>
            <a:ext uri="{FF2B5EF4-FFF2-40B4-BE49-F238E27FC236}">
              <a16:creationId xmlns:a16="http://schemas.microsoft.com/office/drawing/2014/main" id="{00000000-0008-0000-0000-000079000000}"/>
            </a:ext>
          </a:extLst>
        </xdr:cNvPr>
        <xdr:cNvSpPr txBox="1"/>
      </xdr:nvSpPr>
      <xdr:spPr>
        <a:xfrm>
          <a:off x="12580620" y="33748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991" name="TextBox 4990">
          <a:extLst>
            <a:ext uri="{FF2B5EF4-FFF2-40B4-BE49-F238E27FC236}">
              <a16:creationId xmlns:a16="http://schemas.microsoft.com/office/drawing/2014/main" id="{00000000-0008-0000-0000-00007A000000}"/>
            </a:ext>
          </a:extLst>
        </xdr:cNvPr>
        <xdr:cNvSpPr txBox="1"/>
      </xdr:nvSpPr>
      <xdr:spPr>
        <a:xfrm>
          <a:off x="12580620" y="33748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992" name="TextBox 4991">
          <a:extLst>
            <a:ext uri="{FF2B5EF4-FFF2-40B4-BE49-F238E27FC236}">
              <a16:creationId xmlns:a16="http://schemas.microsoft.com/office/drawing/2014/main" id="{00000000-0008-0000-0000-00007B000000}"/>
            </a:ext>
          </a:extLst>
        </xdr:cNvPr>
        <xdr:cNvSpPr txBox="1"/>
      </xdr:nvSpPr>
      <xdr:spPr>
        <a:xfrm>
          <a:off x="12580620" y="33748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4993" name="TextBox 4992">
          <a:extLst>
            <a:ext uri="{FF2B5EF4-FFF2-40B4-BE49-F238E27FC236}">
              <a16:creationId xmlns:a16="http://schemas.microsoft.com/office/drawing/2014/main" id="{00000000-0008-0000-0000-00007C000000}"/>
            </a:ext>
          </a:extLst>
        </xdr:cNvPr>
        <xdr:cNvSpPr txBox="1"/>
      </xdr:nvSpPr>
      <xdr:spPr>
        <a:xfrm>
          <a:off x="8267700" y="33550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4994" name="TextBox 4993">
          <a:extLst>
            <a:ext uri="{FF2B5EF4-FFF2-40B4-BE49-F238E27FC236}">
              <a16:creationId xmlns:a16="http://schemas.microsoft.com/office/drawing/2014/main" id="{00000000-0008-0000-0000-00007D000000}"/>
            </a:ext>
          </a:extLst>
        </xdr:cNvPr>
        <xdr:cNvSpPr txBox="1"/>
      </xdr:nvSpPr>
      <xdr:spPr>
        <a:xfrm>
          <a:off x="8267700" y="33550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4995" name="TextBox 4994">
          <a:extLst>
            <a:ext uri="{FF2B5EF4-FFF2-40B4-BE49-F238E27FC236}">
              <a16:creationId xmlns:a16="http://schemas.microsoft.com/office/drawing/2014/main" id="{00000000-0008-0000-0000-00007E000000}"/>
            </a:ext>
          </a:extLst>
        </xdr:cNvPr>
        <xdr:cNvSpPr txBox="1"/>
      </xdr:nvSpPr>
      <xdr:spPr>
        <a:xfrm>
          <a:off x="8267700" y="33550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4996" name="TextBox 4995">
          <a:extLst>
            <a:ext uri="{FF2B5EF4-FFF2-40B4-BE49-F238E27FC236}">
              <a16:creationId xmlns:a16="http://schemas.microsoft.com/office/drawing/2014/main" id="{00000000-0008-0000-0000-00007F000000}"/>
            </a:ext>
          </a:extLst>
        </xdr:cNvPr>
        <xdr:cNvSpPr txBox="1"/>
      </xdr:nvSpPr>
      <xdr:spPr>
        <a:xfrm>
          <a:off x="8267700" y="33550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997" name="TextBox 4996">
          <a:extLst>
            <a:ext uri="{FF2B5EF4-FFF2-40B4-BE49-F238E27FC236}">
              <a16:creationId xmlns:a16="http://schemas.microsoft.com/office/drawing/2014/main" id="{00000000-0008-0000-0000-000080000000}"/>
            </a:ext>
          </a:extLst>
        </xdr:cNvPr>
        <xdr:cNvSpPr txBox="1"/>
      </xdr:nvSpPr>
      <xdr:spPr>
        <a:xfrm>
          <a:off x="8267700" y="33748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998" name="TextBox 4997">
          <a:extLst>
            <a:ext uri="{FF2B5EF4-FFF2-40B4-BE49-F238E27FC236}">
              <a16:creationId xmlns:a16="http://schemas.microsoft.com/office/drawing/2014/main" id="{00000000-0008-0000-0000-000081000000}"/>
            </a:ext>
          </a:extLst>
        </xdr:cNvPr>
        <xdr:cNvSpPr txBox="1"/>
      </xdr:nvSpPr>
      <xdr:spPr>
        <a:xfrm>
          <a:off x="8267700" y="33748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999" name="TextBox 4998">
          <a:extLst>
            <a:ext uri="{FF2B5EF4-FFF2-40B4-BE49-F238E27FC236}">
              <a16:creationId xmlns:a16="http://schemas.microsoft.com/office/drawing/2014/main" id="{00000000-0008-0000-0000-000082000000}"/>
            </a:ext>
          </a:extLst>
        </xdr:cNvPr>
        <xdr:cNvSpPr txBox="1"/>
      </xdr:nvSpPr>
      <xdr:spPr>
        <a:xfrm>
          <a:off x="8267700" y="33748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5000" name="TextBox 4999">
          <a:extLst>
            <a:ext uri="{FF2B5EF4-FFF2-40B4-BE49-F238E27FC236}">
              <a16:creationId xmlns:a16="http://schemas.microsoft.com/office/drawing/2014/main" id="{00000000-0008-0000-0000-000083000000}"/>
            </a:ext>
          </a:extLst>
        </xdr:cNvPr>
        <xdr:cNvSpPr txBox="1"/>
      </xdr:nvSpPr>
      <xdr:spPr>
        <a:xfrm>
          <a:off x="8267700" y="33748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5001" name="TextBox 5000">
          <a:extLst>
            <a:ext uri="{FF2B5EF4-FFF2-40B4-BE49-F238E27FC236}">
              <a16:creationId xmlns:a16="http://schemas.microsoft.com/office/drawing/2014/main" id="{00000000-0008-0000-0000-000084000000}"/>
            </a:ext>
          </a:extLst>
        </xdr:cNvPr>
        <xdr:cNvSpPr txBox="1"/>
      </xdr:nvSpPr>
      <xdr:spPr>
        <a:xfrm>
          <a:off x="8267700" y="33748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5002" name="TextBox 5001">
          <a:extLst>
            <a:ext uri="{FF2B5EF4-FFF2-40B4-BE49-F238E27FC236}">
              <a16:creationId xmlns:a16="http://schemas.microsoft.com/office/drawing/2014/main" id="{00000000-0008-0000-0000-000085000000}"/>
            </a:ext>
          </a:extLst>
        </xdr:cNvPr>
        <xdr:cNvSpPr txBox="1"/>
      </xdr:nvSpPr>
      <xdr:spPr>
        <a:xfrm>
          <a:off x="8267700" y="33748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5003" name="TextBox 5002">
          <a:extLst>
            <a:ext uri="{FF2B5EF4-FFF2-40B4-BE49-F238E27FC236}">
              <a16:creationId xmlns:a16="http://schemas.microsoft.com/office/drawing/2014/main" id="{00000000-0008-0000-0000-000086000000}"/>
            </a:ext>
          </a:extLst>
        </xdr:cNvPr>
        <xdr:cNvSpPr txBox="1"/>
      </xdr:nvSpPr>
      <xdr:spPr>
        <a:xfrm>
          <a:off x="8267700" y="33748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5004" name="TextBox 5003">
          <a:extLst>
            <a:ext uri="{FF2B5EF4-FFF2-40B4-BE49-F238E27FC236}">
              <a16:creationId xmlns:a16="http://schemas.microsoft.com/office/drawing/2014/main" id="{00000000-0008-0000-0000-000087000000}"/>
            </a:ext>
          </a:extLst>
        </xdr:cNvPr>
        <xdr:cNvSpPr txBox="1"/>
      </xdr:nvSpPr>
      <xdr:spPr>
        <a:xfrm>
          <a:off x="8267700" y="33748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5005" name="TextBox 5004">
          <a:extLst>
            <a:ext uri="{FF2B5EF4-FFF2-40B4-BE49-F238E27FC236}">
              <a16:creationId xmlns:a16="http://schemas.microsoft.com/office/drawing/2014/main" id="{00000000-0008-0000-0000-000088000000}"/>
            </a:ext>
          </a:extLst>
        </xdr:cNvPr>
        <xdr:cNvSpPr txBox="1"/>
      </xdr:nvSpPr>
      <xdr:spPr>
        <a:xfrm>
          <a:off x="8267700" y="33748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5006" name="TextBox 5005">
          <a:extLst>
            <a:ext uri="{FF2B5EF4-FFF2-40B4-BE49-F238E27FC236}">
              <a16:creationId xmlns:a16="http://schemas.microsoft.com/office/drawing/2014/main" id="{00000000-0008-0000-0000-000089000000}"/>
            </a:ext>
          </a:extLst>
        </xdr:cNvPr>
        <xdr:cNvSpPr txBox="1"/>
      </xdr:nvSpPr>
      <xdr:spPr>
        <a:xfrm>
          <a:off x="8267700" y="33748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5007" name="TextBox 5006">
          <a:extLst>
            <a:ext uri="{FF2B5EF4-FFF2-40B4-BE49-F238E27FC236}">
              <a16:creationId xmlns:a16="http://schemas.microsoft.com/office/drawing/2014/main" id="{00000000-0008-0000-0000-00008A000000}"/>
            </a:ext>
          </a:extLst>
        </xdr:cNvPr>
        <xdr:cNvSpPr txBox="1"/>
      </xdr:nvSpPr>
      <xdr:spPr>
        <a:xfrm>
          <a:off x="8267700" y="33748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5008" name="TextBox 5007">
          <a:extLst>
            <a:ext uri="{FF2B5EF4-FFF2-40B4-BE49-F238E27FC236}">
              <a16:creationId xmlns:a16="http://schemas.microsoft.com/office/drawing/2014/main" id="{00000000-0008-0000-0000-00008B000000}"/>
            </a:ext>
          </a:extLst>
        </xdr:cNvPr>
        <xdr:cNvSpPr txBox="1"/>
      </xdr:nvSpPr>
      <xdr:spPr>
        <a:xfrm>
          <a:off x="8267700" y="33748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5009" name="TextBox 5008">
          <a:extLst>
            <a:ext uri="{FF2B5EF4-FFF2-40B4-BE49-F238E27FC236}">
              <a16:creationId xmlns:a16="http://schemas.microsoft.com/office/drawing/2014/main" id="{00000000-0008-0000-0000-00008C000000}"/>
            </a:ext>
          </a:extLst>
        </xdr:cNvPr>
        <xdr:cNvSpPr txBox="1"/>
      </xdr:nvSpPr>
      <xdr:spPr>
        <a:xfrm>
          <a:off x="8267700" y="3394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5010" name="TextBox 5009">
          <a:extLst>
            <a:ext uri="{FF2B5EF4-FFF2-40B4-BE49-F238E27FC236}">
              <a16:creationId xmlns:a16="http://schemas.microsoft.com/office/drawing/2014/main" id="{00000000-0008-0000-0000-00008D000000}"/>
            </a:ext>
          </a:extLst>
        </xdr:cNvPr>
        <xdr:cNvSpPr txBox="1"/>
      </xdr:nvSpPr>
      <xdr:spPr>
        <a:xfrm>
          <a:off x="8267700" y="3394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5011" name="TextBox 5010">
          <a:extLst>
            <a:ext uri="{FF2B5EF4-FFF2-40B4-BE49-F238E27FC236}">
              <a16:creationId xmlns:a16="http://schemas.microsoft.com/office/drawing/2014/main" id="{00000000-0008-0000-0000-00008E000000}"/>
            </a:ext>
          </a:extLst>
        </xdr:cNvPr>
        <xdr:cNvSpPr txBox="1"/>
      </xdr:nvSpPr>
      <xdr:spPr>
        <a:xfrm>
          <a:off x="8267700" y="3394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5012" name="TextBox 5011">
          <a:extLst>
            <a:ext uri="{FF2B5EF4-FFF2-40B4-BE49-F238E27FC236}">
              <a16:creationId xmlns:a16="http://schemas.microsoft.com/office/drawing/2014/main" id="{00000000-0008-0000-0000-00008F000000}"/>
            </a:ext>
          </a:extLst>
        </xdr:cNvPr>
        <xdr:cNvSpPr txBox="1"/>
      </xdr:nvSpPr>
      <xdr:spPr>
        <a:xfrm>
          <a:off x="8267700" y="3394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5013" name="TextBox 5012">
          <a:extLst>
            <a:ext uri="{FF2B5EF4-FFF2-40B4-BE49-F238E27FC236}">
              <a16:creationId xmlns:a16="http://schemas.microsoft.com/office/drawing/2014/main" id="{00000000-0008-0000-0000-000090000000}"/>
            </a:ext>
          </a:extLst>
        </xdr:cNvPr>
        <xdr:cNvSpPr txBox="1"/>
      </xdr:nvSpPr>
      <xdr:spPr>
        <a:xfrm>
          <a:off x="8267700" y="3394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5014" name="TextBox 5013">
          <a:extLst>
            <a:ext uri="{FF2B5EF4-FFF2-40B4-BE49-F238E27FC236}">
              <a16:creationId xmlns:a16="http://schemas.microsoft.com/office/drawing/2014/main" id="{00000000-0008-0000-0000-000091000000}"/>
            </a:ext>
          </a:extLst>
        </xdr:cNvPr>
        <xdr:cNvSpPr txBox="1"/>
      </xdr:nvSpPr>
      <xdr:spPr>
        <a:xfrm>
          <a:off x="8267700" y="3394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5015" name="TextBox 5014">
          <a:extLst>
            <a:ext uri="{FF2B5EF4-FFF2-40B4-BE49-F238E27FC236}">
              <a16:creationId xmlns:a16="http://schemas.microsoft.com/office/drawing/2014/main" id="{00000000-0008-0000-0000-000092000000}"/>
            </a:ext>
          </a:extLst>
        </xdr:cNvPr>
        <xdr:cNvSpPr txBox="1"/>
      </xdr:nvSpPr>
      <xdr:spPr>
        <a:xfrm>
          <a:off x="8267700" y="3394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5016" name="TextBox 5015">
          <a:extLst>
            <a:ext uri="{FF2B5EF4-FFF2-40B4-BE49-F238E27FC236}">
              <a16:creationId xmlns:a16="http://schemas.microsoft.com/office/drawing/2014/main" id="{00000000-0008-0000-0000-000093000000}"/>
            </a:ext>
          </a:extLst>
        </xdr:cNvPr>
        <xdr:cNvSpPr txBox="1"/>
      </xdr:nvSpPr>
      <xdr:spPr>
        <a:xfrm>
          <a:off x="8267700" y="3394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5017" name="TextBox 5016">
          <a:extLst>
            <a:ext uri="{FF2B5EF4-FFF2-40B4-BE49-F238E27FC236}">
              <a16:creationId xmlns:a16="http://schemas.microsoft.com/office/drawing/2014/main" id="{00000000-0008-0000-0000-000094000000}"/>
            </a:ext>
          </a:extLst>
        </xdr:cNvPr>
        <xdr:cNvSpPr txBox="1"/>
      </xdr:nvSpPr>
      <xdr:spPr>
        <a:xfrm>
          <a:off x="8267700" y="3394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5018" name="TextBox 5017">
          <a:extLst>
            <a:ext uri="{FF2B5EF4-FFF2-40B4-BE49-F238E27FC236}">
              <a16:creationId xmlns:a16="http://schemas.microsoft.com/office/drawing/2014/main" id="{00000000-0008-0000-0000-000095000000}"/>
            </a:ext>
          </a:extLst>
        </xdr:cNvPr>
        <xdr:cNvSpPr txBox="1"/>
      </xdr:nvSpPr>
      <xdr:spPr>
        <a:xfrm>
          <a:off x="8267700" y="3394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5019" name="TextBox 5018">
          <a:extLst>
            <a:ext uri="{FF2B5EF4-FFF2-40B4-BE49-F238E27FC236}">
              <a16:creationId xmlns:a16="http://schemas.microsoft.com/office/drawing/2014/main" id="{00000000-0008-0000-0000-000096000000}"/>
            </a:ext>
          </a:extLst>
        </xdr:cNvPr>
        <xdr:cNvSpPr txBox="1"/>
      </xdr:nvSpPr>
      <xdr:spPr>
        <a:xfrm>
          <a:off x="8267700" y="3394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5020" name="TextBox 5019">
          <a:extLst>
            <a:ext uri="{FF2B5EF4-FFF2-40B4-BE49-F238E27FC236}">
              <a16:creationId xmlns:a16="http://schemas.microsoft.com/office/drawing/2014/main" id="{00000000-0008-0000-0000-000097000000}"/>
            </a:ext>
          </a:extLst>
        </xdr:cNvPr>
        <xdr:cNvSpPr txBox="1"/>
      </xdr:nvSpPr>
      <xdr:spPr>
        <a:xfrm>
          <a:off x="8267700" y="3394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5021" name="TextBox 5020">
          <a:extLst>
            <a:ext uri="{FF2B5EF4-FFF2-40B4-BE49-F238E27FC236}">
              <a16:creationId xmlns:a16="http://schemas.microsoft.com/office/drawing/2014/main" id="{00000000-0008-0000-0000-000098000000}"/>
            </a:ext>
          </a:extLst>
        </xdr:cNvPr>
        <xdr:cNvSpPr txBox="1"/>
      </xdr:nvSpPr>
      <xdr:spPr>
        <a:xfrm>
          <a:off x="8267700" y="3394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5022" name="TextBox 5021">
          <a:extLst>
            <a:ext uri="{FF2B5EF4-FFF2-40B4-BE49-F238E27FC236}">
              <a16:creationId xmlns:a16="http://schemas.microsoft.com/office/drawing/2014/main" id="{00000000-0008-0000-0000-000099000000}"/>
            </a:ext>
          </a:extLst>
        </xdr:cNvPr>
        <xdr:cNvSpPr txBox="1"/>
      </xdr:nvSpPr>
      <xdr:spPr>
        <a:xfrm>
          <a:off x="8267700" y="3394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5023" name="TextBox 5022">
          <a:extLst>
            <a:ext uri="{FF2B5EF4-FFF2-40B4-BE49-F238E27FC236}">
              <a16:creationId xmlns:a16="http://schemas.microsoft.com/office/drawing/2014/main" id="{00000000-0008-0000-0000-00009A000000}"/>
            </a:ext>
          </a:extLst>
        </xdr:cNvPr>
        <xdr:cNvSpPr txBox="1"/>
      </xdr:nvSpPr>
      <xdr:spPr>
        <a:xfrm>
          <a:off x="8267700" y="3394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5024" name="TextBox 5023">
          <a:extLst>
            <a:ext uri="{FF2B5EF4-FFF2-40B4-BE49-F238E27FC236}">
              <a16:creationId xmlns:a16="http://schemas.microsoft.com/office/drawing/2014/main" id="{00000000-0008-0000-0000-00009B000000}"/>
            </a:ext>
          </a:extLst>
        </xdr:cNvPr>
        <xdr:cNvSpPr txBox="1"/>
      </xdr:nvSpPr>
      <xdr:spPr>
        <a:xfrm>
          <a:off x="8267700" y="3394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5025" name="TextBox 5024">
          <a:extLst>
            <a:ext uri="{FF2B5EF4-FFF2-40B4-BE49-F238E27FC236}">
              <a16:creationId xmlns:a16="http://schemas.microsoft.com/office/drawing/2014/main" id="{00000000-0008-0000-0000-00009C000000}"/>
            </a:ext>
          </a:extLst>
        </xdr:cNvPr>
        <xdr:cNvSpPr txBox="1"/>
      </xdr:nvSpPr>
      <xdr:spPr>
        <a:xfrm>
          <a:off x="8267700" y="3394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5026" name="TextBox 5025">
          <a:extLst>
            <a:ext uri="{FF2B5EF4-FFF2-40B4-BE49-F238E27FC236}">
              <a16:creationId xmlns:a16="http://schemas.microsoft.com/office/drawing/2014/main" id="{00000000-0008-0000-0000-00009D000000}"/>
            </a:ext>
          </a:extLst>
        </xdr:cNvPr>
        <xdr:cNvSpPr txBox="1"/>
      </xdr:nvSpPr>
      <xdr:spPr>
        <a:xfrm>
          <a:off x="8267700" y="3394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5027" name="TextBox 5026">
          <a:extLst>
            <a:ext uri="{FF2B5EF4-FFF2-40B4-BE49-F238E27FC236}">
              <a16:creationId xmlns:a16="http://schemas.microsoft.com/office/drawing/2014/main" id="{00000000-0008-0000-0000-00009E000000}"/>
            </a:ext>
          </a:extLst>
        </xdr:cNvPr>
        <xdr:cNvSpPr txBox="1"/>
      </xdr:nvSpPr>
      <xdr:spPr>
        <a:xfrm>
          <a:off x="8267700" y="3394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5028" name="TextBox 5027">
          <a:extLst>
            <a:ext uri="{FF2B5EF4-FFF2-40B4-BE49-F238E27FC236}">
              <a16:creationId xmlns:a16="http://schemas.microsoft.com/office/drawing/2014/main" id="{00000000-0008-0000-0000-00009F000000}"/>
            </a:ext>
          </a:extLst>
        </xdr:cNvPr>
        <xdr:cNvSpPr txBox="1"/>
      </xdr:nvSpPr>
      <xdr:spPr>
        <a:xfrm>
          <a:off x="8267700" y="3394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5029" name="TextBox 5028">
          <a:extLst>
            <a:ext uri="{FF2B5EF4-FFF2-40B4-BE49-F238E27FC236}">
              <a16:creationId xmlns:a16="http://schemas.microsoft.com/office/drawing/2014/main" id="{00000000-0008-0000-0000-0000A0000000}"/>
            </a:ext>
          </a:extLst>
        </xdr:cNvPr>
        <xdr:cNvSpPr txBox="1"/>
      </xdr:nvSpPr>
      <xdr:spPr>
        <a:xfrm>
          <a:off x="8267700" y="3394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5030" name="TextBox 5029">
          <a:extLst>
            <a:ext uri="{FF2B5EF4-FFF2-40B4-BE49-F238E27FC236}">
              <a16:creationId xmlns:a16="http://schemas.microsoft.com/office/drawing/2014/main" id="{00000000-0008-0000-0000-0000A1000000}"/>
            </a:ext>
          </a:extLst>
        </xdr:cNvPr>
        <xdr:cNvSpPr txBox="1"/>
      </xdr:nvSpPr>
      <xdr:spPr>
        <a:xfrm>
          <a:off x="8267700" y="3394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5031" name="TextBox 5030">
          <a:extLst>
            <a:ext uri="{FF2B5EF4-FFF2-40B4-BE49-F238E27FC236}">
              <a16:creationId xmlns:a16="http://schemas.microsoft.com/office/drawing/2014/main" id="{00000000-0008-0000-0000-0000A2000000}"/>
            </a:ext>
          </a:extLst>
        </xdr:cNvPr>
        <xdr:cNvSpPr txBox="1"/>
      </xdr:nvSpPr>
      <xdr:spPr>
        <a:xfrm>
          <a:off x="8267700" y="3394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5032" name="TextBox 5031">
          <a:extLst>
            <a:ext uri="{FF2B5EF4-FFF2-40B4-BE49-F238E27FC236}">
              <a16:creationId xmlns:a16="http://schemas.microsoft.com/office/drawing/2014/main" id="{00000000-0008-0000-0000-0000A3000000}"/>
            </a:ext>
          </a:extLst>
        </xdr:cNvPr>
        <xdr:cNvSpPr txBox="1"/>
      </xdr:nvSpPr>
      <xdr:spPr>
        <a:xfrm>
          <a:off x="8267700" y="3394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5033" name="TextBox 5032">
          <a:extLst>
            <a:ext uri="{FF2B5EF4-FFF2-40B4-BE49-F238E27FC236}">
              <a16:creationId xmlns:a16="http://schemas.microsoft.com/office/drawing/2014/main" id="{00000000-0008-0000-0000-0000A4000000}"/>
            </a:ext>
          </a:extLst>
        </xdr:cNvPr>
        <xdr:cNvSpPr txBox="1"/>
      </xdr:nvSpPr>
      <xdr:spPr>
        <a:xfrm>
          <a:off x="8267700" y="3394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5034" name="TextBox 5033">
          <a:extLst>
            <a:ext uri="{FF2B5EF4-FFF2-40B4-BE49-F238E27FC236}">
              <a16:creationId xmlns:a16="http://schemas.microsoft.com/office/drawing/2014/main" id="{00000000-0008-0000-0000-0000A5000000}"/>
            </a:ext>
          </a:extLst>
        </xdr:cNvPr>
        <xdr:cNvSpPr txBox="1"/>
      </xdr:nvSpPr>
      <xdr:spPr>
        <a:xfrm>
          <a:off x="8267700" y="3394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5035" name="TextBox 5034">
          <a:extLst>
            <a:ext uri="{FF2B5EF4-FFF2-40B4-BE49-F238E27FC236}">
              <a16:creationId xmlns:a16="http://schemas.microsoft.com/office/drawing/2014/main" id="{00000000-0008-0000-0000-0000A6000000}"/>
            </a:ext>
          </a:extLst>
        </xdr:cNvPr>
        <xdr:cNvSpPr txBox="1"/>
      </xdr:nvSpPr>
      <xdr:spPr>
        <a:xfrm>
          <a:off x="8267700" y="3394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5036" name="TextBox 5035">
          <a:extLst>
            <a:ext uri="{FF2B5EF4-FFF2-40B4-BE49-F238E27FC236}">
              <a16:creationId xmlns:a16="http://schemas.microsoft.com/office/drawing/2014/main" id="{00000000-0008-0000-0000-0000A7000000}"/>
            </a:ext>
          </a:extLst>
        </xdr:cNvPr>
        <xdr:cNvSpPr txBox="1"/>
      </xdr:nvSpPr>
      <xdr:spPr>
        <a:xfrm>
          <a:off x="8267700" y="3394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5037" name="TextBox 5036">
          <a:extLst>
            <a:ext uri="{FF2B5EF4-FFF2-40B4-BE49-F238E27FC236}">
              <a16:creationId xmlns:a16="http://schemas.microsoft.com/office/drawing/2014/main" id="{00000000-0008-0000-0000-0000A8000000}"/>
            </a:ext>
          </a:extLst>
        </xdr:cNvPr>
        <xdr:cNvSpPr txBox="1"/>
      </xdr:nvSpPr>
      <xdr:spPr>
        <a:xfrm>
          <a:off x="8267700" y="3394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5038" name="TextBox 5037">
          <a:extLst>
            <a:ext uri="{FF2B5EF4-FFF2-40B4-BE49-F238E27FC236}">
              <a16:creationId xmlns:a16="http://schemas.microsoft.com/office/drawing/2014/main" id="{00000000-0008-0000-0000-0000A9000000}"/>
            </a:ext>
          </a:extLst>
        </xdr:cNvPr>
        <xdr:cNvSpPr txBox="1"/>
      </xdr:nvSpPr>
      <xdr:spPr>
        <a:xfrm>
          <a:off x="8267700" y="3394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5039" name="TextBox 5038">
          <a:extLst>
            <a:ext uri="{FF2B5EF4-FFF2-40B4-BE49-F238E27FC236}">
              <a16:creationId xmlns:a16="http://schemas.microsoft.com/office/drawing/2014/main" id="{00000000-0008-0000-0000-0000AA000000}"/>
            </a:ext>
          </a:extLst>
        </xdr:cNvPr>
        <xdr:cNvSpPr txBox="1"/>
      </xdr:nvSpPr>
      <xdr:spPr>
        <a:xfrm>
          <a:off x="8267700" y="3394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5040" name="TextBox 5039">
          <a:extLst>
            <a:ext uri="{FF2B5EF4-FFF2-40B4-BE49-F238E27FC236}">
              <a16:creationId xmlns:a16="http://schemas.microsoft.com/office/drawing/2014/main" id="{00000000-0008-0000-0000-0000AB000000}"/>
            </a:ext>
          </a:extLst>
        </xdr:cNvPr>
        <xdr:cNvSpPr txBox="1"/>
      </xdr:nvSpPr>
      <xdr:spPr>
        <a:xfrm>
          <a:off x="8267700" y="3394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5041" name="TextBox 5040">
          <a:extLst>
            <a:ext uri="{FF2B5EF4-FFF2-40B4-BE49-F238E27FC236}">
              <a16:creationId xmlns:a16="http://schemas.microsoft.com/office/drawing/2014/main" id="{00000000-0008-0000-0000-0000AC000000}"/>
            </a:ext>
          </a:extLst>
        </xdr:cNvPr>
        <xdr:cNvSpPr txBox="1"/>
      </xdr:nvSpPr>
      <xdr:spPr>
        <a:xfrm>
          <a:off x="8267700" y="3394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5042" name="TextBox 5041">
          <a:extLst>
            <a:ext uri="{FF2B5EF4-FFF2-40B4-BE49-F238E27FC236}">
              <a16:creationId xmlns:a16="http://schemas.microsoft.com/office/drawing/2014/main" id="{00000000-0008-0000-0000-0000AD000000}"/>
            </a:ext>
          </a:extLst>
        </xdr:cNvPr>
        <xdr:cNvSpPr txBox="1"/>
      </xdr:nvSpPr>
      <xdr:spPr>
        <a:xfrm>
          <a:off x="8267700" y="3394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5043" name="TextBox 5042">
          <a:extLst>
            <a:ext uri="{FF2B5EF4-FFF2-40B4-BE49-F238E27FC236}">
              <a16:creationId xmlns:a16="http://schemas.microsoft.com/office/drawing/2014/main" id="{00000000-0008-0000-0000-0000AE000000}"/>
            </a:ext>
          </a:extLst>
        </xdr:cNvPr>
        <xdr:cNvSpPr txBox="1"/>
      </xdr:nvSpPr>
      <xdr:spPr>
        <a:xfrm>
          <a:off x="8267700" y="3394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5044" name="TextBox 5043">
          <a:extLst>
            <a:ext uri="{FF2B5EF4-FFF2-40B4-BE49-F238E27FC236}">
              <a16:creationId xmlns:a16="http://schemas.microsoft.com/office/drawing/2014/main" id="{00000000-0008-0000-0000-0000AF000000}"/>
            </a:ext>
          </a:extLst>
        </xdr:cNvPr>
        <xdr:cNvSpPr txBox="1"/>
      </xdr:nvSpPr>
      <xdr:spPr>
        <a:xfrm>
          <a:off x="8267700" y="3394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5045" name="TextBox 5044">
          <a:extLst>
            <a:ext uri="{FF2B5EF4-FFF2-40B4-BE49-F238E27FC236}">
              <a16:creationId xmlns:a16="http://schemas.microsoft.com/office/drawing/2014/main" id="{00000000-0008-0000-0000-0000B0000000}"/>
            </a:ext>
          </a:extLst>
        </xdr:cNvPr>
        <xdr:cNvSpPr txBox="1"/>
      </xdr:nvSpPr>
      <xdr:spPr>
        <a:xfrm>
          <a:off x="12580620" y="3394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5046" name="TextBox 5045">
          <a:extLst>
            <a:ext uri="{FF2B5EF4-FFF2-40B4-BE49-F238E27FC236}">
              <a16:creationId xmlns:a16="http://schemas.microsoft.com/office/drawing/2014/main" id="{00000000-0008-0000-0000-0000B1000000}"/>
            </a:ext>
          </a:extLst>
        </xdr:cNvPr>
        <xdr:cNvSpPr txBox="1"/>
      </xdr:nvSpPr>
      <xdr:spPr>
        <a:xfrm>
          <a:off x="12580620" y="3394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5047" name="TextBox 5046">
          <a:extLst>
            <a:ext uri="{FF2B5EF4-FFF2-40B4-BE49-F238E27FC236}">
              <a16:creationId xmlns:a16="http://schemas.microsoft.com/office/drawing/2014/main" id="{00000000-0008-0000-0000-0000B2000000}"/>
            </a:ext>
          </a:extLst>
        </xdr:cNvPr>
        <xdr:cNvSpPr txBox="1"/>
      </xdr:nvSpPr>
      <xdr:spPr>
        <a:xfrm>
          <a:off x="12580620" y="3394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5048" name="TextBox 5047">
          <a:extLst>
            <a:ext uri="{FF2B5EF4-FFF2-40B4-BE49-F238E27FC236}">
              <a16:creationId xmlns:a16="http://schemas.microsoft.com/office/drawing/2014/main" id="{00000000-0008-0000-0000-0000B3000000}"/>
            </a:ext>
          </a:extLst>
        </xdr:cNvPr>
        <xdr:cNvSpPr txBox="1"/>
      </xdr:nvSpPr>
      <xdr:spPr>
        <a:xfrm>
          <a:off x="12580620" y="3394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5049" name="TextBox 5048">
          <a:extLst>
            <a:ext uri="{FF2B5EF4-FFF2-40B4-BE49-F238E27FC236}">
              <a16:creationId xmlns:a16="http://schemas.microsoft.com/office/drawing/2014/main" id="{00000000-0008-0000-0000-0000B4000000}"/>
            </a:ext>
          </a:extLst>
        </xdr:cNvPr>
        <xdr:cNvSpPr txBox="1"/>
      </xdr:nvSpPr>
      <xdr:spPr>
        <a:xfrm>
          <a:off x="12580620" y="3394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5050" name="TextBox 5049">
          <a:extLst>
            <a:ext uri="{FF2B5EF4-FFF2-40B4-BE49-F238E27FC236}">
              <a16:creationId xmlns:a16="http://schemas.microsoft.com/office/drawing/2014/main" id="{00000000-0008-0000-0000-0000B5000000}"/>
            </a:ext>
          </a:extLst>
        </xdr:cNvPr>
        <xdr:cNvSpPr txBox="1"/>
      </xdr:nvSpPr>
      <xdr:spPr>
        <a:xfrm>
          <a:off x="12580620" y="3394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5051" name="TextBox 5050">
          <a:extLst>
            <a:ext uri="{FF2B5EF4-FFF2-40B4-BE49-F238E27FC236}">
              <a16:creationId xmlns:a16="http://schemas.microsoft.com/office/drawing/2014/main" id="{00000000-0008-0000-0000-0000B6000000}"/>
            </a:ext>
          </a:extLst>
        </xdr:cNvPr>
        <xdr:cNvSpPr txBox="1"/>
      </xdr:nvSpPr>
      <xdr:spPr>
        <a:xfrm>
          <a:off x="12580620" y="3394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5052" name="TextBox 5051">
          <a:extLst>
            <a:ext uri="{FF2B5EF4-FFF2-40B4-BE49-F238E27FC236}">
              <a16:creationId xmlns:a16="http://schemas.microsoft.com/office/drawing/2014/main" id="{00000000-0008-0000-0000-0000B7000000}"/>
            </a:ext>
          </a:extLst>
        </xdr:cNvPr>
        <xdr:cNvSpPr txBox="1"/>
      </xdr:nvSpPr>
      <xdr:spPr>
        <a:xfrm>
          <a:off x="12580620" y="3394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5053" name="TextBox 5052">
          <a:extLst>
            <a:ext uri="{FF2B5EF4-FFF2-40B4-BE49-F238E27FC236}">
              <a16:creationId xmlns:a16="http://schemas.microsoft.com/office/drawing/2014/main" id="{00000000-0008-0000-0000-0000B8000000}"/>
            </a:ext>
          </a:extLst>
        </xdr:cNvPr>
        <xdr:cNvSpPr txBox="1"/>
      </xdr:nvSpPr>
      <xdr:spPr>
        <a:xfrm>
          <a:off x="8267700" y="34145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5054" name="TextBox 5053">
          <a:extLst>
            <a:ext uri="{FF2B5EF4-FFF2-40B4-BE49-F238E27FC236}">
              <a16:creationId xmlns:a16="http://schemas.microsoft.com/office/drawing/2014/main" id="{00000000-0008-0000-0000-0000B9000000}"/>
            </a:ext>
          </a:extLst>
        </xdr:cNvPr>
        <xdr:cNvSpPr txBox="1"/>
      </xdr:nvSpPr>
      <xdr:spPr>
        <a:xfrm>
          <a:off x="8267700" y="34145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5055" name="TextBox 5054">
          <a:extLst>
            <a:ext uri="{FF2B5EF4-FFF2-40B4-BE49-F238E27FC236}">
              <a16:creationId xmlns:a16="http://schemas.microsoft.com/office/drawing/2014/main" id="{00000000-0008-0000-0000-0000BA000000}"/>
            </a:ext>
          </a:extLst>
        </xdr:cNvPr>
        <xdr:cNvSpPr txBox="1"/>
      </xdr:nvSpPr>
      <xdr:spPr>
        <a:xfrm>
          <a:off x="8267700" y="34145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5056" name="TextBox 5055">
          <a:extLst>
            <a:ext uri="{FF2B5EF4-FFF2-40B4-BE49-F238E27FC236}">
              <a16:creationId xmlns:a16="http://schemas.microsoft.com/office/drawing/2014/main" id="{00000000-0008-0000-0000-0000BB000000}"/>
            </a:ext>
          </a:extLst>
        </xdr:cNvPr>
        <xdr:cNvSpPr txBox="1"/>
      </xdr:nvSpPr>
      <xdr:spPr>
        <a:xfrm>
          <a:off x="8267700" y="34145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5057" name="TextBox 5056">
          <a:extLst>
            <a:ext uri="{FF2B5EF4-FFF2-40B4-BE49-F238E27FC236}">
              <a16:creationId xmlns:a16="http://schemas.microsoft.com/office/drawing/2014/main" id="{00000000-0008-0000-0000-0000BC000000}"/>
            </a:ext>
          </a:extLst>
        </xdr:cNvPr>
        <xdr:cNvSpPr txBox="1"/>
      </xdr:nvSpPr>
      <xdr:spPr>
        <a:xfrm>
          <a:off x="8267700" y="34145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5058" name="TextBox 5057">
          <a:extLst>
            <a:ext uri="{FF2B5EF4-FFF2-40B4-BE49-F238E27FC236}">
              <a16:creationId xmlns:a16="http://schemas.microsoft.com/office/drawing/2014/main" id="{00000000-0008-0000-0000-0000BD000000}"/>
            </a:ext>
          </a:extLst>
        </xdr:cNvPr>
        <xdr:cNvSpPr txBox="1"/>
      </xdr:nvSpPr>
      <xdr:spPr>
        <a:xfrm>
          <a:off x="8267700" y="34145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5059" name="TextBox 5058">
          <a:extLst>
            <a:ext uri="{FF2B5EF4-FFF2-40B4-BE49-F238E27FC236}">
              <a16:creationId xmlns:a16="http://schemas.microsoft.com/office/drawing/2014/main" id="{00000000-0008-0000-0000-0000BE000000}"/>
            </a:ext>
          </a:extLst>
        </xdr:cNvPr>
        <xdr:cNvSpPr txBox="1"/>
      </xdr:nvSpPr>
      <xdr:spPr>
        <a:xfrm>
          <a:off x="8267700" y="34145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5060" name="TextBox 5059">
          <a:extLst>
            <a:ext uri="{FF2B5EF4-FFF2-40B4-BE49-F238E27FC236}">
              <a16:creationId xmlns:a16="http://schemas.microsoft.com/office/drawing/2014/main" id="{00000000-0008-0000-0000-0000BF000000}"/>
            </a:ext>
          </a:extLst>
        </xdr:cNvPr>
        <xdr:cNvSpPr txBox="1"/>
      </xdr:nvSpPr>
      <xdr:spPr>
        <a:xfrm>
          <a:off x="8267700" y="34145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5061" name="TextBox 5060">
          <a:extLst>
            <a:ext uri="{FF2B5EF4-FFF2-40B4-BE49-F238E27FC236}">
              <a16:creationId xmlns:a16="http://schemas.microsoft.com/office/drawing/2014/main" id="{00000000-0008-0000-0000-0000C0000000}"/>
            </a:ext>
          </a:extLst>
        </xdr:cNvPr>
        <xdr:cNvSpPr txBox="1"/>
      </xdr:nvSpPr>
      <xdr:spPr>
        <a:xfrm>
          <a:off x="8267700" y="34145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5062" name="TextBox 5061">
          <a:extLst>
            <a:ext uri="{FF2B5EF4-FFF2-40B4-BE49-F238E27FC236}">
              <a16:creationId xmlns:a16="http://schemas.microsoft.com/office/drawing/2014/main" id="{00000000-0008-0000-0000-0000C1000000}"/>
            </a:ext>
          </a:extLst>
        </xdr:cNvPr>
        <xdr:cNvSpPr txBox="1"/>
      </xdr:nvSpPr>
      <xdr:spPr>
        <a:xfrm>
          <a:off x="8267700" y="34145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5063" name="TextBox 5062">
          <a:extLst>
            <a:ext uri="{FF2B5EF4-FFF2-40B4-BE49-F238E27FC236}">
              <a16:creationId xmlns:a16="http://schemas.microsoft.com/office/drawing/2014/main" id="{00000000-0008-0000-0000-0000C2000000}"/>
            </a:ext>
          </a:extLst>
        </xdr:cNvPr>
        <xdr:cNvSpPr txBox="1"/>
      </xdr:nvSpPr>
      <xdr:spPr>
        <a:xfrm>
          <a:off x="8267700" y="34145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5064" name="TextBox 5063">
          <a:extLst>
            <a:ext uri="{FF2B5EF4-FFF2-40B4-BE49-F238E27FC236}">
              <a16:creationId xmlns:a16="http://schemas.microsoft.com/office/drawing/2014/main" id="{00000000-0008-0000-0000-0000C3000000}"/>
            </a:ext>
          </a:extLst>
        </xdr:cNvPr>
        <xdr:cNvSpPr txBox="1"/>
      </xdr:nvSpPr>
      <xdr:spPr>
        <a:xfrm>
          <a:off x="8267700" y="34145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5065" name="TextBox 5064">
          <a:extLst>
            <a:ext uri="{FF2B5EF4-FFF2-40B4-BE49-F238E27FC236}">
              <a16:creationId xmlns:a16="http://schemas.microsoft.com/office/drawing/2014/main" id="{00000000-0008-0000-0000-0000C4000000}"/>
            </a:ext>
          </a:extLst>
        </xdr:cNvPr>
        <xdr:cNvSpPr txBox="1"/>
      </xdr:nvSpPr>
      <xdr:spPr>
        <a:xfrm>
          <a:off x="8267700" y="34145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5066" name="TextBox 5065">
          <a:extLst>
            <a:ext uri="{FF2B5EF4-FFF2-40B4-BE49-F238E27FC236}">
              <a16:creationId xmlns:a16="http://schemas.microsoft.com/office/drawing/2014/main" id="{00000000-0008-0000-0000-0000C5000000}"/>
            </a:ext>
          </a:extLst>
        </xdr:cNvPr>
        <xdr:cNvSpPr txBox="1"/>
      </xdr:nvSpPr>
      <xdr:spPr>
        <a:xfrm>
          <a:off x="8267700" y="34145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5067" name="TextBox 5066">
          <a:extLst>
            <a:ext uri="{FF2B5EF4-FFF2-40B4-BE49-F238E27FC236}">
              <a16:creationId xmlns:a16="http://schemas.microsoft.com/office/drawing/2014/main" id="{00000000-0008-0000-0000-0000C6000000}"/>
            </a:ext>
          </a:extLst>
        </xdr:cNvPr>
        <xdr:cNvSpPr txBox="1"/>
      </xdr:nvSpPr>
      <xdr:spPr>
        <a:xfrm>
          <a:off x="8267700" y="34145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5068" name="TextBox 5067">
          <a:extLst>
            <a:ext uri="{FF2B5EF4-FFF2-40B4-BE49-F238E27FC236}">
              <a16:creationId xmlns:a16="http://schemas.microsoft.com/office/drawing/2014/main" id="{00000000-0008-0000-0000-0000C7000000}"/>
            </a:ext>
          </a:extLst>
        </xdr:cNvPr>
        <xdr:cNvSpPr txBox="1"/>
      </xdr:nvSpPr>
      <xdr:spPr>
        <a:xfrm>
          <a:off x="8267700" y="34145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5069" name="TextBox 5068">
          <a:extLst>
            <a:ext uri="{FF2B5EF4-FFF2-40B4-BE49-F238E27FC236}">
              <a16:creationId xmlns:a16="http://schemas.microsoft.com/office/drawing/2014/main" id="{00000000-0008-0000-0000-0000C8000000}"/>
            </a:ext>
          </a:extLst>
        </xdr:cNvPr>
        <xdr:cNvSpPr txBox="1"/>
      </xdr:nvSpPr>
      <xdr:spPr>
        <a:xfrm>
          <a:off x="8267700" y="34145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5070" name="TextBox 5069">
          <a:extLst>
            <a:ext uri="{FF2B5EF4-FFF2-40B4-BE49-F238E27FC236}">
              <a16:creationId xmlns:a16="http://schemas.microsoft.com/office/drawing/2014/main" id="{00000000-0008-0000-0000-0000C9000000}"/>
            </a:ext>
          </a:extLst>
        </xdr:cNvPr>
        <xdr:cNvSpPr txBox="1"/>
      </xdr:nvSpPr>
      <xdr:spPr>
        <a:xfrm>
          <a:off x="8267700" y="34145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5071" name="TextBox 5070">
          <a:extLst>
            <a:ext uri="{FF2B5EF4-FFF2-40B4-BE49-F238E27FC236}">
              <a16:creationId xmlns:a16="http://schemas.microsoft.com/office/drawing/2014/main" id="{00000000-0008-0000-0000-0000CA000000}"/>
            </a:ext>
          </a:extLst>
        </xdr:cNvPr>
        <xdr:cNvSpPr txBox="1"/>
      </xdr:nvSpPr>
      <xdr:spPr>
        <a:xfrm>
          <a:off x="8267700" y="34145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5072" name="TextBox 5071">
          <a:extLst>
            <a:ext uri="{FF2B5EF4-FFF2-40B4-BE49-F238E27FC236}">
              <a16:creationId xmlns:a16="http://schemas.microsoft.com/office/drawing/2014/main" id="{00000000-0008-0000-0000-0000CB000000}"/>
            </a:ext>
          </a:extLst>
        </xdr:cNvPr>
        <xdr:cNvSpPr txBox="1"/>
      </xdr:nvSpPr>
      <xdr:spPr>
        <a:xfrm>
          <a:off x="8267700" y="34145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5073" name="TextBox 5072">
          <a:extLst>
            <a:ext uri="{FF2B5EF4-FFF2-40B4-BE49-F238E27FC236}">
              <a16:creationId xmlns:a16="http://schemas.microsoft.com/office/drawing/2014/main" id="{00000000-0008-0000-0000-0000CC000000}"/>
            </a:ext>
          </a:extLst>
        </xdr:cNvPr>
        <xdr:cNvSpPr txBox="1"/>
      </xdr:nvSpPr>
      <xdr:spPr>
        <a:xfrm>
          <a:off x="8267700" y="34145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5074" name="TextBox 5073">
          <a:extLst>
            <a:ext uri="{FF2B5EF4-FFF2-40B4-BE49-F238E27FC236}">
              <a16:creationId xmlns:a16="http://schemas.microsoft.com/office/drawing/2014/main" id="{00000000-0008-0000-0000-0000CD000000}"/>
            </a:ext>
          </a:extLst>
        </xdr:cNvPr>
        <xdr:cNvSpPr txBox="1"/>
      </xdr:nvSpPr>
      <xdr:spPr>
        <a:xfrm>
          <a:off x="8267700" y="34145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5075" name="TextBox 5074">
          <a:extLst>
            <a:ext uri="{FF2B5EF4-FFF2-40B4-BE49-F238E27FC236}">
              <a16:creationId xmlns:a16="http://schemas.microsoft.com/office/drawing/2014/main" id="{00000000-0008-0000-0000-0000CE000000}"/>
            </a:ext>
          </a:extLst>
        </xdr:cNvPr>
        <xdr:cNvSpPr txBox="1"/>
      </xdr:nvSpPr>
      <xdr:spPr>
        <a:xfrm>
          <a:off x="8267700" y="34145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5076" name="TextBox 5075">
          <a:extLst>
            <a:ext uri="{FF2B5EF4-FFF2-40B4-BE49-F238E27FC236}">
              <a16:creationId xmlns:a16="http://schemas.microsoft.com/office/drawing/2014/main" id="{00000000-0008-0000-0000-0000CF000000}"/>
            </a:ext>
          </a:extLst>
        </xdr:cNvPr>
        <xdr:cNvSpPr txBox="1"/>
      </xdr:nvSpPr>
      <xdr:spPr>
        <a:xfrm>
          <a:off x="8267700" y="34145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5077" name="TextBox 5076">
          <a:extLst>
            <a:ext uri="{FF2B5EF4-FFF2-40B4-BE49-F238E27FC236}">
              <a16:creationId xmlns:a16="http://schemas.microsoft.com/office/drawing/2014/main" id="{00000000-0008-0000-0000-0000D0000000}"/>
            </a:ext>
          </a:extLst>
        </xdr:cNvPr>
        <xdr:cNvSpPr txBox="1"/>
      </xdr:nvSpPr>
      <xdr:spPr>
        <a:xfrm>
          <a:off x="8267700" y="34145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5078" name="TextBox 5077">
          <a:extLst>
            <a:ext uri="{FF2B5EF4-FFF2-40B4-BE49-F238E27FC236}">
              <a16:creationId xmlns:a16="http://schemas.microsoft.com/office/drawing/2014/main" id="{00000000-0008-0000-0000-0000D1000000}"/>
            </a:ext>
          </a:extLst>
        </xdr:cNvPr>
        <xdr:cNvSpPr txBox="1"/>
      </xdr:nvSpPr>
      <xdr:spPr>
        <a:xfrm>
          <a:off x="8267700" y="34145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5079" name="TextBox 5078">
          <a:extLst>
            <a:ext uri="{FF2B5EF4-FFF2-40B4-BE49-F238E27FC236}">
              <a16:creationId xmlns:a16="http://schemas.microsoft.com/office/drawing/2014/main" id="{00000000-0008-0000-0000-0000D2000000}"/>
            </a:ext>
          </a:extLst>
        </xdr:cNvPr>
        <xdr:cNvSpPr txBox="1"/>
      </xdr:nvSpPr>
      <xdr:spPr>
        <a:xfrm>
          <a:off x="8267700" y="34145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5080" name="TextBox 5079">
          <a:extLst>
            <a:ext uri="{FF2B5EF4-FFF2-40B4-BE49-F238E27FC236}">
              <a16:creationId xmlns:a16="http://schemas.microsoft.com/office/drawing/2014/main" id="{00000000-0008-0000-0000-0000D3000000}"/>
            </a:ext>
          </a:extLst>
        </xdr:cNvPr>
        <xdr:cNvSpPr txBox="1"/>
      </xdr:nvSpPr>
      <xdr:spPr>
        <a:xfrm>
          <a:off x="8267700" y="34145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5081" name="TextBox 5080">
          <a:extLst>
            <a:ext uri="{FF2B5EF4-FFF2-40B4-BE49-F238E27FC236}">
              <a16:creationId xmlns:a16="http://schemas.microsoft.com/office/drawing/2014/main" id="{00000000-0008-0000-0000-0000D4000000}"/>
            </a:ext>
          </a:extLst>
        </xdr:cNvPr>
        <xdr:cNvSpPr txBox="1"/>
      </xdr:nvSpPr>
      <xdr:spPr>
        <a:xfrm>
          <a:off x="8267700" y="34145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5082" name="TextBox 5081">
          <a:extLst>
            <a:ext uri="{FF2B5EF4-FFF2-40B4-BE49-F238E27FC236}">
              <a16:creationId xmlns:a16="http://schemas.microsoft.com/office/drawing/2014/main" id="{00000000-0008-0000-0000-0000D5000000}"/>
            </a:ext>
          </a:extLst>
        </xdr:cNvPr>
        <xdr:cNvSpPr txBox="1"/>
      </xdr:nvSpPr>
      <xdr:spPr>
        <a:xfrm>
          <a:off x="8267700" y="34145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5083" name="TextBox 5082">
          <a:extLst>
            <a:ext uri="{FF2B5EF4-FFF2-40B4-BE49-F238E27FC236}">
              <a16:creationId xmlns:a16="http://schemas.microsoft.com/office/drawing/2014/main" id="{00000000-0008-0000-0000-0000D6000000}"/>
            </a:ext>
          </a:extLst>
        </xdr:cNvPr>
        <xdr:cNvSpPr txBox="1"/>
      </xdr:nvSpPr>
      <xdr:spPr>
        <a:xfrm>
          <a:off x="8267700" y="34145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5084" name="TextBox 5083">
          <a:extLst>
            <a:ext uri="{FF2B5EF4-FFF2-40B4-BE49-F238E27FC236}">
              <a16:creationId xmlns:a16="http://schemas.microsoft.com/office/drawing/2014/main" id="{00000000-0008-0000-0000-0000D7000000}"/>
            </a:ext>
          </a:extLst>
        </xdr:cNvPr>
        <xdr:cNvSpPr txBox="1"/>
      </xdr:nvSpPr>
      <xdr:spPr>
        <a:xfrm>
          <a:off x="8267700" y="34145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5085" name="TextBox 5084">
          <a:extLst>
            <a:ext uri="{FF2B5EF4-FFF2-40B4-BE49-F238E27FC236}">
              <a16:creationId xmlns:a16="http://schemas.microsoft.com/office/drawing/2014/main" id="{00000000-0008-0000-0000-0000D8000000}"/>
            </a:ext>
          </a:extLst>
        </xdr:cNvPr>
        <xdr:cNvSpPr txBox="1"/>
      </xdr:nvSpPr>
      <xdr:spPr>
        <a:xfrm>
          <a:off x="8267700" y="34145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5086" name="TextBox 5085">
          <a:extLst>
            <a:ext uri="{FF2B5EF4-FFF2-40B4-BE49-F238E27FC236}">
              <a16:creationId xmlns:a16="http://schemas.microsoft.com/office/drawing/2014/main" id="{00000000-0008-0000-0000-0000D9000000}"/>
            </a:ext>
          </a:extLst>
        </xdr:cNvPr>
        <xdr:cNvSpPr txBox="1"/>
      </xdr:nvSpPr>
      <xdr:spPr>
        <a:xfrm>
          <a:off x="8267700" y="34145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5087" name="TextBox 5086">
          <a:extLst>
            <a:ext uri="{FF2B5EF4-FFF2-40B4-BE49-F238E27FC236}">
              <a16:creationId xmlns:a16="http://schemas.microsoft.com/office/drawing/2014/main" id="{00000000-0008-0000-0000-0000DA000000}"/>
            </a:ext>
          </a:extLst>
        </xdr:cNvPr>
        <xdr:cNvSpPr txBox="1"/>
      </xdr:nvSpPr>
      <xdr:spPr>
        <a:xfrm>
          <a:off x="8267700" y="34145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5088" name="TextBox 5087">
          <a:extLst>
            <a:ext uri="{FF2B5EF4-FFF2-40B4-BE49-F238E27FC236}">
              <a16:creationId xmlns:a16="http://schemas.microsoft.com/office/drawing/2014/main" id="{00000000-0008-0000-0000-0000DB000000}"/>
            </a:ext>
          </a:extLst>
        </xdr:cNvPr>
        <xdr:cNvSpPr txBox="1"/>
      </xdr:nvSpPr>
      <xdr:spPr>
        <a:xfrm>
          <a:off x="8267700" y="34145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5089" name="TextBox 5088">
          <a:extLst>
            <a:ext uri="{FF2B5EF4-FFF2-40B4-BE49-F238E27FC236}">
              <a16:creationId xmlns:a16="http://schemas.microsoft.com/office/drawing/2014/main" id="{00000000-0008-0000-0000-0000DC000000}"/>
            </a:ext>
          </a:extLst>
        </xdr:cNvPr>
        <xdr:cNvSpPr txBox="1"/>
      </xdr:nvSpPr>
      <xdr:spPr>
        <a:xfrm>
          <a:off x="8267700" y="34145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5090" name="TextBox 5089">
          <a:extLst>
            <a:ext uri="{FF2B5EF4-FFF2-40B4-BE49-F238E27FC236}">
              <a16:creationId xmlns:a16="http://schemas.microsoft.com/office/drawing/2014/main" id="{00000000-0008-0000-0000-0000DD000000}"/>
            </a:ext>
          </a:extLst>
        </xdr:cNvPr>
        <xdr:cNvSpPr txBox="1"/>
      </xdr:nvSpPr>
      <xdr:spPr>
        <a:xfrm>
          <a:off x="8267700" y="34145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5091" name="TextBox 5090">
          <a:extLst>
            <a:ext uri="{FF2B5EF4-FFF2-40B4-BE49-F238E27FC236}">
              <a16:creationId xmlns:a16="http://schemas.microsoft.com/office/drawing/2014/main" id="{00000000-0008-0000-0000-0000DE000000}"/>
            </a:ext>
          </a:extLst>
        </xdr:cNvPr>
        <xdr:cNvSpPr txBox="1"/>
      </xdr:nvSpPr>
      <xdr:spPr>
        <a:xfrm>
          <a:off x="8267700" y="34145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5092" name="TextBox 5091">
          <a:extLst>
            <a:ext uri="{FF2B5EF4-FFF2-40B4-BE49-F238E27FC236}">
              <a16:creationId xmlns:a16="http://schemas.microsoft.com/office/drawing/2014/main" id="{00000000-0008-0000-0000-0000DF000000}"/>
            </a:ext>
          </a:extLst>
        </xdr:cNvPr>
        <xdr:cNvSpPr txBox="1"/>
      </xdr:nvSpPr>
      <xdr:spPr>
        <a:xfrm>
          <a:off x="8267700" y="34145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5093" name="TextBox 5092">
          <a:extLst>
            <a:ext uri="{FF2B5EF4-FFF2-40B4-BE49-F238E27FC236}">
              <a16:creationId xmlns:a16="http://schemas.microsoft.com/office/drawing/2014/main" id="{00000000-0008-0000-0000-0000E0000000}"/>
            </a:ext>
          </a:extLst>
        </xdr:cNvPr>
        <xdr:cNvSpPr txBox="1"/>
      </xdr:nvSpPr>
      <xdr:spPr>
        <a:xfrm>
          <a:off x="8267700" y="34145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5094" name="TextBox 5093">
          <a:extLst>
            <a:ext uri="{FF2B5EF4-FFF2-40B4-BE49-F238E27FC236}">
              <a16:creationId xmlns:a16="http://schemas.microsoft.com/office/drawing/2014/main" id="{00000000-0008-0000-0000-0000E1000000}"/>
            </a:ext>
          </a:extLst>
        </xdr:cNvPr>
        <xdr:cNvSpPr txBox="1"/>
      </xdr:nvSpPr>
      <xdr:spPr>
        <a:xfrm>
          <a:off x="8267700" y="34145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5095" name="TextBox 5094">
          <a:extLst>
            <a:ext uri="{FF2B5EF4-FFF2-40B4-BE49-F238E27FC236}">
              <a16:creationId xmlns:a16="http://schemas.microsoft.com/office/drawing/2014/main" id="{00000000-0008-0000-0000-0000E2000000}"/>
            </a:ext>
          </a:extLst>
        </xdr:cNvPr>
        <xdr:cNvSpPr txBox="1"/>
      </xdr:nvSpPr>
      <xdr:spPr>
        <a:xfrm>
          <a:off x="8267700" y="34145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5096" name="TextBox 5095">
          <a:extLst>
            <a:ext uri="{FF2B5EF4-FFF2-40B4-BE49-F238E27FC236}">
              <a16:creationId xmlns:a16="http://schemas.microsoft.com/office/drawing/2014/main" id="{00000000-0008-0000-0000-0000E3000000}"/>
            </a:ext>
          </a:extLst>
        </xdr:cNvPr>
        <xdr:cNvSpPr txBox="1"/>
      </xdr:nvSpPr>
      <xdr:spPr>
        <a:xfrm>
          <a:off x="8267700" y="34145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5097" name="TextBox 5096">
          <a:extLst>
            <a:ext uri="{FF2B5EF4-FFF2-40B4-BE49-F238E27FC236}">
              <a16:creationId xmlns:a16="http://schemas.microsoft.com/office/drawing/2014/main" id="{00000000-0008-0000-0000-0000E4000000}"/>
            </a:ext>
          </a:extLst>
        </xdr:cNvPr>
        <xdr:cNvSpPr txBox="1"/>
      </xdr:nvSpPr>
      <xdr:spPr>
        <a:xfrm>
          <a:off x="8267700" y="34145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5098" name="TextBox 5097">
          <a:extLst>
            <a:ext uri="{FF2B5EF4-FFF2-40B4-BE49-F238E27FC236}">
              <a16:creationId xmlns:a16="http://schemas.microsoft.com/office/drawing/2014/main" id="{00000000-0008-0000-0000-0000E5000000}"/>
            </a:ext>
          </a:extLst>
        </xdr:cNvPr>
        <xdr:cNvSpPr txBox="1"/>
      </xdr:nvSpPr>
      <xdr:spPr>
        <a:xfrm>
          <a:off x="8267700" y="34145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5099" name="TextBox 5098">
          <a:extLst>
            <a:ext uri="{FF2B5EF4-FFF2-40B4-BE49-F238E27FC236}">
              <a16:creationId xmlns:a16="http://schemas.microsoft.com/office/drawing/2014/main" id="{00000000-0008-0000-0000-0000E6000000}"/>
            </a:ext>
          </a:extLst>
        </xdr:cNvPr>
        <xdr:cNvSpPr txBox="1"/>
      </xdr:nvSpPr>
      <xdr:spPr>
        <a:xfrm>
          <a:off x="8267700" y="34145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5100" name="TextBox 5099">
          <a:extLst>
            <a:ext uri="{FF2B5EF4-FFF2-40B4-BE49-F238E27FC236}">
              <a16:creationId xmlns:a16="http://schemas.microsoft.com/office/drawing/2014/main" id="{00000000-0008-0000-0000-0000E7000000}"/>
            </a:ext>
          </a:extLst>
        </xdr:cNvPr>
        <xdr:cNvSpPr txBox="1"/>
      </xdr:nvSpPr>
      <xdr:spPr>
        <a:xfrm>
          <a:off x="8267700" y="34145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5101" name="TextBox 5100">
          <a:extLst>
            <a:ext uri="{FF2B5EF4-FFF2-40B4-BE49-F238E27FC236}">
              <a16:creationId xmlns:a16="http://schemas.microsoft.com/office/drawing/2014/main" id="{00000000-0008-0000-0000-0000E8000000}"/>
            </a:ext>
          </a:extLst>
        </xdr:cNvPr>
        <xdr:cNvSpPr txBox="1"/>
      </xdr:nvSpPr>
      <xdr:spPr>
        <a:xfrm>
          <a:off x="12580620" y="34145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5102" name="TextBox 5101">
          <a:extLst>
            <a:ext uri="{FF2B5EF4-FFF2-40B4-BE49-F238E27FC236}">
              <a16:creationId xmlns:a16="http://schemas.microsoft.com/office/drawing/2014/main" id="{00000000-0008-0000-0000-0000E9000000}"/>
            </a:ext>
          </a:extLst>
        </xdr:cNvPr>
        <xdr:cNvSpPr txBox="1"/>
      </xdr:nvSpPr>
      <xdr:spPr>
        <a:xfrm>
          <a:off x="12580620" y="34145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5103" name="TextBox 5102">
          <a:extLst>
            <a:ext uri="{FF2B5EF4-FFF2-40B4-BE49-F238E27FC236}">
              <a16:creationId xmlns:a16="http://schemas.microsoft.com/office/drawing/2014/main" id="{00000000-0008-0000-0000-0000EA000000}"/>
            </a:ext>
          </a:extLst>
        </xdr:cNvPr>
        <xdr:cNvSpPr txBox="1"/>
      </xdr:nvSpPr>
      <xdr:spPr>
        <a:xfrm>
          <a:off x="12580620" y="34145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5104" name="TextBox 5103">
          <a:extLst>
            <a:ext uri="{FF2B5EF4-FFF2-40B4-BE49-F238E27FC236}">
              <a16:creationId xmlns:a16="http://schemas.microsoft.com/office/drawing/2014/main" id="{00000000-0008-0000-0000-0000EB000000}"/>
            </a:ext>
          </a:extLst>
        </xdr:cNvPr>
        <xdr:cNvSpPr txBox="1"/>
      </xdr:nvSpPr>
      <xdr:spPr>
        <a:xfrm>
          <a:off x="12580620" y="34145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5105" name="TextBox 5104">
          <a:extLst>
            <a:ext uri="{FF2B5EF4-FFF2-40B4-BE49-F238E27FC236}">
              <a16:creationId xmlns:a16="http://schemas.microsoft.com/office/drawing/2014/main" id="{00000000-0008-0000-0000-0000EC000000}"/>
            </a:ext>
          </a:extLst>
        </xdr:cNvPr>
        <xdr:cNvSpPr txBox="1"/>
      </xdr:nvSpPr>
      <xdr:spPr>
        <a:xfrm>
          <a:off x="12580620" y="34145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5106" name="TextBox 5105">
          <a:extLst>
            <a:ext uri="{FF2B5EF4-FFF2-40B4-BE49-F238E27FC236}">
              <a16:creationId xmlns:a16="http://schemas.microsoft.com/office/drawing/2014/main" id="{00000000-0008-0000-0000-0000ED000000}"/>
            </a:ext>
          </a:extLst>
        </xdr:cNvPr>
        <xdr:cNvSpPr txBox="1"/>
      </xdr:nvSpPr>
      <xdr:spPr>
        <a:xfrm>
          <a:off x="12580620" y="34145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5107" name="TextBox 5106">
          <a:extLst>
            <a:ext uri="{FF2B5EF4-FFF2-40B4-BE49-F238E27FC236}">
              <a16:creationId xmlns:a16="http://schemas.microsoft.com/office/drawing/2014/main" id="{00000000-0008-0000-0000-0000EE000000}"/>
            </a:ext>
          </a:extLst>
        </xdr:cNvPr>
        <xdr:cNvSpPr txBox="1"/>
      </xdr:nvSpPr>
      <xdr:spPr>
        <a:xfrm>
          <a:off x="12580620" y="34145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5108" name="TextBox 5107">
          <a:extLst>
            <a:ext uri="{FF2B5EF4-FFF2-40B4-BE49-F238E27FC236}">
              <a16:creationId xmlns:a16="http://schemas.microsoft.com/office/drawing/2014/main" id="{00000000-0008-0000-0000-0000EF000000}"/>
            </a:ext>
          </a:extLst>
        </xdr:cNvPr>
        <xdr:cNvSpPr txBox="1"/>
      </xdr:nvSpPr>
      <xdr:spPr>
        <a:xfrm>
          <a:off x="12580620" y="34145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5109" name="TextBox 5108">
          <a:extLst>
            <a:ext uri="{FF2B5EF4-FFF2-40B4-BE49-F238E27FC236}">
              <a16:creationId xmlns:a16="http://schemas.microsoft.com/office/drawing/2014/main" id="{00000000-0008-0000-0000-0000F0000000}"/>
            </a:ext>
          </a:extLst>
        </xdr:cNvPr>
        <xdr:cNvSpPr txBox="1"/>
      </xdr:nvSpPr>
      <xdr:spPr>
        <a:xfrm>
          <a:off x="8267700" y="34343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5110" name="TextBox 5109">
          <a:extLst>
            <a:ext uri="{FF2B5EF4-FFF2-40B4-BE49-F238E27FC236}">
              <a16:creationId xmlns:a16="http://schemas.microsoft.com/office/drawing/2014/main" id="{00000000-0008-0000-0000-0000F1000000}"/>
            </a:ext>
          </a:extLst>
        </xdr:cNvPr>
        <xdr:cNvSpPr txBox="1"/>
      </xdr:nvSpPr>
      <xdr:spPr>
        <a:xfrm>
          <a:off x="8267700" y="34343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5111" name="TextBox 5110">
          <a:extLst>
            <a:ext uri="{FF2B5EF4-FFF2-40B4-BE49-F238E27FC236}">
              <a16:creationId xmlns:a16="http://schemas.microsoft.com/office/drawing/2014/main" id="{00000000-0008-0000-0000-0000F2000000}"/>
            </a:ext>
          </a:extLst>
        </xdr:cNvPr>
        <xdr:cNvSpPr txBox="1"/>
      </xdr:nvSpPr>
      <xdr:spPr>
        <a:xfrm>
          <a:off x="8267700" y="34343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5112" name="TextBox 5111">
          <a:extLst>
            <a:ext uri="{FF2B5EF4-FFF2-40B4-BE49-F238E27FC236}">
              <a16:creationId xmlns:a16="http://schemas.microsoft.com/office/drawing/2014/main" id="{00000000-0008-0000-0000-0000F3000000}"/>
            </a:ext>
          </a:extLst>
        </xdr:cNvPr>
        <xdr:cNvSpPr txBox="1"/>
      </xdr:nvSpPr>
      <xdr:spPr>
        <a:xfrm>
          <a:off x="8267700" y="34343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5113" name="TextBox 5112">
          <a:extLst>
            <a:ext uri="{FF2B5EF4-FFF2-40B4-BE49-F238E27FC236}">
              <a16:creationId xmlns:a16="http://schemas.microsoft.com/office/drawing/2014/main" id="{00000000-0008-0000-0000-0000F4000000}"/>
            </a:ext>
          </a:extLst>
        </xdr:cNvPr>
        <xdr:cNvSpPr txBox="1"/>
      </xdr:nvSpPr>
      <xdr:spPr>
        <a:xfrm>
          <a:off x="8267700" y="34343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5114" name="TextBox 5113">
          <a:extLst>
            <a:ext uri="{FF2B5EF4-FFF2-40B4-BE49-F238E27FC236}">
              <a16:creationId xmlns:a16="http://schemas.microsoft.com/office/drawing/2014/main" id="{00000000-0008-0000-0000-0000F5000000}"/>
            </a:ext>
          </a:extLst>
        </xdr:cNvPr>
        <xdr:cNvSpPr txBox="1"/>
      </xdr:nvSpPr>
      <xdr:spPr>
        <a:xfrm>
          <a:off x="8267700" y="34343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5115" name="TextBox 5114">
          <a:extLst>
            <a:ext uri="{FF2B5EF4-FFF2-40B4-BE49-F238E27FC236}">
              <a16:creationId xmlns:a16="http://schemas.microsoft.com/office/drawing/2014/main" id="{00000000-0008-0000-0000-0000F6000000}"/>
            </a:ext>
          </a:extLst>
        </xdr:cNvPr>
        <xdr:cNvSpPr txBox="1"/>
      </xdr:nvSpPr>
      <xdr:spPr>
        <a:xfrm>
          <a:off x="8267700" y="34343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5116" name="TextBox 5115">
          <a:extLst>
            <a:ext uri="{FF2B5EF4-FFF2-40B4-BE49-F238E27FC236}">
              <a16:creationId xmlns:a16="http://schemas.microsoft.com/office/drawing/2014/main" id="{00000000-0008-0000-0000-0000F7000000}"/>
            </a:ext>
          </a:extLst>
        </xdr:cNvPr>
        <xdr:cNvSpPr txBox="1"/>
      </xdr:nvSpPr>
      <xdr:spPr>
        <a:xfrm>
          <a:off x="8267700" y="34343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5117" name="TextBox 5116">
          <a:extLst>
            <a:ext uri="{FF2B5EF4-FFF2-40B4-BE49-F238E27FC236}">
              <a16:creationId xmlns:a16="http://schemas.microsoft.com/office/drawing/2014/main" id="{00000000-0008-0000-0000-0000F8000000}"/>
            </a:ext>
          </a:extLst>
        </xdr:cNvPr>
        <xdr:cNvSpPr txBox="1"/>
      </xdr:nvSpPr>
      <xdr:spPr>
        <a:xfrm>
          <a:off x="8267700" y="34343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5118" name="TextBox 5117">
          <a:extLst>
            <a:ext uri="{FF2B5EF4-FFF2-40B4-BE49-F238E27FC236}">
              <a16:creationId xmlns:a16="http://schemas.microsoft.com/office/drawing/2014/main" id="{00000000-0008-0000-0000-0000F9000000}"/>
            </a:ext>
          </a:extLst>
        </xdr:cNvPr>
        <xdr:cNvSpPr txBox="1"/>
      </xdr:nvSpPr>
      <xdr:spPr>
        <a:xfrm>
          <a:off x="8267700" y="34343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5119" name="TextBox 5118">
          <a:extLst>
            <a:ext uri="{FF2B5EF4-FFF2-40B4-BE49-F238E27FC236}">
              <a16:creationId xmlns:a16="http://schemas.microsoft.com/office/drawing/2014/main" id="{00000000-0008-0000-0000-0000FA000000}"/>
            </a:ext>
          </a:extLst>
        </xdr:cNvPr>
        <xdr:cNvSpPr txBox="1"/>
      </xdr:nvSpPr>
      <xdr:spPr>
        <a:xfrm>
          <a:off x="8267700" y="34343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5120" name="TextBox 5119">
          <a:extLst>
            <a:ext uri="{FF2B5EF4-FFF2-40B4-BE49-F238E27FC236}">
              <a16:creationId xmlns:a16="http://schemas.microsoft.com/office/drawing/2014/main" id="{00000000-0008-0000-0000-0000FB000000}"/>
            </a:ext>
          </a:extLst>
        </xdr:cNvPr>
        <xdr:cNvSpPr txBox="1"/>
      </xdr:nvSpPr>
      <xdr:spPr>
        <a:xfrm>
          <a:off x="8267700" y="34343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5121" name="TextBox 5120">
          <a:extLst>
            <a:ext uri="{FF2B5EF4-FFF2-40B4-BE49-F238E27FC236}">
              <a16:creationId xmlns:a16="http://schemas.microsoft.com/office/drawing/2014/main" id="{00000000-0008-0000-0000-0000FC000000}"/>
            </a:ext>
          </a:extLst>
        </xdr:cNvPr>
        <xdr:cNvSpPr txBox="1"/>
      </xdr:nvSpPr>
      <xdr:spPr>
        <a:xfrm>
          <a:off x="8267700" y="34343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5122" name="TextBox 5121">
          <a:extLst>
            <a:ext uri="{FF2B5EF4-FFF2-40B4-BE49-F238E27FC236}">
              <a16:creationId xmlns:a16="http://schemas.microsoft.com/office/drawing/2014/main" id="{00000000-0008-0000-0000-0000FD000000}"/>
            </a:ext>
          </a:extLst>
        </xdr:cNvPr>
        <xdr:cNvSpPr txBox="1"/>
      </xdr:nvSpPr>
      <xdr:spPr>
        <a:xfrm>
          <a:off x="8267700" y="34343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5123" name="TextBox 5122">
          <a:extLst>
            <a:ext uri="{FF2B5EF4-FFF2-40B4-BE49-F238E27FC236}">
              <a16:creationId xmlns:a16="http://schemas.microsoft.com/office/drawing/2014/main" id="{00000000-0008-0000-0000-0000FE000000}"/>
            </a:ext>
          </a:extLst>
        </xdr:cNvPr>
        <xdr:cNvSpPr txBox="1"/>
      </xdr:nvSpPr>
      <xdr:spPr>
        <a:xfrm>
          <a:off x="8267700" y="34343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5124" name="TextBox 5123">
          <a:extLst>
            <a:ext uri="{FF2B5EF4-FFF2-40B4-BE49-F238E27FC236}">
              <a16:creationId xmlns:a16="http://schemas.microsoft.com/office/drawing/2014/main" id="{00000000-0008-0000-0000-0000FF000000}"/>
            </a:ext>
          </a:extLst>
        </xdr:cNvPr>
        <xdr:cNvSpPr txBox="1"/>
      </xdr:nvSpPr>
      <xdr:spPr>
        <a:xfrm>
          <a:off x="8267700" y="34343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5125" name="TextBox 5124">
          <a:extLst>
            <a:ext uri="{FF2B5EF4-FFF2-40B4-BE49-F238E27FC236}">
              <a16:creationId xmlns:a16="http://schemas.microsoft.com/office/drawing/2014/main" id="{00000000-0008-0000-0000-000000010000}"/>
            </a:ext>
          </a:extLst>
        </xdr:cNvPr>
        <xdr:cNvSpPr txBox="1"/>
      </xdr:nvSpPr>
      <xdr:spPr>
        <a:xfrm>
          <a:off x="8267700" y="34343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5126" name="TextBox 5125">
          <a:extLst>
            <a:ext uri="{FF2B5EF4-FFF2-40B4-BE49-F238E27FC236}">
              <a16:creationId xmlns:a16="http://schemas.microsoft.com/office/drawing/2014/main" id="{00000000-0008-0000-0000-000001010000}"/>
            </a:ext>
          </a:extLst>
        </xdr:cNvPr>
        <xdr:cNvSpPr txBox="1"/>
      </xdr:nvSpPr>
      <xdr:spPr>
        <a:xfrm>
          <a:off x="8267700" y="34343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5127" name="TextBox 5126">
          <a:extLst>
            <a:ext uri="{FF2B5EF4-FFF2-40B4-BE49-F238E27FC236}">
              <a16:creationId xmlns:a16="http://schemas.microsoft.com/office/drawing/2014/main" id="{00000000-0008-0000-0000-000002010000}"/>
            </a:ext>
          </a:extLst>
        </xdr:cNvPr>
        <xdr:cNvSpPr txBox="1"/>
      </xdr:nvSpPr>
      <xdr:spPr>
        <a:xfrm>
          <a:off x="8267700" y="34343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5128" name="TextBox 5127">
          <a:extLst>
            <a:ext uri="{FF2B5EF4-FFF2-40B4-BE49-F238E27FC236}">
              <a16:creationId xmlns:a16="http://schemas.microsoft.com/office/drawing/2014/main" id="{00000000-0008-0000-0000-000003010000}"/>
            </a:ext>
          </a:extLst>
        </xdr:cNvPr>
        <xdr:cNvSpPr txBox="1"/>
      </xdr:nvSpPr>
      <xdr:spPr>
        <a:xfrm>
          <a:off x="8267700" y="34343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5129" name="TextBox 5128">
          <a:extLst>
            <a:ext uri="{FF2B5EF4-FFF2-40B4-BE49-F238E27FC236}">
              <a16:creationId xmlns:a16="http://schemas.microsoft.com/office/drawing/2014/main" id="{00000000-0008-0000-0000-000004010000}"/>
            </a:ext>
          </a:extLst>
        </xdr:cNvPr>
        <xdr:cNvSpPr txBox="1"/>
      </xdr:nvSpPr>
      <xdr:spPr>
        <a:xfrm>
          <a:off x="8267700" y="34343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5130" name="TextBox 5129">
          <a:extLst>
            <a:ext uri="{FF2B5EF4-FFF2-40B4-BE49-F238E27FC236}">
              <a16:creationId xmlns:a16="http://schemas.microsoft.com/office/drawing/2014/main" id="{00000000-0008-0000-0000-000005010000}"/>
            </a:ext>
          </a:extLst>
        </xdr:cNvPr>
        <xdr:cNvSpPr txBox="1"/>
      </xdr:nvSpPr>
      <xdr:spPr>
        <a:xfrm>
          <a:off x="8267700" y="34343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5131" name="TextBox 5130">
          <a:extLst>
            <a:ext uri="{FF2B5EF4-FFF2-40B4-BE49-F238E27FC236}">
              <a16:creationId xmlns:a16="http://schemas.microsoft.com/office/drawing/2014/main" id="{00000000-0008-0000-0000-000006010000}"/>
            </a:ext>
          </a:extLst>
        </xdr:cNvPr>
        <xdr:cNvSpPr txBox="1"/>
      </xdr:nvSpPr>
      <xdr:spPr>
        <a:xfrm>
          <a:off x="8267700" y="34343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5132" name="TextBox 5131">
          <a:extLst>
            <a:ext uri="{FF2B5EF4-FFF2-40B4-BE49-F238E27FC236}">
              <a16:creationId xmlns:a16="http://schemas.microsoft.com/office/drawing/2014/main" id="{00000000-0008-0000-0000-000007010000}"/>
            </a:ext>
          </a:extLst>
        </xdr:cNvPr>
        <xdr:cNvSpPr txBox="1"/>
      </xdr:nvSpPr>
      <xdr:spPr>
        <a:xfrm>
          <a:off x="8267700" y="34343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5133" name="TextBox 5132">
          <a:extLst>
            <a:ext uri="{FF2B5EF4-FFF2-40B4-BE49-F238E27FC236}">
              <a16:creationId xmlns:a16="http://schemas.microsoft.com/office/drawing/2014/main" id="{00000000-0008-0000-0000-000008010000}"/>
            </a:ext>
          </a:extLst>
        </xdr:cNvPr>
        <xdr:cNvSpPr txBox="1"/>
      </xdr:nvSpPr>
      <xdr:spPr>
        <a:xfrm>
          <a:off x="8267700" y="34343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5134" name="TextBox 5133">
          <a:extLst>
            <a:ext uri="{FF2B5EF4-FFF2-40B4-BE49-F238E27FC236}">
              <a16:creationId xmlns:a16="http://schemas.microsoft.com/office/drawing/2014/main" id="{00000000-0008-0000-0000-000009010000}"/>
            </a:ext>
          </a:extLst>
        </xdr:cNvPr>
        <xdr:cNvSpPr txBox="1"/>
      </xdr:nvSpPr>
      <xdr:spPr>
        <a:xfrm>
          <a:off x="8267700" y="34343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5135" name="TextBox 5134">
          <a:extLst>
            <a:ext uri="{FF2B5EF4-FFF2-40B4-BE49-F238E27FC236}">
              <a16:creationId xmlns:a16="http://schemas.microsoft.com/office/drawing/2014/main" id="{00000000-0008-0000-0000-00000A010000}"/>
            </a:ext>
          </a:extLst>
        </xdr:cNvPr>
        <xdr:cNvSpPr txBox="1"/>
      </xdr:nvSpPr>
      <xdr:spPr>
        <a:xfrm>
          <a:off x="8267700" y="34343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5136" name="TextBox 5135">
          <a:extLst>
            <a:ext uri="{FF2B5EF4-FFF2-40B4-BE49-F238E27FC236}">
              <a16:creationId xmlns:a16="http://schemas.microsoft.com/office/drawing/2014/main" id="{00000000-0008-0000-0000-00000B010000}"/>
            </a:ext>
          </a:extLst>
        </xdr:cNvPr>
        <xdr:cNvSpPr txBox="1"/>
      </xdr:nvSpPr>
      <xdr:spPr>
        <a:xfrm>
          <a:off x="8267700" y="34343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5137" name="TextBox 5136">
          <a:extLst>
            <a:ext uri="{FF2B5EF4-FFF2-40B4-BE49-F238E27FC236}">
              <a16:creationId xmlns:a16="http://schemas.microsoft.com/office/drawing/2014/main" id="{00000000-0008-0000-0000-00000C010000}"/>
            </a:ext>
          </a:extLst>
        </xdr:cNvPr>
        <xdr:cNvSpPr txBox="1"/>
      </xdr:nvSpPr>
      <xdr:spPr>
        <a:xfrm>
          <a:off x="8267700" y="34343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5138" name="TextBox 5137">
          <a:extLst>
            <a:ext uri="{FF2B5EF4-FFF2-40B4-BE49-F238E27FC236}">
              <a16:creationId xmlns:a16="http://schemas.microsoft.com/office/drawing/2014/main" id="{00000000-0008-0000-0000-00000D010000}"/>
            </a:ext>
          </a:extLst>
        </xdr:cNvPr>
        <xdr:cNvSpPr txBox="1"/>
      </xdr:nvSpPr>
      <xdr:spPr>
        <a:xfrm>
          <a:off x="8267700" y="34343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5139" name="TextBox 5138">
          <a:extLst>
            <a:ext uri="{FF2B5EF4-FFF2-40B4-BE49-F238E27FC236}">
              <a16:creationId xmlns:a16="http://schemas.microsoft.com/office/drawing/2014/main" id="{00000000-0008-0000-0000-00000E010000}"/>
            </a:ext>
          </a:extLst>
        </xdr:cNvPr>
        <xdr:cNvSpPr txBox="1"/>
      </xdr:nvSpPr>
      <xdr:spPr>
        <a:xfrm>
          <a:off x="8267700" y="34343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5140" name="TextBox 5139">
          <a:extLst>
            <a:ext uri="{FF2B5EF4-FFF2-40B4-BE49-F238E27FC236}">
              <a16:creationId xmlns:a16="http://schemas.microsoft.com/office/drawing/2014/main" id="{00000000-0008-0000-0000-00000F010000}"/>
            </a:ext>
          </a:extLst>
        </xdr:cNvPr>
        <xdr:cNvSpPr txBox="1"/>
      </xdr:nvSpPr>
      <xdr:spPr>
        <a:xfrm>
          <a:off x="8267700" y="34343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5141" name="TextBox 5140">
          <a:extLst>
            <a:ext uri="{FF2B5EF4-FFF2-40B4-BE49-F238E27FC236}">
              <a16:creationId xmlns:a16="http://schemas.microsoft.com/office/drawing/2014/main" id="{00000000-0008-0000-0000-000010010000}"/>
            </a:ext>
          </a:extLst>
        </xdr:cNvPr>
        <xdr:cNvSpPr txBox="1"/>
      </xdr:nvSpPr>
      <xdr:spPr>
        <a:xfrm>
          <a:off x="8267700" y="34343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5142" name="TextBox 5141">
          <a:extLst>
            <a:ext uri="{FF2B5EF4-FFF2-40B4-BE49-F238E27FC236}">
              <a16:creationId xmlns:a16="http://schemas.microsoft.com/office/drawing/2014/main" id="{00000000-0008-0000-0000-000011010000}"/>
            </a:ext>
          </a:extLst>
        </xdr:cNvPr>
        <xdr:cNvSpPr txBox="1"/>
      </xdr:nvSpPr>
      <xdr:spPr>
        <a:xfrm>
          <a:off x="8267700" y="34343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5143" name="TextBox 5142">
          <a:extLst>
            <a:ext uri="{FF2B5EF4-FFF2-40B4-BE49-F238E27FC236}">
              <a16:creationId xmlns:a16="http://schemas.microsoft.com/office/drawing/2014/main" id="{00000000-0008-0000-0000-000012010000}"/>
            </a:ext>
          </a:extLst>
        </xdr:cNvPr>
        <xdr:cNvSpPr txBox="1"/>
      </xdr:nvSpPr>
      <xdr:spPr>
        <a:xfrm>
          <a:off x="8267700" y="34343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5144" name="TextBox 5143">
          <a:extLst>
            <a:ext uri="{FF2B5EF4-FFF2-40B4-BE49-F238E27FC236}">
              <a16:creationId xmlns:a16="http://schemas.microsoft.com/office/drawing/2014/main" id="{00000000-0008-0000-0000-000013010000}"/>
            </a:ext>
          </a:extLst>
        </xdr:cNvPr>
        <xdr:cNvSpPr txBox="1"/>
      </xdr:nvSpPr>
      <xdr:spPr>
        <a:xfrm>
          <a:off x="8267700" y="34343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5145" name="TextBox 5144">
          <a:extLst>
            <a:ext uri="{FF2B5EF4-FFF2-40B4-BE49-F238E27FC236}">
              <a16:creationId xmlns:a16="http://schemas.microsoft.com/office/drawing/2014/main" id="{00000000-0008-0000-0000-000014010000}"/>
            </a:ext>
          </a:extLst>
        </xdr:cNvPr>
        <xdr:cNvSpPr txBox="1"/>
      </xdr:nvSpPr>
      <xdr:spPr>
        <a:xfrm>
          <a:off x="8267700" y="34343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5146" name="TextBox 5145">
          <a:extLst>
            <a:ext uri="{FF2B5EF4-FFF2-40B4-BE49-F238E27FC236}">
              <a16:creationId xmlns:a16="http://schemas.microsoft.com/office/drawing/2014/main" id="{00000000-0008-0000-0000-000015010000}"/>
            </a:ext>
          </a:extLst>
        </xdr:cNvPr>
        <xdr:cNvSpPr txBox="1"/>
      </xdr:nvSpPr>
      <xdr:spPr>
        <a:xfrm>
          <a:off x="8267700" y="34343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5147" name="TextBox 5146">
          <a:extLst>
            <a:ext uri="{FF2B5EF4-FFF2-40B4-BE49-F238E27FC236}">
              <a16:creationId xmlns:a16="http://schemas.microsoft.com/office/drawing/2014/main" id="{00000000-0008-0000-0000-000016010000}"/>
            </a:ext>
          </a:extLst>
        </xdr:cNvPr>
        <xdr:cNvSpPr txBox="1"/>
      </xdr:nvSpPr>
      <xdr:spPr>
        <a:xfrm>
          <a:off x="8267700" y="34343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5148" name="TextBox 5147">
          <a:extLst>
            <a:ext uri="{FF2B5EF4-FFF2-40B4-BE49-F238E27FC236}">
              <a16:creationId xmlns:a16="http://schemas.microsoft.com/office/drawing/2014/main" id="{00000000-0008-0000-0000-000017010000}"/>
            </a:ext>
          </a:extLst>
        </xdr:cNvPr>
        <xdr:cNvSpPr txBox="1"/>
      </xdr:nvSpPr>
      <xdr:spPr>
        <a:xfrm>
          <a:off x="8267700" y="34343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5149" name="TextBox 5148">
          <a:extLst>
            <a:ext uri="{FF2B5EF4-FFF2-40B4-BE49-F238E27FC236}">
              <a16:creationId xmlns:a16="http://schemas.microsoft.com/office/drawing/2014/main" id="{00000000-0008-0000-0000-000018010000}"/>
            </a:ext>
          </a:extLst>
        </xdr:cNvPr>
        <xdr:cNvSpPr txBox="1"/>
      </xdr:nvSpPr>
      <xdr:spPr>
        <a:xfrm>
          <a:off x="8267700" y="34343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5150" name="TextBox 5149">
          <a:extLst>
            <a:ext uri="{FF2B5EF4-FFF2-40B4-BE49-F238E27FC236}">
              <a16:creationId xmlns:a16="http://schemas.microsoft.com/office/drawing/2014/main" id="{00000000-0008-0000-0000-000019010000}"/>
            </a:ext>
          </a:extLst>
        </xdr:cNvPr>
        <xdr:cNvSpPr txBox="1"/>
      </xdr:nvSpPr>
      <xdr:spPr>
        <a:xfrm>
          <a:off x="8267700" y="34343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5151" name="TextBox 5150">
          <a:extLst>
            <a:ext uri="{FF2B5EF4-FFF2-40B4-BE49-F238E27FC236}">
              <a16:creationId xmlns:a16="http://schemas.microsoft.com/office/drawing/2014/main" id="{00000000-0008-0000-0000-00001A010000}"/>
            </a:ext>
          </a:extLst>
        </xdr:cNvPr>
        <xdr:cNvSpPr txBox="1"/>
      </xdr:nvSpPr>
      <xdr:spPr>
        <a:xfrm>
          <a:off x="8267700" y="34343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5152" name="TextBox 5151">
          <a:extLst>
            <a:ext uri="{FF2B5EF4-FFF2-40B4-BE49-F238E27FC236}">
              <a16:creationId xmlns:a16="http://schemas.microsoft.com/office/drawing/2014/main" id="{00000000-0008-0000-0000-00001B010000}"/>
            </a:ext>
          </a:extLst>
        </xdr:cNvPr>
        <xdr:cNvSpPr txBox="1"/>
      </xdr:nvSpPr>
      <xdr:spPr>
        <a:xfrm>
          <a:off x="8267700" y="34343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5153" name="TextBox 5152">
          <a:extLst>
            <a:ext uri="{FF2B5EF4-FFF2-40B4-BE49-F238E27FC236}">
              <a16:creationId xmlns:a16="http://schemas.microsoft.com/office/drawing/2014/main" id="{00000000-0008-0000-0000-00001C010000}"/>
            </a:ext>
          </a:extLst>
        </xdr:cNvPr>
        <xdr:cNvSpPr txBox="1"/>
      </xdr:nvSpPr>
      <xdr:spPr>
        <a:xfrm>
          <a:off x="8267700" y="34343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5154" name="TextBox 5153">
          <a:extLst>
            <a:ext uri="{FF2B5EF4-FFF2-40B4-BE49-F238E27FC236}">
              <a16:creationId xmlns:a16="http://schemas.microsoft.com/office/drawing/2014/main" id="{00000000-0008-0000-0000-00001D010000}"/>
            </a:ext>
          </a:extLst>
        </xdr:cNvPr>
        <xdr:cNvSpPr txBox="1"/>
      </xdr:nvSpPr>
      <xdr:spPr>
        <a:xfrm>
          <a:off x="8267700" y="34343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5155" name="TextBox 5154">
          <a:extLst>
            <a:ext uri="{FF2B5EF4-FFF2-40B4-BE49-F238E27FC236}">
              <a16:creationId xmlns:a16="http://schemas.microsoft.com/office/drawing/2014/main" id="{00000000-0008-0000-0000-00001E010000}"/>
            </a:ext>
          </a:extLst>
        </xdr:cNvPr>
        <xdr:cNvSpPr txBox="1"/>
      </xdr:nvSpPr>
      <xdr:spPr>
        <a:xfrm>
          <a:off x="8267700" y="34343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5156" name="TextBox 5155">
          <a:extLst>
            <a:ext uri="{FF2B5EF4-FFF2-40B4-BE49-F238E27FC236}">
              <a16:creationId xmlns:a16="http://schemas.microsoft.com/office/drawing/2014/main" id="{00000000-0008-0000-0000-00001F010000}"/>
            </a:ext>
          </a:extLst>
        </xdr:cNvPr>
        <xdr:cNvSpPr txBox="1"/>
      </xdr:nvSpPr>
      <xdr:spPr>
        <a:xfrm>
          <a:off x="8267700" y="34343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5157" name="TextBox 5156">
          <a:extLst>
            <a:ext uri="{FF2B5EF4-FFF2-40B4-BE49-F238E27FC236}">
              <a16:creationId xmlns:a16="http://schemas.microsoft.com/office/drawing/2014/main" id="{00000000-0008-0000-0000-000020010000}"/>
            </a:ext>
          </a:extLst>
        </xdr:cNvPr>
        <xdr:cNvSpPr txBox="1"/>
      </xdr:nvSpPr>
      <xdr:spPr>
        <a:xfrm>
          <a:off x="8267700" y="34343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5158" name="TextBox 5157">
          <a:extLst>
            <a:ext uri="{FF2B5EF4-FFF2-40B4-BE49-F238E27FC236}">
              <a16:creationId xmlns:a16="http://schemas.microsoft.com/office/drawing/2014/main" id="{00000000-0008-0000-0000-000021010000}"/>
            </a:ext>
          </a:extLst>
        </xdr:cNvPr>
        <xdr:cNvSpPr txBox="1"/>
      </xdr:nvSpPr>
      <xdr:spPr>
        <a:xfrm>
          <a:off x="8267700" y="34343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5159" name="TextBox 5158">
          <a:extLst>
            <a:ext uri="{FF2B5EF4-FFF2-40B4-BE49-F238E27FC236}">
              <a16:creationId xmlns:a16="http://schemas.microsoft.com/office/drawing/2014/main" id="{00000000-0008-0000-0000-000022010000}"/>
            </a:ext>
          </a:extLst>
        </xdr:cNvPr>
        <xdr:cNvSpPr txBox="1"/>
      </xdr:nvSpPr>
      <xdr:spPr>
        <a:xfrm>
          <a:off x="8267700" y="34343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5160" name="TextBox 5159">
          <a:extLst>
            <a:ext uri="{FF2B5EF4-FFF2-40B4-BE49-F238E27FC236}">
              <a16:creationId xmlns:a16="http://schemas.microsoft.com/office/drawing/2014/main" id="{00000000-0008-0000-0000-000023010000}"/>
            </a:ext>
          </a:extLst>
        </xdr:cNvPr>
        <xdr:cNvSpPr txBox="1"/>
      </xdr:nvSpPr>
      <xdr:spPr>
        <a:xfrm>
          <a:off x="8267700" y="34343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5161" name="TextBox 5160">
          <a:extLst>
            <a:ext uri="{FF2B5EF4-FFF2-40B4-BE49-F238E27FC236}">
              <a16:creationId xmlns:a16="http://schemas.microsoft.com/office/drawing/2014/main" id="{00000000-0008-0000-0000-000024010000}"/>
            </a:ext>
          </a:extLst>
        </xdr:cNvPr>
        <xdr:cNvSpPr txBox="1"/>
      </xdr:nvSpPr>
      <xdr:spPr>
        <a:xfrm>
          <a:off x="8267700" y="34343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5162" name="TextBox 5161">
          <a:extLst>
            <a:ext uri="{FF2B5EF4-FFF2-40B4-BE49-F238E27FC236}">
              <a16:creationId xmlns:a16="http://schemas.microsoft.com/office/drawing/2014/main" id="{00000000-0008-0000-0000-000025010000}"/>
            </a:ext>
          </a:extLst>
        </xdr:cNvPr>
        <xdr:cNvSpPr txBox="1"/>
      </xdr:nvSpPr>
      <xdr:spPr>
        <a:xfrm>
          <a:off x="8267700" y="34343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5163" name="TextBox 5162">
          <a:extLst>
            <a:ext uri="{FF2B5EF4-FFF2-40B4-BE49-F238E27FC236}">
              <a16:creationId xmlns:a16="http://schemas.microsoft.com/office/drawing/2014/main" id="{00000000-0008-0000-0000-000026010000}"/>
            </a:ext>
          </a:extLst>
        </xdr:cNvPr>
        <xdr:cNvSpPr txBox="1"/>
      </xdr:nvSpPr>
      <xdr:spPr>
        <a:xfrm>
          <a:off x="12580620" y="34343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5164" name="TextBox 5163">
          <a:extLst>
            <a:ext uri="{FF2B5EF4-FFF2-40B4-BE49-F238E27FC236}">
              <a16:creationId xmlns:a16="http://schemas.microsoft.com/office/drawing/2014/main" id="{00000000-0008-0000-0000-000027010000}"/>
            </a:ext>
          </a:extLst>
        </xdr:cNvPr>
        <xdr:cNvSpPr txBox="1"/>
      </xdr:nvSpPr>
      <xdr:spPr>
        <a:xfrm>
          <a:off x="12580620" y="34343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5165" name="TextBox 5164">
          <a:extLst>
            <a:ext uri="{FF2B5EF4-FFF2-40B4-BE49-F238E27FC236}">
              <a16:creationId xmlns:a16="http://schemas.microsoft.com/office/drawing/2014/main" id="{00000000-0008-0000-0000-000028010000}"/>
            </a:ext>
          </a:extLst>
        </xdr:cNvPr>
        <xdr:cNvSpPr txBox="1"/>
      </xdr:nvSpPr>
      <xdr:spPr>
        <a:xfrm>
          <a:off x="12580620" y="34343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5166" name="TextBox 5165">
          <a:extLst>
            <a:ext uri="{FF2B5EF4-FFF2-40B4-BE49-F238E27FC236}">
              <a16:creationId xmlns:a16="http://schemas.microsoft.com/office/drawing/2014/main" id="{00000000-0008-0000-0000-000029010000}"/>
            </a:ext>
          </a:extLst>
        </xdr:cNvPr>
        <xdr:cNvSpPr txBox="1"/>
      </xdr:nvSpPr>
      <xdr:spPr>
        <a:xfrm>
          <a:off x="12580620" y="34343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5167" name="TextBox 5166">
          <a:extLst>
            <a:ext uri="{FF2B5EF4-FFF2-40B4-BE49-F238E27FC236}">
              <a16:creationId xmlns:a16="http://schemas.microsoft.com/office/drawing/2014/main" id="{00000000-0008-0000-0000-00002A010000}"/>
            </a:ext>
          </a:extLst>
        </xdr:cNvPr>
        <xdr:cNvSpPr txBox="1"/>
      </xdr:nvSpPr>
      <xdr:spPr>
        <a:xfrm>
          <a:off x="12580620" y="34343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5168" name="TextBox 5167">
          <a:extLst>
            <a:ext uri="{FF2B5EF4-FFF2-40B4-BE49-F238E27FC236}">
              <a16:creationId xmlns:a16="http://schemas.microsoft.com/office/drawing/2014/main" id="{00000000-0008-0000-0000-00002B010000}"/>
            </a:ext>
          </a:extLst>
        </xdr:cNvPr>
        <xdr:cNvSpPr txBox="1"/>
      </xdr:nvSpPr>
      <xdr:spPr>
        <a:xfrm>
          <a:off x="12580620" y="34343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5169" name="TextBox 5168">
          <a:extLst>
            <a:ext uri="{FF2B5EF4-FFF2-40B4-BE49-F238E27FC236}">
              <a16:creationId xmlns:a16="http://schemas.microsoft.com/office/drawing/2014/main" id="{00000000-0008-0000-0000-00002C010000}"/>
            </a:ext>
          </a:extLst>
        </xdr:cNvPr>
        <xdr:cNvSpPr txBox="1"/>
      </xdr:nvSpPr>
      <xdr:spPr>
        <a:xfrm>
          <a:off x="12580620" y="34343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5170" name="TextBox 5169">
          <a:extLst>
            <a:ext uri="{FF2B5EF4-FFF2-40B4-BE49-F238E27FC236}">
              <a16:creationId xmlns:a16="http://schemas.microsoft.com/office/drawing/2014/main" id="{00000000-0008-0000-0000-00002D010000}"/>
            </a:ext>
          </a:extLst>
        </xdr:cNvPr>
        <xdr:cNvSpPr txBox="1"/>
      </xdr:nvSpPr>
      <xdr:spPr>
        <a:xfrm>
          <a:off x="12580620" y="34343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171" name="TextBox 5170">
          <a:extLst>
            <a:ext uri="{FF2B5EF4-FFF2-40B4-BE49-F238E27FC236}">
              <a16:creationId xmlns:a16="http://schemas.microsoft.com/office/drawing/2014/main" id="{00000000-0008-0000-0000-00002E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172" name="TextBox 5171">
          <a:extLst>
            <a:ext uri="{FF2B5EF4-FFF2-40B4-BE49-F238E27FC236}">
              <a16:creationId xmlns:a16="http://schemas.microsoft.com/office/drawing/2014/main" id="{00000000-0008-0000-0000-00002F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173" name="TextBox 5172">
          <a:extLst>
            <a:ext uri="{FF2B5EF4-FFF2-40B4-BE49-F238E27FC236}">
              <a16:creationId xmlns:a16="http://schemas.microsoft.com/office/drawing/2014/main" id="{00000000-0008-0000-0000-000030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174" name="TextBox 5173">
          <a:extLst>
            <a:ext uri="{FF2B5EF4-FFF2-40B4-BE49-F238E27FC236}">
              <a16:creationId xmlns:a16="http://schemas.microsoft.com/office/drawing/2014/main" id="{00000000-0008-0000-0000-000031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175" name="TextBox 5174">
          <a:extLst>
            <a:ext uri="{FF2B5EF4-FFF2-40B4-BE49-F238E27FC236}">
              <a16:creationId xmlns:a16="http://schemas.microsoft.com/office/drawing/2014/main" id="{00000000-0008-0000-0000-000032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176" name="TextBox 5175">
          <a:extLst>
            <a:ext uri="{FF2B5EF4-FFF2-40B4-BE49-F238E27FC236}">
              <a16:creationId xmlns:a16="http://schemas.microsoft.com/office/drawing/2014/main" id="{00000000-0008-0000-0000-000033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177" name="TextBox 5176">
          <a:extLst>
            <a:ext uri="{FF2B5EF4-FFF2-40B4-BE49-F238E27FC236}">
              <a16:creationId xmlns:a16="http://schemas.microsoft.com/office/drawing/2014/main" id="{00000000-0008-0000-0000-000034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178" name="TextBox 5177">
          <a:extLst>
            <a:ext uri="{FF2B5EF4-FFF2-40B4-BE49-F238E27FC236}">
              <a16:creationId xmlns:a16="http://schemas.microsoft.com/office/drawing/2014/main" id="{00000000-0008-0000-0000-000035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179" name="TextBox 5178">
          <a:extLst>
            <a:ext uri="{FF2B5EF4-FFF2-40B4-BE49-F238E27FC236}">
              <a16:creationId xmlns:a16="http://schemas.microsoft.com/office/drawing/2014/main" id="{00000000-0008-0000-0000-000036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180" name="TextBox 5179">
          <a:extLst>
            <a:ext uri="{FF2B5EF4-FFF2-40B4-BE49-F238E27FC236}">
              <a16:creationId xmlns:a16="http://schemas.microsoft.com/office/drawing/2014/main" id="{00000000-0008-0000-0000-000037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181" name="TextBox 5180">
          <a:extLst>
            <a:ext uri="{FF2B5EF4-FFF2-40B4-BE49-F238E27FC236}">
              <a16:creationId xmlns:a16="http://schemas.microsoft.com/office/drawing/2014/main" id="{00000000-0008-0000-0000-000038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182" name="TextBox 5181">
          <a:extLst>
            <a:ext uri="{FF2B5EF4-FFF2-40B4-BE49-F238E27FC236}">
              <a16:creationId xmlns:a16="http://schemas.microsoft.com/office/drawing/2014/main" id="{00000000-0008-0000-0000-000039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183" name="TextBox 5182">
          <a:extLst>
            <a:ext uri="{FF2B5EF4-FFF2-40B4-BE49-F238E27FC236}">
              <a16:creationId xmlns:a16="http://schemas.microsoft.com/office/drawing/2014/main" id="{00000000-0008-0000-0000-00003A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184" name="TextBox 5183">
          <a:extLst>
            <a:ext uri="{FF2B5EF4-FFF2-40B4-BE49-F238E27FC236}">
              <a16:creationId xmlns:a16="http://schemas.microsoft.com/office/drawing/2014/main" id="{00000000-0008-0000-0000-00003B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185" name="TextBox 5184">
          <a:extLst>
            <a:ext uri="{FF2B5EF4-FFF2-40B4-BE49-F238E27FC236}">
              <a16:creationId xmlns:a16="http://schemas.microsoft.com/office/drawing/2014/main" id="{00000000-0008-0000-0000-00003C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186" name="TextBox 5185">
          <a:extLst>
            <a:ext uri="{FF2B5EF4-FFF2-40B4-BE49-F238E27FC236}">
              <a16:creationId xmlns:a16="http://schemas.microsoft.com/office/drawing/2014/main" id="{00000000-0008-0000-0000-00003D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187" name="TextBox 5186">
          <a:extLst>
            <a:ext uri="{FF2B5EF4-FFF2-40B4-BE49-F238E27FC236}">
              <a16:creationId xmlns:a16="http://schemas.microsoft.com/office/drawing/2014/main" id="{00000000-0008-0000-0000-00003E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188" name="TextBox 5187">
          <a:extLst>
            <a:ext uri="{FF2B5EF4-FFF2-40B4-BE49-F238E27FC236}">
              <a16:creationId xmlns:a16="http://schemas.microsoft.com/office/drawing/2014/main" id="{00000000-0008-0000-0000-00003F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189" name="TextBox 5188">
          <a:extLst>
            <a:ext uri="{FF2B5EF4-FFF2-40B4-BE49-F238E27FC236}">
              <a16:creationId xmlns:a16="http://schemas.microsoft.com/office/drawing/2014/main" id="{00000000-0008-0000-0000-000040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190" name="TextBox 5189">
          <a:extLst>
            <a:ext uri="{FF2B5EF4-FFF2-40B4-BE49-F238E27FC236}">
              <a16:creationId xmlns:a16="http://schemas.microsoft.com/office/drawing/2014/main" id="{00000000-0008-0000-0000-000041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191" name="TextBox 5190">
          <a:extLst>
            <a:ext uri="{FF2B5EF4-FFF2-40B4-BE49-F238E27FC236}">
              <a16:creationId xmlns:a16="http://schemas.microsoft.com/office/drawing/2014/main" id="{00000000-0008-0000-0000-000042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192" name="TextBox 5191">
          <a:extLst>
            <a:ext uri="{FF2B5EF4-FFF2-40B4-BE49-F238E27FC236}">
              <a16:creationId xmlns:a16="http://schemas.microsoft.com/office/drawing/2014/main" id="{00000000-0008-0000-0000-000043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193" name="TextBox 5192">
          <a:extLst>
            <a:ext uri="{FF2B5EF4-FFF2-40B4-BE49-F238E27FC236}">
              <a16:creationId xmlns:a16="http://schemas.microsoft.com/office/drawing/2014/main" id="{00000000-0008-0000-0000-000044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194" name="TextBox 5193">
          <a:extLst>
            <a:ext uri="{FF2B5EF4-FFF2-40B4-BE49-F238E27FC236}">
              <a16:creationId xmlns:a16="http://schemas.microsoft.com/office/drawing/2014/main" id="{00000000-0008-0000-0000-000045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195" name="TextBox 5194">
          <a:extLst>
            <a:ext uri="{FF2B5EF4-FFF2-40B4-BE49-F238E27FC236}">
              <a16:creationId xmlns:a16="http://schemas.microsoft.com/office/drawing/2014/main" id="{00000000-0008-0000-0000-000046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196" name="TextBox 5195">
          <a:extLst>
            <a:ext uri="{FF2B5EF4-FFF2-40B4-BE49-F238E27FC236}">
              <a16:creationId xmlns:a16="http://schemas.microsoft.com/office/drawing/2014/main" id="{00000000-0008-0000-0000-000047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197" name="TextBox 5196">
          <a:extLst>
            <a:ext uri="{FF2B5EF4-FFF2-40B4-BE49-F238E27FC236}">
              <a16:creationId xmlns:a16="http://schemas.microsoft.com/office/drawing/2014/main" id="{00000000-0008-0000-0000-000048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198" name="TextBox 5197">
          <a:extLst>
            <a:ext uri="{FF2B5EF4-FFF2-40B4-BE49-F238E27FC236}">
              <a16:creationId xmlns:a16="http://schemas.microsoft.com/office/drawing/2014/main" id="{00000000-0008-0000-0000-000049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199" name="TextBox 5198">
          <a:extLst>
            <a:ext uri="{FF2B5EF4-FFF2-40B4-BE49-F238E27FC236}">
              <a16:creationId xmlns:a16="http://schemas.microsoft.com/office/drawing/2014/main" id="{00000000-0008-0000-0000-00004A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200" name="TextBox 5199">
          <a:extLst>
            <a:ext uri="{FF2B5EF4-FFF2-40B4-BE49-F238E27FC236}">
              <a16:creationId xmlns:a16="http://schemas.microsoft.com/office/drawing/2014/main" id="{00000000-0008-0000-0000-00004B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201" name="TextBox 5200">
          <a:extLst>
            <a:ext uri="{FF2B5EF4-FFF2-40B4-BE49-F238E27FC236}">
              <a16:creationId xmlns:a16="http://schemas.microsoft.com/office/drawing/2014/main" id="{00000000-0008-0000-0000-00004C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202" name="TextBox 5201">
          <a:extLst>
            <a:ext uri="{FF2B5EF4-FFF2-40B4-BE49-F238E27FC236}">
              <a16:creationId xmlns:a16="http://schemas.microsoft.com/office/drawing/2014/main" id="{00000000-0008-0000-0000-00004D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203" name="TextBox 5202">
          <a:extLst>
            <a:ext uri="{FF2B5EF4-FFF2-40B4-BE49-F238E27FC236}">
              <a16:creationId xmlns:a16="http://schemas.microsoft.com/office/drawing/2014/main" id="{00000000-0008-0000-0000-00004E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204" name="TextBox 5203">
          <a:extLst>
            <a:ext uri="{FF2B5EF4-FFF2-40B4-BE49-F238E27FC236}">
              <a16:creationId xmlns:a16="http://schemas.microsoft.com/office/drawing/2014/main" id="{00000000-0008-0000-0000-00004F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205" name="TextBox 5204">
          <a:extLst>
            <a:ext uri="{FF2B5EF4-FFF2-40B4-BE49-F238E27FC236}">
              <a16:creationId xmlns:a16="http://schemas.microsoft.com/office/drawing/2014/main" id="{00000000-0008-0000-0000-000050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206" name="TextBox 5205">
          <a:extLst>
            <a:ext uri="{FF2B5EF4-FFF2-40B4-BE49-F238E27FC236}">
              <a16:creationId xmlns:a16="http://schemas.microsoft.com/office/drawing/2014/main" id="{00000000-0008-0000-0000-000051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207" name="TextBox 5206">
          <a:extLst>
            <a:ext uri="{FF2B5EF4-FFF2-40B4-BE49-F238E27FC236}">
              <a16:creationId xmlns:a16="http://schemas.microsoft.com/office/drawing/2014/main" id="{00000000-0008-0000-0000-000052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208" name="TextBox 5207">
          <a:extLst>
            <a:ext uri="{FF2B5EF4-FFF2-40B4-BE49-F238E27FC236}">
              <a16:creationId xmlns:a16="http://schemas.microsoft.com/office/drawing/2014/main" id="{00000000-0008-0000-0000-000053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209" name="TextBox 5208">
          <a:extLst>
            <a:ext uri="{FF2B5EF4-FFF2-40B4-BE49-F238E27FC236}">
              <a16:creationId xmlns:a16="http://schemas.microsoft.com/office/drawing/2014/main" id="{00000000-0008-0000-0000-000054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210" name="TextBox 5209">
          <a:extLst>
            <a:ext uri="{FF2B5EF4-FFF2-40B4-BE49-F238E27FC236}">
              <a16:creationId xmlns:a16="http://schemas.microsoft.com/office/drawing/2014/main" id="{00000000-0008-0000-0000-000055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211" name="TextBox 5210">
          <a:extLst>
            <a:ext uri="{FF2B5EF4-FFF2-40B4-BE49-F238E27FC236}">
              <a16:creationId xmlns:a16="http://schemas.microsoft.com/office/drawing/2014/main" id="{00000000-0008-0000-0000-000056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212" name="TextBox 5211">
          <a:extLst>
            <a:ext uri="{FF2B5EF4-FFF2-40B4-BE49-F238E27FC236}">
              <a16:creationId xmlns:a16="http://schemas.microsoft.com/office/drawing/2014/main" id="{00000000-0008-0000-0000-000057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213" name="TextBox 5212">
          <a:extLst>
            <a:ext uri="{FF2B5EF4-FFF2-40B4-BE49-F238E27FC236}">
              <a16:creationId xmlns:a16="http://schemas.microsoft.com/office/drawing/2014/main" id="{00000000-0008-0000-0000-000058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214" name="TextBox 5213">
          <a:extLst>
            <a:ext uri="{FF2B5EF4-FFF2-40B4-BE49-F238E27FC236}">
              <a16:creationId xmlns:a16="http://schemas.microsoft.com/office/drawing/2014/main" id="{00000000-0008-0000-0000-000059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215" name="TextBox 5214">
          <a:extLst>
            <a:ext uri="{FF2B5EF4-FFF2-40B4-BE49-F238E27FC236}">
              <a16:creationId xmlns:a16="http://schemas.microsoft.com/office/drawing/2014/main" id="{00000000-0008-0000-0000-00005A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216" name="TextBox 5215">
          <a:extLst>
            <a:ext uri="{FF2B5EF4-FFF2-40B4-BE49-F238E27FC236}">
              <a16:creationId xmlns:a16="http://schemas.microsoft.com/office/drawing/2014/main" id="{00000000-0008-0000-0000-00005B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217" name="TextBox 5216">
          <a:extLst>
            <a:ext uri="{FF2B5EF4-FFF2-40B4-BE49-F238E27FC236}">
              <a16:creationId xmlns:a16="http://schemas.microsoft.com/office/drawing/2014/main" id="{00000000-0008-0000-0000-00005C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218" name="TextBox 5217">
          <a:extLst>
            <a:ext uri="{FF2B5EF4-FFF2-40B4-BE49-F238E27FC236}">
              <a16:creationId xmlns:a16="http://schemas.microsoft.com/office/drawing/2014/main" id="{00000000-0008-0000-0000-00005D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219" name="TextBox 5218">
          <a:extLst>
            <a:ext uri="{FF2B5EF4-FFF2-40B4-BE49-F238E27FC236}">
              <a16:creationId xmlns:a16="http://schemas.microsoft.com/office/drawing/2014/main" id="{00000000-0008-0000-0000-00005E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220" name="TextBox 5219">
          <a:extLst>
            <a:ext uri="{FF2B5EF4-FFF2-40B4-BE49-F238E27FC236}">
              <a16:creationId xmlns:a16="http://schemas.microsoft.com/office/drawing/2014/main" id="{00000000-0008-0000-0000-00005F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221" name="TextBox 5220">
          <a:extLst>
            <a:ext uri="{FF2B5EF4-FFF2-40B4-BE49-F238E27FC236}">
              <a16:creationId xmlns:a16="http://schemas.microsoft.com/office/drawing/2014/main" id="{00000000-0008-0000-0000-000060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222" name="TextBox 5221">
          <a:extLst>
            <a:ext uri="{FF2B5EF4-FFF2-40B4-BE49-F238E27FC236}">
              <a16:creationId xmlns:a16="http://schemas.microsoft.com/office/drawing/2014/main" id="{00000000-0008-0000-0000-000061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223" name="TextBox 5222">
          <a:extLst>
            <a:ext uri="{FF2B5EF4-FFF2-40B4-BE49-F238E27FC236}">
              <a16:creationId xmlns:a16="http://schemas.microsoft.com/office/drawing/2014/main" id="{00000000-0008-0000-0000-000062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224" name="TextBox 5223">
          <a:extLst>
            <a:ext uri="{FF2B5EF4-FFF2-40B4-BE49-F238E27FC236}">
              <a16:creationId xmlns:a16="http://schemas.microsoft.com/office/drawing/2014/main" id="{00000000-0008-0000-0000-000063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225" name="TextBox 5224">
          <a:extLst>
            <a:ext uri="{FF2B5EF4-FFF2-40B4-BE49-F238E27FC236}">
              <a16:creationId xmlns:a16="http://schemas.microsoft.com/office/drawing/2014/main" id="{00000000-0008-0000-0000-000064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226" name="TextBox 5225">
          <a:extLst>
            <a:ext uri="{FF2B5EF4-FFF2-40B4-BE49-F238E27FC236}">
              <a16:creationId xmlns:a16="http://schemas.microsoft.com/office/drawing/2014/main" id="{00000000-0008-0000-0000-000065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227" name="TextBox 5226">
          <a:extLst>
            <a:ext uri="{FF2B5EF4-FFF2-40B4-BE49-F238E27FC236}">
              <a16:creationId xmlns:a16="http://schemas.microsoft.com/office/drawing/2014/main" id="{00000000-0008-0000-0000-000066010000}"/>
            </a:ext>
          </a:extLst>
        </xdr:cNvPr>
        <xdr:cNvSpPr txBox="1"/>
      </xdr:nvSpPr>
      <xdr:spPr>
        <a:xfrm>
          <a:off x="1258062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228" name="TextBox 5227">
          <a:extLst>
            <a:ext uri="{FF2B5EF4-FFF2-40B4-BE49-F238E27FC236}">
              <a16:creationId xmlns:a16="http://schemas.microsoft.com/office/drawing/2014/main" id="{00000000-0008-0000-0000-000067010000}"/>
            </a:ext>
          </a:extLst>
        </xdr:cNvPr>
        <xdr:cNvSpPr txBox="1"/>
      </xdr:nvSpPr>
      <xdr:spPr>
        <a:xfrm>
          <a:off x="1258062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229" name="TextBox 5228">
          <a:extLst>
            <a:ext uri="{FF2B5EF4-FFF2-40B4-BE49-F238E27FC236}">
              <a16:creationId xmlns:a16="http://schemas.microsoft.com/office/drawing/2014/main" id="{00000000-0008-0000-0000-000068010000}"/>
            </a:ext>
          </a:extLst>
        </xdr:cNvPr>
        <xdr:cNvSpPr txBox="1"/>
      </xdr:nvSpPr>
      <xdr:spPr>
        <a:xfrm>
          <a:off x="1258062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230" name="TextBox 5229">
          <a:extLst>
            <a:ext uri="{FF2B5EF4-FFF2-40B4-BE49-F238E27FC236}">
              <a16:creationId xmlns:a16="http://schemas.microsoft.com/office/drawing/2014/main" id="{00000000-0008-0000-0000-000069010000}"/>
            </a:ext>
          </a:extLst>
        </xdr:cNvPr>
        <xdr:cNvSpPr txBox="1"/>
      </xdr:nvSpPr>
      <xdr:spPr>
        <a:xfrm>
          <a:off x="1258062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231" name="TextBox 5230">
          <a:extLst>
            <a:ext uri="{FF2B5EF4-FFF2-40B4-BE49-F238E27FC236}">
              <a16:creationId xmlns:a16="http://schemas.microsoft.com/office/drawing/2014/main" id="{00000000-0008-0000-0000-00006A010000}"/>
            </a:ext>
          </a:extLst>
        </xdr:cNvPr>
        <xdr:cNvSpPr txBox="1"/>
      </xdr:nvSpPr>
      <xdr:spPr>
        <a:xfrm>
          <a:off x="1258062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232" name="TextBox 5231">
          <a:extLst>
            <a:ext uri="{FF2B5EF4-FFF2-40B4-BE49-F238E27FC236}">
              <a16:creationId xmlns:a16="http://schemas.microsoft.com/office/drawing/2014/main" id="{00000000-0008-0000-0000-00006B010000}"/>
            </a:ext>
          </a:extLst>
        </xdr:cNvPr>
        <xdr:cNvSpPr txBox="1"/>
      </xdr:nvSpPr>
      <xdr:spPr>
        <a:xfrm>
          <a:off x="1258062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233" name="TextBox 5232">
          <a:extLst>
            <a:ext uri="{FF2B5EF4-FFF2-40B4-BE49-F238E27FC236}">
              <a16:creationId xmlns:a16="http://schemas.microsoft.com/office/drawing/2014/main" id="{00000000-0008-0000-0000-00006C010000}"/>
            </a:ext>
          </a:extLst>
        </xdr:cNvPr>
        <xdr:cNvSpPr txBox="1"/>
      </xdr:nvSpPr>
      <xdr:spPr>
        <a:xfrm>
          <a:off x="1258062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234" name="TextBox 5233">
          <a:extLst>
            <a:ext uri="{FF2B5EF4-FFF2-40B4-BE49-F238E27FC236}">
              <a16:creationId xmlns:a16="http://schemas.microsoft.com/office/drawing/2014/main" id="{00000000-0008-0000-0000-00006D010000}"/>
            </a:ext>
          </a:extLst>
        </xdr:cNvPr>
        <xdr:cNvSpPr txBox="1"/>
      </xdr:nvSpPr>
      <xdr:spPr>
        <a:xfrm>
          <a:off x="1258062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5235" name="TextBox 5234">
          <a:extLst>
            <a:ext uri="{FF2B5EF4-FFF2-40B4-BE49-F238E27FC236}">
              <a16:creationId xmlns:a16="http://schemas.microsoft.com/office/drawing/2014/main" id="{00000000-0008-0000-0000-00006E010000}"/>
            </a:ext>
          </a:extLst>
        </xdr:cNvPr>
        <xdr:cNvSpPr txBox="1"/>
      </xdr:nvSpPr>
      <xdr:spPr>
        <a:xfrm>
          <a:off x="8267700" y="34739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5236" name="TextBox 5235">
          <a:extLst>
            <a:ext uri="{FF2B5EF4-FFF2-40B4-BE49-F238E27FC236}">
              <a16:creationId xmlns:a16="http://schemas.microsoft.com/office/drawing/2014/main" id="{00000000-0008-0000-0000-00006F010000}"/>
            </a:ext>
          </a:extLst>
        </xdr:cNvPr>
        <xdr:cNvSpPr txBox="1"/>
      </xdr:nvSpPr>
      <xdr:spPr>
        <a:xfrm>
          <a:off x="8267700" y="34739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5237" name="TextBox 5236">
          <a:extLst>
            <a:ext uri="{FF2B5EF4-FFF2-40B4-BE49-F238E27FC236}">
              <a16:creationId xmlns:a16="http://schemas.microsoft.com/office/drawing/2014/main" id="{00000000-0008-0000-0000-000070010000}"/>
            </a:ext>
          </a:extLst>
        </xdr:cNvPr>
        <xdr:cNvSpPr txBox="1"/>
      </xdr:nvSpPr>
      <xdr:spPr>
        <a:xfrm>
          <a:off x="8267700" y="34739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5238" name="TextBox 5237">
          <a:extLst>
            <a:ext uri="{FF2B5EF4-FFF2-40B4-BE49-F238E27FC236}">
              <a16:creationId xmlns:a16="http://schemas.microsoft.com/office/drawing/2014/main" id="{00000000-0008-0000-0000-000071010000}"/>
            </a:ext>
          </a:extLst>
        </xdr:cNvPr>
        <xdr:cNvSpPr txBox="1"/>
      </xdr:nvSpPr>
      <xdr:spPr>
        <a:xfrm>
          <a:off x="8267700" y="34739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5239" name="TextBox 5238">
          <a:extLst>
            <a:ext uri="{FF2B5EF4-FFF2-40B4-BE49-F238E27FC236}">
              <a16:creationId xmlns:a16="http://schemas.microsoft.com/office/drawing/2014/main" id="{00000000-0008-0000-0000-000072010000}"/>
            </a:ext>
          </a:extLst>
        </xdr:cNvPr>
        <xdr:cNvSpPr txBox="1"/>
      </xdr:nvSpPr>
      <xdr:spPr>
        <a:xfrm>
          <a:off x="8267700" y="34739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5240" name="TextBox 5239">
          <a:extLst>
            <a:ext uri="{FF2B5EF4-FFF2-40B4-BE49-F238E27FC236}">
              <a16:creationId xmlns:a16="http://schemas.microsoft.com/office/drawing/2014/main" id="{00000000-0008-0000-0000-000073010000}"/>
            </a:ext>
          </a:extLst>
        </xdr:cNvPr>
        <xdr:cNvSpPr txBox="1"/>
      </xdr:nvSpPr>
      <xdr:spPr>
        <a:xfrm>
          <a:off x="8267700" y="34739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5241" name="TextBox 5240">
          <a:extLst>
            <a:ext uri="{FF2B5EF4-FFF2-40B4-BE49-F238E27FC236}">
              <a16:creationId xmlns:a16="http://schemas.microsoft.com/office/drawing/2014/main" id="{00000000-0008-0000-0000-000074010000}"/>
            </a:ext>
          </a:extLst>
        </xdr:cNvPr>
        <xdr:cNvSpPr txBox="1"/>
      </xdr:nvSpPr>
      <xdr:spPr>
        <a:xfrm>
          <a:off x="8267700" y="34739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5242" name="TextBox 5241">
          <a:extLst>
            <a:ext uri="{FF2B5EF4-FFF2-40B4-BE49-F238E27FC236}">
              <a16:creationId xmlns:a16="http://schemas.microsoft.com/office/drawing/2014/main" id="{00000000-0008-0000-0000-000075010000}"/>
            </a:ext>
          </a:extLst>
        </xdr:cNvPr>
        <xdr:cNvSpPr txBox="1"/>
      </xdr:nvSpPr>
      <xdr:spPr>
        <a:xfrm>
          <a:off x="8267700" y="34739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5243" name="TextBox 5242">
          <a:extLst>
            <a:ext uri="{FF2B5EF4-FFF2-40B4-BE49-F238E27FC236}">
              <a16:creationId xmlns:a16="http://schemas.microsoft.com/office/drawing/2014/main" id="{00000000-0008-0000-0000-000076010000}"/>
            </a:ext>
          </a:extLst>
        </xdr:cNvPr>
        <xdr:cNvSpPr txBox="1"/>
      </xdr:nvSpPr>
      <xdr:spPr>
        <a:xfrm>
          <a:off x="8267700" y="34739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5244" name="TextBox 5243">
          <a:extLst>
            <a:ext uri="{FF2B5EF4-FFF2-40B4-BE49-F238E27FC236}">
              <a16:creationId xmlns:a16="http://schemas.microsoft.com/office/drawing/2014/main" id="{00000000-0008-0000-0000-000077010000}"/>
            </a:ext>
          </a:extLst>
        </xdr:cNvPr>
        <xdr:cNvSpPr txBox="1"/>
      </xdr:nvSpPr>
      <xdr:spPr>
        <a:xfrm>
          <a:off x="8267700" y="34739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5245" name="TextBox 5244">
          <a:extLst>
            <a:ext uri="{FF2B5EF4-FFF2-40B4-BE49-F238E27FC236}">
              <a16:creationId xmlns:a16="http://schemas.microsoft.com/office/drawing/2014/main" id="{00000000-0008-0000-0000-000078010000}"/>
            </a:ext>
          </a:extLst>
        </xdr:cNvPr>
        <xdr:cNvSpPr txBox="1"/>
      </xdr:nvSpPr>
      <xdr:spPr>
        <a:xfrm>
          <a:off x="8267700" y="34739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5246" name="TextBox 5245">
          <a:extLst>
            <a:ext uri="{FF2B5EF4-FFF2-40B4-BE49-F238E27FC236}">
              <a16:creationId xmlns:a16="http://schemas.microsoft.com/office/drawing/2014/main" id="{00000000-0008-0000-0000-000079010000}"/>
            </a:ext>
          </a:extLst>
        </xdr:cNvPr>
        <xdr:cNvSpPr txBox="1"/>
      </xdr:nvSpPr>
      <xdr:spPr>
        <a:xfrm>
          <a:off x="8267700" y="34739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5247" name="TextBox 5246">
          <a:extLst>
            <a:ext uri="{FF2B5EF4-FFF2-40B4-BE49-F238E27FC236}">
              <a16:creationId xmlns:a16="http://schemas.microsoft.com/office/drawing/2014/main" id="{00000000-0008-0000-0000-00007A010000}"/>
            </a:ext>
          </a:extLst>
        </xdr:cNvPr>
        <xdr:cNvSpPr txBox="1"/>
      </xdr:nvSpPr>
      <xdr:spPr>
        <a:xfrm>
          <a:off x="8267700" y="34739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5248" name="TextBox 5247">
          <a:extLst>
            <a:ext uri="{FF2B5EF4-FFF2-40B4-BE49-F238E27FC236}">
              <a16:creationId xmlns:a16="http://schemas.microsoft.com/office/drawing/2014/main" id="{00000000-0008-0000-0000-00007B010000}"/>
            </a:ext>
          </a:extLst>
        </xdr:cNvPr>
        <xdr:cNvSpPr txBox="1"/>
      </xdr:nvSpPr>
      <xdr:spPr>
        <a:xfrm>
          <a:off x="8267700" y="34739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5249" name="TextBox 5248">
          <a:extLst>
            <a:ext uri="{FF2B5EF4-FFF2-40B4-BE49-F238E27FC236}">
              <a16:creationId xmlns:a16="http://schemas.microsoft.com/office/drawing/2014/main" id="{00000000-0008-0000-0000-00007C010000}"/>
            </a:ext>
          </a:extLst>
        </xdr:cNvPr>
        <xdr:cNvSpPr txBox="1"/>
      </xdr:nvSpPr>
      <xdr:spPr>
        <a:xfrm>
          <a:off x="8267700" y="34739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5250" name="TextBox 5249">
          <a:extLst>
            <a:ext uri="{FF2B5EF4-FFF2-40B4-BE49-F238E27FC236}">
              <a16:creationId xmlns:a16="http://schemas.microsoft.com/office/drawing/2014/main" id="{00000000-0008-0000-0000-00007D010000}"/>
            </a:ext>
          </a:extLst>
        </xdr:cNvPr>
        <xdr:cNvSpPr txBox="1"/>
      </xdr:nvSpPr>
      <xdr:spPr>
        <a:xfrm>
          <a:off x="8267700" y="34739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5251" name="TextBox 5250">
          <a:extLst>
            <a:ext uri="{FF2B5EF4-FFF2-40B4-BE49-F238E27FC236}">
              <a16:creationId xmlns:a16="http://schemas.microsoft.com/office/drawing/2014/main" id="{00000000-0008-0000-0000-00007E010000}"/>
            </a:ext>
          </a:extLst>
        </xdr:cNvPr>
        <xdr:cNvSpPr txBox="1"/>
      </xdr:nvSpPr>
      <xdr:spPr>
        <a:xfrm>
          <a:off x="8267700" y="34739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5252" name="TextBox 5251">
          <a:extLst>
            <a:ext uri="{FF2B5EF4-FFF2-40B4-BE49-F238E27FC236}">
              <a16:creationId xmlns:a16="http://schemas.microsoft.com/office/drawing/2014/main" id="{00000000-0008-0000-0000-00007F010000}"/>
            </a:ext>
          </a:extLst>
        </xdr:cNvPr>
        <xdr:cNvSpPr txBox="1"/>
      </xdr:nvSpPr>
      <xdr:spPr>
        <a:xfrm>
          <a:off x="8267700" y="34739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5253" name="TextBox 5252">
          <a:extLst>
            <a:ext uri="{FF2B5EF4-FFF2-40B4-BE49-F238E27FC236}">
              <a16:creationId xmlns:a16="http://schemas.microsoft.com/office/drawing/2014/main" id="{00000000-0008-0000-0000-000080010000}"/>
            </a:ext>
          </a:extLst>
        </xdr:cNvPr>
        <xdr:cNvSpPr txBox="1"/>
      </xdr:nvSpPr>
      <xdr:spPr>
        <a:xfrm>
          <a:off x="8267700" y="34739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5254" name="TextBox 5253">
          <a:extLst>
            <a:ext uri="{FF2B5EF4-FFF2-40B4-BE49-F238E27FC236}">
              <a16:creationId xmlns:a16="http://schemas.microsoft.com/office/drawing/2014/main" id="{00000000-0008-0000-0000-000081010000}"/>
            </a:ext>
          </a:extLst>
        </xdr:cNvPr>
        <xdr:cNvSpPr txBox="1"/>
      </xdr:nvSpPr>
      <xdr:spPr>
        <a:xfrm>
          <a:off x="8267700" y="34739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5255" name="TextBox 5254">
          <a:extLst>
            <a:ext uri="{FF2B5EF4-FFF2-40B4-BE49-F238E27FC236}">
              <a16:creationId xmlns:a16="http://schemas.microsoft.com/office/drawing/2014/main" id="{00000000-0008-0000-0000-000082010000}"/>
            </a:ext>
          </a:extLst>
        </xdr:cNvPr>
        <xdr:cNvSpPr txBox="1"/>
      </xdr:nvSpPr>
      <xdr:spPr>
        <a:xfrm>
          <a:off x="8267700" y="34739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5256" name="TextBox 5255">
          <a:extLst>
            <a:ext uri="{FF2B5EF4-FFF2-40B4-BE49-F238E27FC236}">
              <a16:creationId xmlns:a16="http://schemas.microsoft.com/office/drawing/2014/main" id="{00000000-0008-0000-0000-000083010000}"/>
            </a:ext>
          </a:extLst>
        </xdr:cNvPr>
        <xdr:cNvSpPr txBox="1"/>
      </xdr:nvSpPr>
      <xdr:spPr>
        <a:xfrm>
          <a:off x="8267700" y="34739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5257" name="TextBox 5256">
          <a:extLst>
            <a:ext uri="{FF2B5EF4-FFF2-40B4-BE49-F238E27FC236}">
              <a16:creationId xmlns:a16="http://schemas.microsoft.com/office/drawing/2014/main" id="{00000000-0008-0000-0000-000084010000}"/>
            </a:ext>
          </a:extLst>
        </xdr:cNvPr>
        <xdr:cNvSpPr txBox="1"/>
      </xdr:nvSpPr>
      <xdr:spPr>
        <a:xfrm>
          <a:off x="8267700" y="34739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5258" name="TextBox 5257">
          <a:extLst>
            <a:ext uri="{FF2B5EF4-FFF2-40B4-BE49-F238E27FC236}">
              <a16:creationId xmlns:a16="http://schemas.microsoft.com/office/drawing/2014/main" id="{00000000-0008-0000-0000-000085010000}"/>
            </a:ext>
          </a:extLst>
        </xdr:cNvPr>
        <xdr:cNvSpPr txBox="1"/>
      </xdr:nvSpPr>
      <xdr:spPr>
        <a:xfrm>
          <a:off x="8267700" y="34739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5259" name="TextBox 5258">
          <a:extLst>
            <a:ext uri="{FF2B5EF4-FFF2-40B4-BE49-F238E27FC236}">
              <a16:creationId xmlns:a16="http://schemas.microsoft.com/office/drawing/2014/main" id="{00000000-0008-0000-0000-000086010000}"/>
            </a:ext>
          </a:extLst>
        </xdr:cNvPr>
        <xdr:cNvSpPr txBox="1"/>
      </xdr:nvSpPr>
      <xdr:spPr>
        <a:xfrm>
          <a:off x="8267700" y="34739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5260" name="TextBox 5259">
          <a:extLst>
            <a:ext uri="{FF2B5EF4-FFF2-40B4-BE49-F238E27FC236}">
              <a16:creationId xmlns:a16="http://schemas.microsoft.com/office/drawing/2014/main" id="{00000000-0008-0000-0000-000087010000}"/>
            </a:ext>
          </a:extLst>
        </xdr:cNvPr>
        <xdr:cNvSpPr txBox="1"/>
      </xdr:nvSpPr>
      <xdr:spPr>
        <a:xfrm>
          <a:off x="8267700" y="34739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5261" name="TextBox 5260">
          <a:extLst>
            <a:ext uri="{FF2B5EF4-FFF2-40B4-BE49-F238E27FC236}">
              <a16:creationId xmlns:a16="http://schemas.microsoft.com/office/drawing/2014/main" id="{00000000-0008-0000-0000-000088010000}"/>
            </a:ext>
          </a:extLst>
        </xdr:cNvPr>
        <xdr:cNvSpPr txBox="1"/>
      </xdr:nvSpPr>
      <xdr:spPr>
        <a:xfrm>
          <a:off x="8267700" y="34739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5262" name="TextBox 5261">
          <a:extLst>
            <a:ext uri="{FF2B5EF4-FFF2-40B4-BE49-F238E27FC236}">
              <a16:creationId xmlns:a16="http://schemas.microsoft.com/office/drawing/2014/main" id="{00000000-0008-0000-0000-000089010000}"/>
            </a:ext>
          </a:extLst>
        </xdr:cNvPr>
        <xdr:cNvSpPr txBox="1"/>
      </xdr:nvSpPr>
      <xdr:spPr>
        <a:xfrm>
          <a:off x="8267700" y="34739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5263" name="TextBox 5262">
          <a:extLst>
            <a:ext uri="{FF2B5EF4-FFF2-40B4-BE49-F238E27FC236}">
              <a16:creationId xmlns:a16="http://schemas.microsoft.com/office/drawing/2014/main" id="{00000000-0008-0000-0000-00008A010000}"/>
            </a:ext>
          </a:extLst>
        </xdr:cNvPr>
        <xdr:cNvSpPr txBox="1"/>
      </xdr:nvSpPr>
      <xdr:spPr>
        <a:xfrm>
          <a:off x="8267700" y="34739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5264" name="TextBox 5263">
          <a:extLst>
            <a:ext uri="{FF2B5EF4-FFF2-40B4-BE49-F238E27FC236}">
              <a16:creationId xmlns:a16="http://schemas.microsoft.com/office/drawing/2014/main" id="{00000000-0008-0000-0000-00008B010000}"/>
            </a:ext>
          </a:extLst>
        </xdr:cNvPr>
        <xdr:cNvSpPr txBox="1"/>
      </xdr:nvSpPr>
      <xdr:spPr>
        <a:xfrm>
          <a:off x="8267700" y="34739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5265" name="TextBox 5264">
          <a:extLst>
            <a:ext uri="{FF2B5EF4-FFF2-40B4-BE49-F238E27FC236}">
              <a16:creationId xmlns:a16="http://schemas.microsoft.com/office/drawing/2014/main" id="{00000000-0008-0000-0000-00008C010000}"/>
            </a:ext>
          </a:extLst>
        </xdr:cNvPr>
        <xdr:cNvSpPr txBox="1"/>
      </xdr:nvSpPr>
      <xdr:spPr>
        <a:xfrm>
          <a:off x="8267700" y="34739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5266" name="TextBox 5265">
          <a:extLst>
            <a:ext uri="{FF2B5EF4-FFF2-40B4-BE49-F238E27FC236}">
              <a16:creationId xmlns:a16="http://schemas.microsoft.com/office/drawing/2014/main" id="{00000000-0008-0000-0000-00008D010000}"/>
            </a:ext>
          </a:extLst>
        </xdr:cNvPr>
        <xdr:cNvSpPr txBox="1"/>
      </xdr:nvSpPr>
      <xdr:spPr>
        <a:xfrm>
          <a:off x="8267700" y="34739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5267" name="TextBox 5266">
          <a:extLst>
            <a:ext uri="{FF2B5EF4-FFF2-40B4-BE49-F238E27FC236}">
              <a16:creationId xmlns:a16="http://schemas.microsoft.com/office/drawing/2014/main" id="{00000000-0008-0000-0000-00008E010000}"/>
            </a:ext>
          </a:extLst>
        </xdr:cNvPr>
        <xdr:cNvSpPr txBox="1"/>
      </xdr:nvSpPr>
      <xdr:spPr>
        <a:xfrm>
          <a:off x="8267700" y="34739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5268" name="TextBox 5267">
          <a:extLst>
            <a:ext uri="{FF2B5EF4-FFF2-40B4-BE49-F238E27FC236}">
              <a16:creationId xmlns:a16="http://schemas.microsoft.com/office/drawing/2014/main" id="{00000000-0008-0000-0000-00008F010000}"/>
            </a:ext>
          </a:extLst>
        </xdr:cNvPr>
        <xdr:cNvSpPr txBox="1"/>
      </xdr:nvSpPr>
      <xdr:spPr>
        <a:xfrm>
          <a:off x="8267700" y="34739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5269" name="TextBox 5268">
          <a:extLst>
            <a:ext uri="{FF2B5EF4-FFF2-40B4-BE49-F238E27FC236}">
              <a16:creationId xmlns:a16="http://schemas.microsoft.com/office/drawing/2014/main" id="{00000000-0008-0000-0000-000090010000}"/>
            </a:ext>
          </a:extLst>
        </xdr:cNvPr>
        <xdr:cNvSpPr txBox="1"/>
      </xdr:nvSpPr>
      <xdr:spPr>
        <a:xfrm>
          <a:off x="8267700" y="34739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5270" name="TextBox 5269">
          <a:extLst>
            <a:ext uri="{FF2B5EF4-FFF2-40B4-BE49-F238E27FC236}">
              <a16:creationId xmlns:a16="http://schemas.microsoft.com/office/drawing/2014/main" id="{00000000-0008-0000-0000-000091010000}"/>
            </a:ext>
          </a:extLst>
        </xdr:cNvPr>
        <xdr:cNvSpPr txBox="1"/>
      </xdr:nvSpPr>
      <xdr:spPr>
        <a:xfrm>
          <a:off x="8267700" y="34739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5271" name="TextBox 5270">
          <a:extLst>
            <a:ext uri="{FF2B5EF4-FFF2-40B4-BE49-F238E27FC236}">
              <a16:creationId xmlns:a16="http://schemas.microsoft.com/office/drawing/2014/main" id="{00000000-0008-0000-0000-000092010000}"/>
            </a:ext>
          </a:extLst>
        </xdr:cNvPr>
        <xdr:cNvSpPr txBox="1"/>
      </xdr:nvSpPr>
      <xdr:spPr>
        <a:xfrm>
          <a:off x="8267700" y="34739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5272" name="TextBox 5271">
          <a:extLst>
            <a:ext uri="{FF2B5EF4-FFF2-40B4-BE49-F238E27FC236}">
              <a16:creationId xmlns:a16="http://schemas.microsoft.com/office/drawing/2014/main" id="{00000000-0008-0000-0000-000093010000}"/>
            </a:ext>
          </a:extLst>
        </xdr:cNvPr>
        <xdr:cNvSpPr txBox="1"/>
      </xdr:nvSpPr>
      <xdr:spPr>
        <a:xfrm>
          <a:off x="8267700" y="34739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5273" name="TextBox 5272">
          <a:extLst>
            <a:ext uri="{FF2B5EF4-FFF2-40B4-BE49-F238E27FC236}">
              <a16:creationId xmlns:a16="http://schemas.microsoft.com/office/drawing/2014/main" id="{00000000-0008-0000-0000-000094010000}"/>
            </a:ext>
          </a:extLst>
        </xdr:cNvPr>
        <xdr:cNvSpPr txBox="1"/>
      </xdr:nvSpPr>
      <xdr:spPr>
        <a:xfrm>
          <a:off x="8267700" y="34739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5274" name="TextBox 5273">
          <a:extLst>
            <a:ext uri="{FF2B5EF4-FFF2-40B4-BE49-F238E27FC236}">
              <a16:creationId xmlns:a16="http://schemas.microsoft.com/office/drawing/2014/main" id="{00000000-0008-0000-0000-000095010000}"/>
            </a:ext>
          </a:extLst>
        </xdr:cNvPr>
        <xdr:cNvSpPr txBox="1"/>
      </xdr:nvSpPr>
      <xdr:spPr>
        <a:xfrm>
          <a:off x="8267700" y="34739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5275" name="TextBox 5274">
          <a:extLst>
            <a:ext uri="{FF2B5EF4-FFF2-40B4-BE49-F238E27FC236}">
              <a16:creationId xmlns:a16="http://schemas.microsoft.com/office/drawing/2014/main" id="{00000000-0008-0000-0000-000096010000}"/>
            </a:ext>
          </a:extLst>
        </xdr:cNvPr>
        <xdr:cNvSpPr txBox="1"/>
      </xdr:nvSpPr>
      <xdr:spPr>
        <a:xfrm>
          <a:off x="8267700" y="34739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5276" name="TextBox 5275">
          <a:extLst>
            <a:ext uri="{FF2B5EF4-FFF2-40B4-BE49-F238E27FC236}">
              <a16:creationId xmlns:a16="http://schemas.microsoft.com/office/drawing/2014/main" id="{00000000-0008-0000-0000-000097010000}"/>
            </a:ext>
          </a:extLst>
        </xdr:cNvPr>
        <xdr:cNvSpPr txBox="1"/>
      </xdr:nvSpPr>
      <xdr:spPr>
        <a:xfrm>
          <a:off x="8267700" y="34739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5277" name="TextBox 5276">
          <a:extLst>
            <a:ext uri="{FF2B5EF4-FFF2-40B4-BE49-F238E27FC236}">
              <a16:creationId xmlns:a16="http://schemas.microsoft.com/office/drawing/2014/main" id="{00000000-0008-0000-0000-000098010000}"/>
            </a:ext>
          </a:extLst>
        </xdr:cNvPr>
        <xdr:cNvSpPr txBox="1"/>
      </xdr:nvSpPr>
      <xdr:spPr>
        <a:xfrm>
          <a:off x="8267700" y="34739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5278" name="TextBox 5277">
          <a:extLst>
            <a:ext uri="{FF2B5EF4-FFF2-40B4-BE49-F238E27FC236}">
              <a16:creationId xmlns:a16="http://schemas.microsoft.com/office/drawing/2014/main" id="{00000000-0008-0000-0000-000099010000}"/>
            </a:ext>
          </a:extLst>
        </xdr:cNvPr>
        <xdr:cNvSpPr txBox="1"/>
      </xdr:nvSpPr>
      <xdr:spPr>
        <a:xfrm>
          <a:off x="8267700" y="34739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5279" name="TextBox 5278">
          <a:extLst>
            <a:ext uri="{FF2B5EF4-FFF2-40B4-BE49-F238E27FC236}">
              <a16:creationId xmlns:a16="http://schemas.microsoft.com/office/drawing/2014/main" id="{00000000-0008-0000-0000-00009A010000}"/>
            </a:ext>
          </a:extLst>
        </xdr:cNvPr>
        <xdr:cNvSpPr txBox="1"/>
      </xdr:nvSpPr>
      <xdr:spPr>
        <a:xfrm>
          <a:off x="8267700" y="34739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5280" name="TextBox 5279">
          <a:extLst>
            <a:ext uri="{FF2B5EF4-FFF2-40B4-BE49-F238E27FC236}">
              <a16:creationId xmlns:a16="http://schemas.microsoft.com/office/drawing/2014/main" id="{00000000-0008-0000-0000-00009B010000}"/>
            </a:ext>
          </a:extLst>
        </xdr:cNvPr>
        <xdr:cNvSpPr txBox="1"/>
      </xdr:nvSpPr>
      <xdr:spPr>
        <a:xfrm>
          <a:off x="8267700" y="34739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5281" name="TextBox 5280">
          <a:extLst>
            <a:ext uri="{FF2B5EF4-FFF2-40B4-BE49-F238E27FC236}">
              <a16:creationId xmlns:a16="http://schemas.microsoft.com/office/drawing/2014/main" id="{00000000-0008-0000-0000-00009C010000}"/>
            </a:ext>
          </a:extLst>
        </xdr:cNvPr>
        <xdr:cNvSpPr txBox="1"/>
      </xdr:nvSpPr>
      <xdr:spPr>
        <a:xfrm>
          <a:off x="8267700" y="34739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5282" name="TextBox 5281">
          <a:extLst>
            <a:ext uri="{FF2B5EF4-FFF2-40B4-BE49-F238E27FC236}">
              <a16:creationId xmlns:a16="http://schemas.microsoft.com/office/drawing/2014/main" id="{00000000-0008-0000-0000-00009D010000}"/>
            </a:ext>
          </a:extLst>
        </xdr:cNvPr>
        <xdr:cNvSpPr txBox="1"/>
      </xdr:nvSpPr>
      <xdr:spPr>
        <a:xfrm>
          <a:off x="8267700" y="34739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5283" name="TextBox 5282">
          <a:extLst>
            <a:ext uri="{FF2B5EF4-FFF2-40B4-BE49-F238E27FC236}">
              <a16:creationId xmlns:a16="http://schemas.microsoft.com/office/drawing/2014/main" id="{00000000-0008-0000-0000-00009E010000}"/>
            </a:ext>
          </a:extLst>
        </xdr:cNvPr>
        <xdr:cNvSpPr txBox="1"/>
      </xdr:nvSpPr>
      <xdr:spPr>
        <a:xfrm>
          <a:off x="8267700" y="34739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5284" name="TextBox 5283">
          <a:extLst>
            <a:ext uri="{FF2B5EF4-FFF2-40B4-BE49-F238E27FC236}">
              <a16:creationId xmlns:a16="http://schemas.microsoft.com/office/drawing/2014/main" id="{00000000-0008-0000-0000-00009F010000}"/>
            </a:ext>
          </a:extLst>
        </xdr:cNvPr>
        <xdr:cNvSpPr txBox="1"/>
      </xdr:nvSpPr>
      <xdr:spPr>
        <a:xfrm>
          <a:off x="8267700" y="34739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5285" name="TextBox 5284">
          <a:extLst>
            <a:ext uri="{FF2B5EF4-FFF2-40B4-BE49-F238E27FC236}">
              <a16:creationId xmlns:a16="http://schemas.microsoft.com/office/drawing/2014/main" id="{00000000-0008-0000-0000-0000A0010000}"/>
            </a:ext>
          </a:extLst>
        </xdr:cNvPr>
        <xdr:cNvSpPr txBox="1"/>
      </xdr:nvSpPr>
      <xdr:spPr>
        <a:xfrm>
          <a:off x="8267700" y="34739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5286" name="TextBox 5285">
          <a:extLst>
            <a:ext uri="{FF2B5EF4-FFF2-40B4-BE49-F238E27FC236}">
              <a16:creationId xmlns:a16="http://schemas.microsoft.com/office/drawing/2014/main" id="{00000000-0008-0000-0000-0000A1010000}"/>
            </a:ext>
          </a:extLst>
        </xdr:cNvPr>
        <xdr:cNvSpPr txBox="1"/>
      </xdr:nvSpPr>
      <xdr:spPr>
        <a:xfrm>
          <a:off x="8267700" y="34739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5287" name="TextBox 5286">
          <a:extLst>
            <a:ext uri="{FF2B5EF4-FFF2-40B4-BE49-F238E27FC236}">
              <a16:creationId xmlns:a16="http://schemas.microsoft.com/office/drawing/2014/main" id="{00000000-0008-0000-0000-0000A2010000}"/>
            </a:ext>
          </a:extLst>
        </xdr:cNvPr>
        <xdr:cNvSpPr txBox="1"/>
      </xdr:nvSpPr>
      <xdr:spPr>
        <a:xfrm>
          <a:off x="8267700" y="34739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5288" name="TextBox 5287">
          <a:extLst>
            <a:ext uri="{FF2B5EF4-FFF2-40B4-BE49-F238E27FC236}">
              <a16:creationId xmlns:a16="http://schemas.microsoft.com/office/drawing/2014/main" id="{00000000-0008-0000-0000-0000A3010000}"/>
            </a:ext>
          </a:extLst>
        </xdr:cNvPr>
        <xdr:cNvSpPr txBox="1"/>
      </xdr:nvSpPr>
      <xdr:spPr>
        <a:xfrm>
          <a:off x="8267700" y="34739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5289" name="TextBox 5288">
          <a:extLst>
            <a:ext uri="{FF2B5EF4-FFF2-40B4-BE49-F238E27FC236}">
              <a16:creationId xmlns:a16="http://schemas.microsoft.com/office/drawing/2014/main" id="{00000000-0008-0000-0000-0000A4010000}"/>
            </a:ext>
          </a:extLst>
        </xdr:cNvPr>
        <xdr:cNvSpPr txBox="1"/>
      </xdr:nvSpPr>
      <xdr:spPr>
        <a:xfrm>
          <a:off x="8267700" y="34739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5290" name="TextBox 5289">
          <a:extLst>
            <a:ext uri="{FF2B5EF4-FFF2-40B4-BE49-F238E27FC236}">
              <a16:creationId xmlns:a16="http://schemas.microsoft.com/office/drawing/2014/main" id="{00000000-0008-0000-0000-0000A5010000}"/>
            </a:ext>
          </a:extLst>
        </xdr:cNvPr>
        <xdr:cNvSpPr txBox="1"/>
      </xdr:nvSpPr>
      <xdr:spPr>
        <a:xfrm>
          <a:off x="8267700" y="34739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5291" name="TextBox 5290">
          <a:extLst>
            <a:ext uri="{FF2B5EF4-FFF2-40B4-BE49-F238E27FC236}">
              <a16:creationId xmlns:a16="http://schemas.microsoft.com/office/drawing/2014/main" id="{00000000-0008-0000-0000-0000A6010000}"/>
            </a:ext>
          </a:extLst>
        </xdr:cNvPr>
        <xdr:cNvSpPr txBox="1"/>
      </xdr:nvSpPr>
      <xdr:spPr>
        <a:xfrm>
          <a:off x="8267700" y="34739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5292" name="TextBox 5291">
          <a:extLst>
            <a:ext uri="{FF2B5EF4-FFF2-40B4-BE49-F238E27FC236}">
              <a16:creationId xmlns:a16="http://schemas.microsoft.com/office/drawing/2014/main" id="{00000000-0008-0000-0000-0000A7010000}"/>
            </a:ext>
          </a:extLst>
        </xdr:cNvPr>
        <xdr:cNvSpPr txBox="1"/>
      </xdr:nvSpPr>
      <xdr:spPr>
        <a:xfrm>
          <a:off x="8267700" y="34739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5293" name="TextBox 5292">
          <a:extLst>
            <a:ext uri="{FF2B5EF4-FFF2-40B4-BE49-F238E27FC236}">
              <a16:creationId xmlns:a16="http://schemas.microsoft.com/office/drawing/2014/main" id="{00000000-0008-0000-0000-0000A8010000}"/>
            </a:ext>
          </a:extLst>
        </xdr:cNvPr>
        <xdr:cNvSpPr txBox="1"/>
      </xdr:nvSpPr>
      <xdr:spPr>
        <a:xfrm>
          <a:off x="12580620" y="34739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5294" name="TextBox 5293">
          <a:extLst>
            <a:ext uri="{FF2B5EF4-FFF2-40B4-BE49-F238E27FC236}">
              <a16:creationId xmlns:a16="http://schemas.microsoft.com/office/drawing/2014/main" id="{00000000-0008-0000-0000-0000A9010000}"/>
            </a:ext>
          </a:extLst>
        </xdr:cNvPr>
        <xdr:cNvSpPr txBox="1"/>
      </xdr:nvSpPr>
      <xdr:spPr>
        <a:xfrm>
          <a:off x="12580620" y="34739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5295" name="TextBox 5294">
          <a:extLst>
            <a:ext uri="{FF2B5EF4-FFF2-40B4-BE49-F238E27FC236}">
              <a16:creationId xmlns:a16="http://schemas.microsoft.com/office/drawing/2014/main" id="{00000000-0008-0000-0000-0000AA010000}"/>
            </a:ext>
          </a:extLst>
        </xdr:cNvPr>
        <xdr:cNvSpPr txBox="1"/>
      </xdr:nvSpPr>
      <xdr:spPr>
        <a:xfrm>
          <a:off x="12580620" y="34739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5296" name="TextBox 5295">
          <a:extLst>
            <a:ext uri="{FF2B5EF4-FFF2-40B4-BE49-F238E27FC236}">
              <a16:creationId xmlns:a16="http://schemas.microsoft.com/office/drawing/2014/main" id="{00000000-0008-0000-0000-0000AB010000}"/>
            </a:ext>
          </a:extLst>
        </xdr:cNvPr>
        <xdr:cNvSpPr txBox="1"/>
      </xdr:nvSpPr>
      <xdr:spPr>
        <a:xfrm>
          <a:off x="12580620" y="34739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5297" name="TextBox 5296">
          <a:extLst>
            <a:ext uri="{FF2B5EF4-FFF2-40B4-BE49-F238E27FC236}">
              <a16:creationId xmlns:a16="http://schemas.microsoft.com/office/drawing/2014/main" id="{00000000-0008-0000-0000-0000AC010000}"/>
            </a:ext>
          </a:extLst>
        </xdr:cNvPr>
        <xdr:cNvSpPr txBox="1"/>
      </xdr:nvSpPr>
      <xdr:spPr>
        <a:xfrm>
          <a:off x="12580620" y="34739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5298" name="TextBox 5297">
          <a:extLst>
            <a:ext uri="{FF2B5EF4-FFF2-40B4-BE49-F238E27FC236}">
              <a16:creationId xmlns:a16="http://schemas.microsoft.com/office/drawing/2014/main" id="{00000000-0008-0000-0000-0000AD010000}"/>
            </a:ext>
          </a:extLst>
        </xdr:cNvPr>
        <xdr:cNvSpPr txBox="1"/>
      </xdr:nvSpPr>
      <xdr:spPr>
        <a:xfrm>
          <a:off x="12580620" y="34739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5299" name="TextBox 5298">
          <a:extLst>
            <a:ext uri="{FF2B5EF4-FFF2-40B4-BE49-F238E27FC236}">
              <a16:creationId xmlns:a16="http://schemas.microsoft.com/office/drawing/2014/main" id="{00000000-0008-0000-0000-0000AE010000}"/>
            </a:ext>
          </a:extLst>
        </xdr:cNvPr>
        <xdr:cNvSpPr txBox="1"/>
      </xdr:nvSpPr>
      <xdr:spPr>
        <a:xfrm>
          <a:off x="12580620" y="34739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5300" name="TextBox 5299">
          <a:extLst>
            <a:ext uri="{FF2B5EF4-FFF2-40B4-BE49-F238E27FC236}">
              <a16:creationId xmlns:a16="http://schemas.microsoft.com/office/drawing/2014/main" id="{00000000-0008-0000-0000-0000AF010000}"/>
            </a:ext>
          </a:extLst>
        </xdr:cNvPr>
        <xdr:cNvSpPr txBox="1"/>
      </xdr:nvSpPr>
      <xdr:spPr>
        <a:xfrm>
          <a:off x="12580620" y="34739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5301" name="TextBox 5300">
          <a:extLst>
            <a:ext uri="{FF2B5EF4-FFF2-40B4-BE49-F238E27FC236}">
              <a16:creationId xmlns:a16="http://schemas.microsoft.com/office/drawing/2014/main" id="{00000000-0008-0000-0000-0000B0010000}"/>
            </a:ext>
          </a:extLst>
        </xdr:cNvPr>
        <xdr:cNvSpPr txBox="1"/>
      </xdr:nvSpPr>
      <xdr:spPr>
        <a:xfrm>
          <a:off x="8267700" y="33550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5302" name="TextBox 5301">
          <a:extLst>
            <a:ext uri="{FF2B5EF4-FFF2-40B4-BE49-F238E27FC236}">
              <a16:creationId xmlns:a16="http://schemas.microsoft.com/office/drawing/2014/main" id="{00000000-0008-0000-0000-0000B1010000}"/>
            </a:ext>
          </a:extLst>
        </xdr:cNvPr>
        <xdr:cNvSpPr txBox="1"/>
      </xdr:nvSpPr>
      <xdr:spPr>
        <a:xfrm>
          <a:off x="8267700" y="33550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5303" name="TextBox 5302">
          <a:extLst>
            <a:ext uri="{FF2B5EF4-FFF2-40B4-BE49-F238E27FC236}">
              <a16:creationId xmlns:a16="http://schemas.microsoft.com/office/drawing/2014/main" id="{00000000-0008-0000-0000-0000B2010000}"/>
            </a:ext>
          </a:extLst>
        </xdr:cNvPr>
        <xdr:cNvSpPr txBox="1"/>
      </xdr:nvSpPr>
      <xdr:spPr>
        <a:xfrm>
          <a:off x="12580620" y="3394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5304" name="TextBox 5303">
          <a:extLst>
            <a:ext uri="{FF2B5EF4-FFF2-40B4-BE49-F238E27FC236}">
              <a16:creationId xmlns:a16="http://schemas.microsoft.com/office/drawing/2014/main" id="{00000000-0008-0000-0000-0000B3010000}"/>
            </a:ext>
          </a:extLst>
        </xdr:cNvPr>
        <xdr:cNvSpPr txBox="1"/>
      </xdr:nvSpPr>
      <xdr:spPr>
        <a:xfrm>
          <a:off x="12580620" y="3394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5305" name="TextBox 5304">
          <a:extLst>
            <a:ext uri="{FF2B5EF4-FFF2-40B4-BE49-F238E27FC236}">
              <a16:creationId xmlns:a16="http://schemas.microsoft.com/office/drawing/2014/main" id="{00000000-0008-0000-0000-0000B4010000}"/>
            </a:ext>
          </a:extLst>
        </xdr:cNvPr>
        <xdr:cNvSpPr txBox="1"/>
      </xdr:nvSpPr>
      <xdr:spPr>
        <a:xfrm>
          <a:off x="12580620" y="3394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5306" name="TextBox 5305">
          <a:extLst>
            <a:ext uri="{FF2B5EF4-FFF2-40B4-BE49-F238E27FC236}">
              <a16:creationId xmlns:a16="http://schemas.microsoft.com/office/drawing/2014/main" id="{00000000-0008-0000-0000-0000B5010000}"/>
            </a:ext>
          </a:extLst>
        </xdr:cNvPr>
        <xdr:cNvSpPr txBox="1"/>
      </xdr:nvSpPr>
      <xdr:spPr>
        <a:xfrm>
          <a:off x="12580620" y="3394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5307" name="TextBox 5306">
          <a:extLst>
            <a:ext uri="{FF2B5EF4-FFF2-40B4-BE49-F238E27FC236}">
              <a16:creationId xmlns:a16="http://schemas.microsoft.com/office/drawing/2014/main" id="{00000000-0008-0000-0000-0000B6010000}"/>
            </a:ext>
          </a:extLst>
        </xdr:cNvPr>
        <xdr:cNvSpPr txBox="1"/>
      </xdr:nvSpPr>
      <xdr:spPr>
        <a:xfrm>
          <a:off x="12580620" y="3394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5308" name="TextBox 5307">
          <a:extLst>
            <a:ext uri="{FF2B5EF4-FFF2-40B4-BE49-F238E27FC236}">
              <a16:creationId xmlns:a16="http://schemas.microsoft.com/office/drawing/2014/main" id="{00000000-0008-0000-0000-0000B7010000}"/>
            </a:ext>
          </a:extLst>
        </xdr:cNvPr>
        <xdr:cNvSpPr txBox="1"/>
      </xdr:nvSpPr>
      <xdr:spPr>
        <a:xfrm>
          <a:off x="12580620" y="3394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5309" name="TextBox 5308">
          <a:extLst>
            <a:ext uri="{FF2B5EF4-FFF2-40B4-BE49-F238E27FC236}">
              <a16:creationId xmlns:a16="http://schemas.microsoft.com/office/drawing/2014/main" id="{00000000-0008-0000-0000-0000B8010000}"/>
            </a:ext>
          </a:extLst>
        </xdr:cNvPr>
        <xdr:cNvSpPr txBox="1"/>
      </xdr:nvSpPr>
      <xdr:spPr>
        <a:xfrm>
          <a:off x="12580620" y="3394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5310" name="TextBox 5309">
          <a:extLst>
            <a:ext uri="{FF2B5EF4-FFF2-40B4-BE49-F238E27FC236}">
              <a16:creationId xmlns:a16="http://schemas.microsoft.com/office/drawing/2014/main" id="{00000000-0008-0000-0000-0000B9010000}"/>
            </a:ext>
          </a:extLst>
        </xdr:cNvPr>
        <xdr:cNvSpPr txBox="1"/>
      </xdr:nvSpPr>
      <xdr:spPr>
        <a:xfrm>
          <a:off x="12580620" y="3394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311" name="TextBox 5310">
          <a:extLst>
            <a:ext uri="{FF2B5EF4-FFF2-40B4-BE49-F238E27FC236}">
              <a16:creationId xmlns:a16="http://schemas.microsoft.com/office/drawing/2014/main" id="{00000000-0008-0000-0000-0000BA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312" name="TextBox 5311">
          <a:extLst>
            <a:ext uri="{FF2B5EF4-FFF2-40B4-BE49-F238E27FC236}">
              <a16:creationId xmlns:a16="http://schemas.microsoft.com/office/drawing/2014/main" id="{00000000-0008-0000-0000-0000BB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313" name="TextBox 5312">
          <a:extLst>
            <a:ext uri="{FF2B5EF4-FFF2-40B4-BE49-F238E27FC236}">
              <a16:creationId xmlns:a16="http://schemas.microsoft.com/office/drawing/2014/main" id="{00000000-0008-0000-0000-0000BC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314" name="TextBox 5313">
          <a:extLst>
            <a:ext uri="{FF2B5EF4-FFF2-40B4-BE49-F238E27FC236}">
              <a16:creationId xmlns:a16="http://schemas.microsoft.com/office/drawing/2014/main" id="{00000000-0008-0000-0000-0000BD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315" name="TextBox 5314">
          <a:extLst>
            <a:ext uri="{FF2B5EF4-FFF2-40B4-BE49-F238E27FC236}">
              <a16:creationId xmlns:a16="http://schemas.microsoft.com/office/drawing/2014/main" id="{00000000-0008-0000-0000-0000BE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316" name="TextBox 5315">
          <a:extLst>
            <a:ext uri="{FF2B5EF4-FFF2-40B4-BE49-F238E27FC236}">
              <a16:creationId xmlns:a16="http://schemas.microsoft.com/office/drawing/2014/main" id="{00000000-0008-0000-0000-0000BF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317" name="TextBox 5316">
          <a:extLst>
            <a:ext uri="{FF2B5EF4-FFF2-40B4-BE49-F238E27FC236}">
              <a16:creationId xmlns:a16="http://schemas.microsoft.com/office/drawing/2014/main" id="{00000000-0008-0000-0000-0000C0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318" name="TextBox 5317">
          <a:extLst>
            <a:ext uri="{FF2B5EF4-FFF2-40B4-BE49-F238E27FC236}">
              <a16:creationId xmlns:a16="http://schemas.microsoft.com/office/drawing/2014/main" id="{00000000-0008-0000-0000-0000C1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319" name="TextBox 5318">
          <a:extLst>
            <a:ext uri="{FF2B5EF4-FFF2-40B4-BE49-F238E27FC236}">
              <a16:creationId xmlns:a16="http://schemas.microsoft.com/office/drawing/2014/main" id="{00000000-0008-0000-0000-0000C2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320" name="TextBox 5319">
          <a:extLst>
            <a:ext uri="{FF2B5EF4-FFF2-40B4-BE49-F238E27FC236}">
              <a16:creationId xmlns:a16="http://schemas.microsoft.com/office/drawing/2014/main" id="{00000000-0008-0000-0000-0000C3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321" name="TextBox 5320">
          <a:extLst>
            <a:ext uri="{FF2B5EF4-FFF2-40B4-BE49-F238E27FC236}">
              <a16:creationId xmlns:a16="http://schemas.microsoft.com/office/drawing/2014/main" id="{00000000-0008-0000-0000-0000C4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322" name="TextBox 5321">
          <a:extLst>
            <a:ext uri="{FF2B5EF4-FFF2-40B4-BE49-F238E27FC236}">
              <a16:creationId xmlns:a16="http://schemas.microsoft.com/office/drawing/2014/main" id="{00000000-0008-0000-0000-0000C5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323" name="TextBox 5322">
          <a:extLst>
            <a:ext uri="{FF2B5EF4-FFF2-40B4-BE49-F238E27FC236}">
              <a16:creationId xmlns:a16="http://schemas.microsoft.com/office/drawing/2014/main" id="{00000000-0008-0000-0000-0000C6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324" name="TextBox 5323">
          <a:extLst>
            <a:ext uri="{FF2B5EF4-FFF2-40B4-BE49-F238E27FC236}">
              <a16:creationId xmlns:a16="http://schemas.microsoft.com/office/drawing/2014/main" id="{00000000-0008-0000-0000-0000C7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325" name="TextBox 5324">
          <a:extLst>
            <a:ext uri="{FF2B5EF4-FFF2-40B4-BE49-F238E27FC236}">
              <a16:creationId xmlns:a16="http://schemas.microsoft.com/office/drawing/2014/main" id="{00000000-0008-0000-0000-0000C8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326" name="TextBox 5325">
          <a:extLst>
            <a:ext uri="{FF2B5EF4-FFF2-40B4-BE49-F238E27FC236}">
              <a16:creationId xmlns:a16="http://schemas.microsoft.com/office/drawing/2014/main" id="{00000000-0008-0000-0000-0000C9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327" name="TextBox 5326">
          <a:extLst>
            <a:ext uri="{FF2B5EF4-FFF2-40B4-BE49-F238E27FC236}">
              <a16:creationId xmlns:a16="http://schemas.microsoft.com/office/drawing/2014/main" id="{00000000-0008-0000-0000-0000CA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328" name="TextBox 5327">
          <a:extLst>
            <a:ext uri="{FF2B5EF4-FFF2-40B4-BE49-F238E27FC236}">
              <a16:creationId xmlns:a16="http://schemas.microsoft.com/office/drawing/2014/main" id="{00000000-0008-0000-0000-0000CB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329" name="TextBox 5328">
          <a:extLst>
            <a:ext uri="{FF2B5EF4-FFF2-40B4-BE49-F238E27FC236}">
              <a16:creationId xmlns:a16="http://schemas.microsoft.com/office/drawing/2014/main" id="{00000000-0008-0000-0000-0000CC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330" name="TextBox 5329">
          <a:extLst>
            <a:ext uri="{FF2B5EF4-FFF2-40B4-BE49-F238E27FC236}">
              <a16:creationId xmlns:a16="http://schemas.microsoft.com/office/drawing/2014/main" id="{00000000-0008-0000-0000-0000CD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331" name="TextBox 5330">
          <a:extLst>
            <a:ext uri="{FF2B5EF4-FFF2-40B4-BE49-F238E27FC236}">
              <a16:creationId xmlns:a16="http://schemas.microsoft.com/office/drawing/2014/main" id="{00000000-0008-0000-0000-0000CE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332" name="TextBox 5331">
          <a:extLst>
            <a:ext uri="{FF2B5EF4-FFF2-40B4-BE49-F238E27FC236}">
              <a16:creationId xmlns:a16="http://schemas.microsoft.com/office/drawing/2014/main" id="{00000000-0008-0000-0000-0000CF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333" name="TextBox 5332">
          <a:extLst>
            <a:ext uri="{FF2B5EF4-FFF2-40B4-BE49-F238E27FC236}">
              <a16:creationId xmlns:a16="http://schemas.microsoft.com/office/drawing/2014/main" id="{00000000-0008-0000-0000-0000D0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334" name="TextBox 5333">
          <a:extLst>
            <a:ext uri="{FF2B5EF4-FFF2-40B4-BE49-F238E27FC236}">
              <a16:creationId xmlns:a16="http://schemas.microsoft.com/office/drawing/2014/main" id="{00000000-0008-0000-0000-0000D1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335" name="TextBox 5334">
          <a:extLst>
            <a:ext uri="{FF2B5EF4-FFF2-40B4-BE49-F238E27FC236}">
              <a16:creationId xmlns:a16="http://schemas.microsoft.com/office/drawing/2014/main" id="{00000000-0008-0000-0000-0000D2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336" name="TextBox 5335">
          <a:extLst>
            <a:ext uri="{FF2B5EF4-FFF2-40B4-BE49-F238E27FC236}">
              <a16:creationId xmlns:a16="http://schemas.microsoft.com/office/drawing/2014/main" id="{00000000-0008-0000-0000-0000D3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337" name="TextBox 5336">
          <a:extLst>
            <a:ext uri="{FF2B5EF4-FFF2-40B4-BE49-F238E27FC236}">
              <a16:creationId xmlns:a16="http://schemas.microsoft.com/office/drawing/2014/main" id="{00000000-0008-0000-0000-0000D4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338" name="TextBox 5337">
          <a:extLst>
            <a:ext uri="{FF2B5EF4-FFF2-40B4-BE49-F238E27FC236}">
              <a16:creationId xmlns:a16="http://schemas.microsoft.com/office/drawing/2014/main" id="{00000000-0008-0000-0000-0000D5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339" name="TextBox 5338">
          <a:extLst>
            <a:ext uri="{FF2B5EF4-FFF2-40B4-BE49-F238E27FC236}">
              <a16:creationId xmlns:a16="http://schemas.microsoft.com/office/drawing/2014/main" id="{00000000-0008-0000-0000-0000D6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340" name="TextBox 5339">
          <a:extLst>
            <a:ext uri="{FF2B5EF4-FFF2-40B4-BE49-F238E27FC236}">
              <a16:creationId xmlns:a16="http://schemas.microsoft.com/office/drawing/2014/main" id="{00000000-0008-0000-0000-0000D7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341" name="TextBox 5340">
          <a:extLst>
            <a:ext uri="{FF2B5EF4-FFF2-40B4-BE49-F238E27FC236}">
              <a16:creationId xmlns:a16="http://schemas.microsoft.com/office/drawing/2014/main" id="{00000000-0008-0000-0000-0000D8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342" name="TextBox 5341">
          <a:extLst>
            <a:ext uri="{FF2B5EF4-FFF2-40B4-BE49-F238E27FC236}">
              <a16:creationId xmlns:a16="http://schemas.microsoft.com/office/drawing/2014/main" id="{00000000-0008-0000-0000-0000D9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343" name="TextBox 5342">
          <a:extLst>
            <a:ext uri="{FF2B5EF4-FFF2-40B4-BE49-F238E27FC236}">
              <a16:creationId xmlns:a16="http://schemas.microsoft.com/office/drawing/2014/main" id="{00000000-0008-0000-0000-0000DA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344" name="TextBox 5343">
          <a:extLst>
            <a:ext uri="{FF2B5EF4-FFF2-40B4-BE49-F238E27FC236}">
              <a16:creationId xmlns:a16="http://schemas.microsoft.com/office/drawing/2014/main" id="{00000000-0008-0000-0000-0000DB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345" name="TextBox 5344">
          <a:extLst>
            <a:ext uri="{FF2B5EF4-FFF2-40B4-BE49-F238E27FC236}">
              <a16:creationId xmlns:a16="http://schemas.microsoft.com/office/drawing/2014/main" id="{00000000-0008-0000-0000-0000DC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346" name="TextBox 5345">
          <a:extLst>
            <a:ext uri="{FF2B5EF4-FFF2-40B4-BE49-F238E27FC236}">
              <a16:creationId xmlns:a16="http://schemas.microsoft.com/office/drawing/2014/main" id="{00000000-0008-0000-0000-0000DD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347" name="TextBox 5346">
          <a:extLst>
            <a:ext uri="{FF2B5EF4-FFF2-40B4-BE49-F238E27FC236}">
              <a16:creationId xmlns:a16="http://schemas.microsoft.com/office/drawing/2014/main" id="{00000000-0008-0000-0000-0000DE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348" name="TextBox 5347">
          <a:extLst>
            <a:ext uri="{FF2B5EF4-FFF2-40B4-BE49-F238E27FC236}">
              <a16:creationId xmlns:a16="http://schemas.microsoft.com/office/drawing/2014/main" id="{00000000-0008-0000-0000-0000DF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349" name="TextBox 5348">
          <a:extLst>
            <a:ext uri="{FF2B5EF4-FFF2-40B4-BE49-F238E27FC236}">
              <a16:creationId xmlns:a16="http://schemas.microsoft.com/office/drawing/2014/main" id="{00000000-0008-0000-0000-0000E0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350" name="TextBox 5349">
          <a:extLst>
            <a:ext uri="{FF2B5EF4-FFF2-40B4-BE49-F238E27FC236}">
              <a16:creationId xmlns:a16="http://schemas.microsoft.com/office/drawing/2014/main" id="{00000000-0008-0000-0000-0000E1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351" name="TextBox 5350">
          <a:extLst>
            <a:ext uri="{FF2B5EF4-FFF2-40B4-BE49-F238E27FC236}">
              <a16:creationId xmlns:a16="http://schemas.microsoft.com/office/drawing/2014/main" id="{00000000-0008-0000-0000-0000E2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352" name="TextBox 5351">
          <a:extLst>
            <a:ext uri="{FF2B5EF4-FFF2-40B4-BE49-F238E27FC236}">
              <a16:creationId xmlns:a16="http://schemas.microsoft.com/office/drawing/2014/main" id="{00000000-0008-0000-0000-0000E3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353" name="TextBox 5352">
          <a:extLst>
            <a:ext uri="{FF2B5EF4-FFF2-40B4-BE49-F238E27FC236}">
              <a16:creationId xmlns:a16="http://schemas.microsoft.com/office/drawing/2014/main" id="{00000000-0008-0000-0000-0000E4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354" name="TextBox 5353">
          <a:extLst>
            <a:ext uri="{FF2B5EF4-FFF2-40B4-BE49-F238E27FC236}">
              <a16:creationId xmlns:a16="http://schemas.microsoft.com/office/drawing/2014/main" id="{00000000-0008-0000-0000-0000E5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355" name="TextBox 5354">
          <a:extLst>
            <a:ext uri="{FF2B5EF4-FFF2-40B4-BE49-F238E27FC236}">
              <a16:creationId xmlns:a16="http://schemas.microsoft.com/office/drawing/2014/main" id="{00000000-0008-0000-0000-0000E6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356" name="TextBox 5355">
          <a:extLst>
            <a:ext uri="{FF2B5EF4-FFF2-40B4-BE49-F238E27FC236}">
              <a16:creationId xmlns:a16="http://schemas.microsoft.com/office/drawing/2014/main" id="{00000000-0008-0000-0000-0000E7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357" name="TextBox 5356">
          <a:extLst>
            <a:ext uri="{FF2B5EF4-FFF2-40B4-BE49-F238E27FC236}">
              <a16:creationId xmlns:a16="http://schemas.microsoft.com/office/drawing/2014/main" id="{00000000-0008-0000-0000-0000E8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358" name="TextBox 5357">
          <a:extLst>
            <a:ext uri="{FF2B5EF4-FFF2-40B4-BE49-F238E27FC236}">
              <a16:creationId xmlns:a16="http://schemas.microsoft.com/office/drawing/2014/main" id="{00000000-0008-0000-0000-0000E9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359" name="TextBox 5358">
          <a:extLst>
            <a:ext uri="{FF2B5EF4-FFF2-40B4-BE49-F238E27FC236}">
              <a16:creationId xmlns:a16="http://schemas.microsoft.com/office/drawing/2014/main" id="{00000000-0008-0000-0000-0000EA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360" name="TextBox 5359">
          <a:extLst>
            <a:ext uri="{FF2B5EF4-FFF2-40B4-BE49-F238E27FC236}">
              <a16:creationId xmlns:a16="http://schemas.microsoft.com/office/drawing/2014/main" id="{00000000-0008-0000-0000-0000EB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361" name="TextBox 5360">
          <a:extLst>
            <a:ext uri="{FF2B5EF4-FFF2-40B4-BE49-F238E27FC236}">
              <a16:creationId xmlns:a16="http://schemas.microsoft.com/office/drawing/2014/main" id="{00000000-0008-0000-0000-0000EC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362" name="TextBox 5361">
          <a:extLst>
            <a:ext uri="{FF2B5EF4-FFF2-40B4-BE49-F238E27FC236}">
              <a16:creationId xmlns:a16="http://schemas.microsoft.com/office/drawing/2014/main" id="{00000000-0008-0000-0000-0000ED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363" name="TextBox 5362">
          <a:extLst>
            <a:ext uri="{FF2B5EF4-FFF2-40B4-BE49-F238E27FC236}">
              <a16:creationId xmlns:a16="http://schemas.microsoft.com/office/drawing/2014/main" id="{00000000-0008-0000-0000-0000EE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364" name="TextBox 5363">
          <a:extLst>
            <a:ext uri="{FF2B5EF4-FFF2-40B4-BE49-F238E27FC236}">
              <a16:creationId xmlns:a16="http://schemas.microsoft.com/office/drawing/2014/main" id="{00000000-0008-0000-0000-0000EF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365" name="TextBox 5364">
          <a:extLst>
            <a:ext uri="{FF2B5EF4-FFF2-40B4-BE49-F238E27FC236}">
              <a16:creationId xmlns:a16="http://schemas.microsoft.com/office/drawing/2014/main" id="{00000000-0008-0000-0000-0000F0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366" name="TextBox 5365">
          <a:extLst>
            <a:ext uri="{FF2B5EF4-FFF2-40B4-BE49-F238E27FC236}">
              <a16:creationId xmlns:a16="http://schemas.microsoft.com/office/drawing/2014/main" id="{00000000-0008-0000-0000-0000F1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367" name="TextBox 5366">
          <a:extLst>
            <a:ext uri="{FF2B5EF4-FFF2-40B4-BE49-F238E27FC236}">
              <a16:creationId xmlns:a16="http://schemas.microsoft.com/office/drawing/2014/main" id="{00000000-0008-0000-0000-0000F2010000}"/>
            </a:ext>
          </a:extLst>
        </xdr:cNvPr>
        <xdr:cNvSpPr txBox="1"/>
      </xdr:nvSpPr>
      <xdr:spPr>
        <a:xfrm>
          <a:off x="1258062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368" name="TextBox 5367">
          <a:extLst>
            <a:ext uri="{FF2B5EF4-FFF2-40B4-BE49-F238E27FC236}">
              <a16:creationId xmlns:a16="http://schemas.microsoft.com/office/drawing/2014/main" id="{00000000-0008-0000-0000-0000F3010000}"/>
            </a:ext>
          </a:extLst>
        </xdr:cNvPr>
        <xdr:cNvSpPr txBox="1"/>
      </xdr:nvSpPr>
      <xdr:spPr>
        <a:xfrm>
          <a:off x="1258062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369" name="TextBox 5368">
          <a:extLst>
            <a:ext uri="{FF2B5EF4-FFF2-40B4-BE49-F238E27FC236}">
              <a16:creationId xmlns:a16="http://schemas.microsoft.com/office/drawing/2014/main" id="{00000000-0008-0000-0000-0000F4010000}"/>
            </a:ext>
          </a:extLst>
        </xdr:cNvPr>
        <xdr:cNvSpPr txBox="1"/>
      </xdr:nvSpPr>
      <xdr:spPr>
        <a:xfrm>
          <a:off x="1258062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370" name="TextBox 5369">
          <a:extLst>
            <a:ext uri="{FF2B5EF4-FFF2-40B4-BE49-F238E27FC236}">
              <a16:creationId xmlns:a16="http://schemas.microsoft.com/office/drawing/2014/main" id="{00000000-0008-0000-0000-0000F5010000}"/>
            </a:ext>
          </a:extLst>
        </xdr:cNvPr>
        <xdr:cNvSpPr txBox="1"/>
      </xdr:nvSpPr>
      <xdr:spPr>
        <a:xfrm>
          <a:off x="1258062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371" name="TextBox 5370">
          <a:extLst>
            <a:ext uri="{FF2B5EF4-FFF2-40B4-BE49-F238E27FC236}">
              <a16:creationId xmlns:a16="http://schemas.microsoft.com/office/drawing/2014/main" id="{00000000-0008-0000-0000-0000F6010000}"/>
            </a:ext>
          </a:extLst>
        </xdr:cNvPr>
        <xdr:cNvSpPr txBox="1"/>
      </xdr:nvSpPr>
      <xdr:spPr>
        <a:xfrm>
          <a:off x="1258062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372" name="TextBox 5371">
          <a:extLst>
            <a:ext uri="{FF2B5EF4-FFF2-40B4-BE49-F238E27FC236}">
              <a16:creationId xmlns:a16="http://schemas.microsoft.com/office/drawing/2014/main" id="{00000000-0008-0000-0000-0000F7010000}"/>
            </a:ext>
          </a:extLst>
        </xdr:cNvPr>
        <xdr:cNvSpPr txBox="1"/>
      </xdr:nvSpPr>
      <xdr:spPr>
        <a:xfrm>
          <a:off x="1258062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373" name="TextBox 5372">
          <a:extLst>
            <a:ext uri="{FF2B5EF4-FFF2-40B4-BE49-F238E27FC236}">
              <a16:creationId xmlns:a16="http://schemas.microsoft.com/office/drawing/2014/main" id="{00000000-0008-0000-0000-0000F8010000}"/>
            </a:ext>
          </a:extLst>
        </xdr:cNvPr>
        <xdr:cNvSpPr txBox="1"/>
      </xdr:nvSpPr>
      <xdr:spPr>
        <a:xfrm>
          <a:off x="1258062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374" name="TextBox 5373">
          <a:extLst>
            <a:ext uri="{FF2B5EF4-FFF2-40B4-BE49-F238E27FC236}">
              <a16:creationId xmlns:a16="http://schemas.microsoft.com/office/drawing/2014/main" id="{00000000-0008-0000-0000-0000F9010000}"/>
            </a:ext>
          </a:extLst>
        </xdr:cNvPr>
        <xdr:cNvSpPr txBox="1"/>
      </xdr:nvSpPr>
      <xdr:spPr>
        <a:xfrm>
          <a:off x="1258062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5375" name="TextBox 5374">
          <a:extLst>
            <a:ext uri="{FF2B5EF4-FFF2-40B4-BE49-F238E27FC236}">
              <a16:creationId xmlns:a16="http://schemas.microsoft.com/office/drawing/2014/main" id="{D790F7C5-4FB4-4169-AECB-29A162C3B4E0}"/>
            </a:ext>
          </a:extLst>
        </xdr:cNvPr>
        <xdr:cNvSpPr txBox="1"/>
      </xdr:nvSpPr>
      <xdr:spPr>
        <a:xfrm>
          <a:off x="12580620" y="33550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5376" name="TextBox 5375">
          <a:extLst>
            <a:ext uri="{FF2B5EF4-FFF2-40B4-BE49-F238E27FC236}">
              <a16:creationId xmlns:a16="http://schemas.microsoft.com/office/drawing/2014/main" id="{4B3266CB-1924-4B0B-A63A-F668BBA86148}"/>
            </a:ext>
          </a:extLst>
        </xdr:cNvPr>
        <xdr:cNvSpPr txBox="1"/>
      </xdr:nvSpPr>
      <xdr:spPr>
        <a:xfrm>
          <a:off x="12580620" y="33550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5377" name="TextBox 5376">
          <a:extLst>
            <a:ext uri="{FF2B5EF4-FFF2-40B4-BE49-F238E27FC236}">
              <a16:creationId xmlns:a16="http://schemas.microsoft.com/office/drawing/2014/main" id="{CBC7410D-7C3A-41C0-B6C7-F75F0212AE33}"/>
            </a:ext>
          </a:extLst>
        </xdr:cNvPr>
        <xdr:cNvSpPr txBox="1"/>
      </xdr:nvSpPr>
      <xdr:spPr>
        <a:xfrm>
          <a:off x="12580620" y="33550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5378" name="TextBox 5377">
          <a:extLst>
            <a:ext uri="{FF2B5EF4-FFF2-40B4-BE49-F238E27FC236}">
              <a16:creationId xmlns:a16="http://schemas.microsoft.com/office/drawing/2014/main" id="{50BBF757-870F-4C5F-8A6D-BB01D20FB785}"/>
            </a:ext>
          </a:extLst>
        </xdr:cNvPr>
        <xdr:cNvSpPr txBox="1"/>
      </xdr:nvSpPr>
      <xdr:spPr>
        <a:xfrm>
          <a:off x="12580620" y="33550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5379" name="TextBox 5378">
          <a:extLst>
            <a:ext uri="{FF2B5EF4-FFF2-40B4-BE49-F238E27FC236}">
              <a16:creationId xmlns:a16="http://schemas.microsoft.com/office/drawing/2014/main" id="{924A6A0B-67A0-4D39-98DD-B4890EA7059F}"/>
            </a:ext>
          </a:extLst>
        </xdr:cNvPr>
        <xdr:cNvSpPr txBox="1"/>
      </xdr:nvSpPr>
      <xdr:spPr>
        <a:xfrm>
          <a:off x="12580620" y="33550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5380" name="TextBox 5379">
          <a:extLst>
            <a:ext uri="{FF2B5EF4-FFF2-40B4-BE49-F238E27FC236}">
              <a16:creationId xmlns:a16="http://schemas.microsoft.com/office/drawing/2014/main" id="{418D698A-7CAD-4873-9383-980E4B117409}"/>
            </a:ext>
          </a:extLst>
        </xdr:cNvPr>
        <xdr:cNvSpPr txBox="1"/>
      </xdr:nvSpPr>
      <xdr:spPr>
        <a:xfrm>
          <a:off x="12580620" y="33550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5381" name="TextBox 5380">
          <a:extLst>
            <a:ext uri="{FF2B5EF4-FFF2-40B4-BE49-F238E27FC236}">
              <a16:creationId xmlns:a16="http://schemas.microsoft.com/office/drawing/2014/main" id="{D4576B78-2AC7-4FA0-B5A6-410991F126C0}"/>
            </a:ext>
          </a:extLst>
        </xdr:cNvPr>
        <xdr:cNvSpPr txBox="1"/>
      </xdr:nvSpPr>
      <xdr:spPr>
        <a:xfrm>
          <a:off x="12580620" y="33550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5382" name="TextBox 5381">
          <a:extLst>
            <a:ext uri="{FF2B5EF4-FFF2-40B4-BE49-F238E27FC236}">
              <a16:creationId xmlns:a16="http://schemas.microsoft.com/office/drawing/2014/main" id="{3F70C200-9F35-47B9-A6A0-8BD020BFA9F5}"/>
            </a:ext>
          </a:extLst>
        </xdr:cNvPr>
        <xdr:cNvSpPr txBox="1"/>
      </xdr:nvSpPr>
      <xdr:spPr>
        <a:xfrm>
          <a:off x="12580620" y="33550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5383" name="TextBox 5382">
          <a:extLst>
            <a:ext uri="{FF2B5EF4-FFF2-40B4-BE49-F238E27FC236}">
              <a16:creationId xmlns:a16="http://schemas.microsoft.com/office/drawing/2014/main" id="{B21B1052-165D-406E-ACA9-FA2B1238ADAA}"/>
            </a:ext>
          </a:extLst>
        </xdr:cNvPr>
        <xdr:cNvSpPr txBox="1"/>
      </xdr:nvSpPr>
      <xdr:spPr>
        <a:xfrm>
          <a:off x="12580620" y="33550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5384" name="TextBox 5383">
          <a:extLst>
            <a:ext uri="{FF2B5EF4-FFF2-40B4-BE49-F238E27FC236}">
              <a16:creationId xmlns:a16="http://schemas.microsoft.com/office/drawing/2014/main" id="{65417AB6-2889-49DD-9AEF-7149F5D9B7B2}"/>
            </a:ext>
          </a:extLst>
        </xdr:cNvPr>
        <xdr:cNvSpPr txBox="1"/>
      </xdr:nvSpPr>
      <xdr:spPr>
        <a:xfrm>
          <a:off x="12580620" y="33550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5385" name="TextBox 5384">
          <a:extLst>
            <a:ext uri="{FF2B5EF4-FFF2-40B4-BE49-F238E27FC236}">
              <a16:creationId xmlns:a16="http://schemas.microsoft.com/office/drawing/2014/main" id="{7BF692BA-8340-4141-BC82-F9CF78D79873}"/>
            </a:ext>
          </a:extLst>
        </xdr:cNvPr>
        <xdr:cNvSpPr txBox="1"/>
      </xdr:nvSpPr>
      <xdr:spPr>
        <a:xfrm>
          <a:off x="12580620" y="33550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5386" name="TextBox 5385">
          <a:extLst>
            <a:ext uri="{FF2B5EF4-FFF2-40B4-BE49-F238E27FC236}">
              <a16:creationId xmlns:a16="http://schemas.microsoft.com/office/drawing/2014/main" id="{79127C80-C540-411B-B139-200EBBA5DA66}"/>
            </a:ext>
          </a:extLst>
        </xdr:cNvPr>
        <xdr:cNvSpPr txBox="1"/>
      </xdr:nvSpPr>
      <xdr:spPr>
        <a:xfrm>
          <a:off x="12580620" y="33550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5387" name="TextBox 5386">
          <a:extLst>
            <a:ext uri="{FF2B5EF4-FFF2-40B4-BE49-F238E27FC236}">
              <a16:creationId xmlns:a16="http://schemas.microsoft.com/office/drawing/2014/main" id="{B67D3F3D-F87A-4ACF-91FC-9A53D5A2D4D3}"/>
            </a:ext>
          </a:extLst>
        </xdr:cNvPr>
        <xdr:cNvSpPr txBox="1"/>
      </xdr:nvSpPr>
      <xdr:spPr>
        <a:xfrm>
          <a:off x="12580620" y="33550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5388" name="TextBox 5387">
          <a:extLst>
            <a:ext uri="{FF2B5EF4-FFF2-40B4-BE49-F238E27FC236}">
              <a16:creationId xmlns:a16="http://schemas.microsoft.com/office/drawing/2014/main" id="{58EC8DC8-71FC-42BE-93DA-79FE716E2108}"/>
            </a:ext>
          </a:extLst>
        </xdr:cNvPr>
        <xdr:cNvSpPr txBox="1"/>
      </xdr:nvSpPr>
      <xdr:spPr>
        <a:xfrm>
          <a:off x="12580620" y="33550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5389" name="TextBox 5388">
          <a:extLst>
            <a:ext uri="{FF2B5EF4-FFF2-40B4-BE49-F238E27FC236}">
              <a16:creationId xmlns:a16="http://schemas.microsoft.com/office/drawing/2014/main" id="{7B7B12E6-3D6A-411C-8750-B2D904ED71B9}"/>
            </a:ext>
          </a:extLst>
        </xdr:cNvPr>
        <xdr:cNvSpPr txBox="1"/>
      </xdr:nvSpPr>
      <xdr:spPr>
        <a:xfrm>
          <a:off x="12580620" y="33748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5390" name="TextBox 5389">
          <a:extLst>
            <a:ext uri="{FF2B5EF4-FFF2-40B4-BE49-F238E27FC236}">
              <a16:creationId xmlns:a16="http://schemas.microsoft.com/office/drawing/2014/main" id="{F482887C-F492-4307-823C-4E10D7821CC6}"/>
            </a:ext>
          </a:extLst>
        </xdr:cNvPr>
        <xdr:cNvSpPr txBox="1"/>
      </xdr:nvSpPr>
      <xdr:spPr>
        <a:xfrm>
          <a:off x="12580620" y="33748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5391" name="TextBox 5390">
          <a:extLst>
            <a:ext uri="{FF2B5EF4-FFF2-40B4-BE49-F238E27FC236}">
              <a16:creationId xmlns:a16="http://schemas.microsoft.com/office/drawing/2014/main" id="{0949CA64-0CC0-4B53-A59D-24AD43506153}"/>
            </a:ext>
          </a:extLst>
        </xdr:cNvPr>
        <xdr:cNvSpPr txBox="1"/>
      </xdr:nvSpPr>
      <xdr:spPr>
        <a:xfrm>
          <a:off x="12580620" y="33748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5392" name="TextBox 5391">
          <a:extLst>
            <a:ext uri="{FF2B5EF4-FFF2-40B4-BE49-F238E27FC236}">
              <a16:creationId xmlns:a16="http://schemas.microsoft.com/office/drawing/2014/main" id="{AF47DE7E-DEEE-4D8F-BEA0-B678FC4108A0}"/>
            </a:ext>
          </a:extLst>
        </xdr:cNvPr>
        <xdr:cNvSpPr txBox="1"/>
      </xdr:nvSpPr>
      <xdr:spPr>
        <a:xfrm>
          <a:off x="12580620" y="33748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5393" name="TextBox 5392">
          <a:extLst>
            <a:ext uri="{FF2B5EF4-FFF2-40B4-BE49-F238E27FC236}">
              <a16:creationId xmlns:a16="http://schemas.microsoft.com/office/drawing/2014/main" id="{50B7B56B-3E53-478E-BD2A-1CB44BB0EE30}"/>
            </a:ext>
          </a:extLst>
        </xdr:cNvPr>
        <xdr:cNvSpPr txBox="1"/>
      </xdr:nvSpPr>
      <xdr:spPr>
        <a:xfrm>
          <a:off x="12580620" y="33748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5394" name="TextBox 5393">
          <a:extLst>
            <a:ext uri="{FF2B5EF4-FFF2-40B4-BE49-F238E27FC236}">
              <a16:creationId xmlns:a16="http://schemas.microsoft.com/office/drawing/2014/main" id="{9A76D97E-F211-4995-A860-8787CD5178FF}"/>
            </a:ext>
          </a:extLst>
        </xdr:cNvPr>
        <xdr:cNvSpPr txBox="1"/>
      </xdr:nvSpPr>
      <xdr:spPr>
        <a:xfrm>
          <a:off x="12580620" y="33748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5395" name="TextBox 5394">
          <a:extLst>
            <a:ext uri="{FF2B5EF4-FFF2-40B4-BE49-F238E27FC236}">
              <a16:creationId xmlns:a16="http://schemas.microsoft.com/office/drawing/2014/main" id="{9FC70A70-D526-4203-8E11-372D840B6103}"/>
            </a:ext>
          </a:extLst>
        </xdr:cNvPr>
        <xdr:cNvSpPr txBox="1"/>
      </xdr:nvSpPr>
      <xdr:spPr>
        <a:xfrm>
          <a:off x="12580620" y="33748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5396" name="TextBox 5395">
          <a:extLst>
            <a:ext uri="{FF2B5EF4-FFF2-40B4-BE49-F238E27FC236}">
              <a16:creationId xmlns:a16="http://schemas.microsoft.com/office/drawing/2014/main" id="{4F6B1A49-C9DC-473C-8ECD-E788E907B701}"/>
            </a:ext>
          </a:extLst>
        </xdr:cNvPr>
        <xdr:cNvSpPr txBox="1"/>
      </xdr:nvSpPr>
      <xdr:spPr>
        <a:xfrm>
          <a:off x="12580620" y="33748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5397" name="TextBox 5396">
          <a:extLst>
            <a:ext uri="{FF2B5EF4-FFF2-40B4-BE49-F238E27FC236}">
              <a16:creationId xmlns:a16="http://schemas.microsoft.com/office/drawing/2014/main" id="{7249EAE9-2088-4834-9241-A764E60A6F18}"/>
            </a:ext>
          </a:extLst>
        </xdr:cNvPr>
        <xdr:cNvSpPr txBox="1"/>
      </xdr:nvSpPr>
      <xdr:spPr>
        <a:xfrm>
          <a:off x="12580620" y="33748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5398" name="TextBox 5397">
          <a:extLst>
            <a:ext uri="{FF2B5EF4-FFF2-40B4-BE49-F238E27FC236}">
              <a16:creationId xmlns:a16="http://schemas.microsoft.com/office/drawing/2014/main" id="{CEEDDCB2-23A2-47B2-AA3F-37312ED4C714}"/>
            </a:ext>
          </a:extLst>
        </xdr:cNvPr>
        <xdr:cNvSpPr txBox="1"/>
      </xdr:nvSpPr>
      <xdr:spPr>
        <a:xfrm>
          <a:off x="12580620" y="33748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5399" name="TextBox 5398">
          <a:extLst>
            <a:ext uri="{FF2B5EF4-FFF2-40B4-BE49-F238E27FC236}">
              <a16:creationId xmlns:a16="http://schemas.microsoft.com/office/drawing/2014/main" id="{C53CCEBA-D398-4C3C-8E47-107C27B759C1}"/>
            </a:ext>
          </a:extLst>
        </xdr:cNvPr>
        <xdr:cNvSpPr txBox="1"/>
      </xdr:nvSpPr>
      <xdr:spPr>
        <a:xfrm>
          <a:off x="12580620" y="33748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5400" name="TextBox 5399">
          <a:extLst>
            <a:ext uri="{FF2B5EF4-FFF2-40B4-BE49-F238E27FC236}">
              <a16:creationId xmlns:a16="http://schemas.microsoft.com/office/drawing/2014/main" id="{C8C855ED-970E-43B8-A5B1-6F6ADBB998A9}"/>
            </a:ext>
          </a:extLst>
        </xdr:cNvPr>
        <xdr:cNvSpPr txBox="1"/>
      </xdr:nvSpPr>
      <xdr:spPr>
        <a:xfrm>
          <a:off x="12580620" y="33748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5401" name="TextBox 5400">
          <a:extLst>
            <a:ext uri="{FF2B5EF4-FFF2-40B4-BE49-F238E27FC236}">
              <a16:creationId xmlns:a16="http://schemas.microsoft.com/office/drawing/2014/main" id="{E705C099-0DDB-4CBB-91AA-6BD578E38D4C}"/>
            </a:ext>
          </a:extLst>
        </xdr:cNvPr>
        <xdr:cNvSpPr txBox="1"/>
      </xdr:nvSpPr>
      <xdr:spPr>
        <a:xfrm>
          <a:off x="12580620" y="33748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5402" name="TextBox 5401">
          <a:extLst>
            <a:ext uri="{FF2B5EF4-FFF2-40B4-BE49-F238E27FC236}">
              <a16:creationId xmlns:a16="http://schemas.microsoft.com/office/drawing/2014/main" id="{ADA9DEB9-F0D8-4AB1-B42C-8371D735EDB0}"/>
            </a:ext>
          </a:extLst>
        </xdr:cNvPr>
        <xdr:cNvSpPr txBox="1"/>
      </xdr:nvSpPr>
      <xdr:spPr>
        <a:xfrm>
          <a:off x="12580620" y="33748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5403" name="TextBox 5402">
          <a:extLst>
            <a:ext uri="{FF2B5EF4-FFF2-40B4-BE49-F238E27FC236}">
              <a16:creationId xmlns:a16="http://schemas.microsoft.com/office/drawing/2014/main" id="{709CBE26-A551-4C7C-A384-D56B48045E68}"/>
            </a:ext>
          </a:extLst>
        </xdr:cNvPr>
        <xdr:cNvSpPr txBox="1"/>
      </xdr:nvSpPr>
      <xdr:spPr>
        <a:xfrm>
          <a:off x="12580620" y="3394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5404" name="TextBox 5403">
          <a:extLst>
            <a:ext uri="{FF2B5EF4-FFF2-40B4-BE49-F238E27FC236}">
              <a16:creationId xmlns:a16="http://schemas.microsoft.com/office/drawing/2014/main" id="{FCF004D5-83CC-4601-BE3C-2D350D291279}"/>
            </a:ext>
          </a:extLst>
        </xdr:cNvPr>
        <xdr:cNvSpPr txBox="1"/>
      </xdr:nvSpPr>
      <xdr:spPr>
        <a:xfrm>
          <a:off x="12580620" y="3394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5405" name="TextBox 5404">
          <a:extLst>
            <a:ext uri="{FF2B5EF4-FFF2-40B4-BE49-F238E27FC236}">
              <a16:creationId xmlns:a16="http://schemas.microsoft.com/office/drawing/2014/main" id="{27CE9EF6-2DFA-4778-9205-D83560524403}"/>
            </a:ext>
          </a:extLst>
        </xdr:cNvPr>
        <xdr:cNvSpPr txBox="1"/>
      </xdr:nvSpPr>
      <xdr:spPr>
        <a:xfrm>
          <a:off x="12580620" y="3394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5406" name="TextBox 5405">
          <a:extLst>
            <a:ext uri="{FF2B5EF4-FFF2-40B4-BE49-F238E27FC236}">
              <a16:creationId xmlns:a16="http://schemas.microsoft.com/office/drawing/2014/main" id="{AEF2C205-301C-4560-BC83-375E974BCEAF}"/>
            </a:ext>
          </a:extLst>
        </xdr:cNvPr>
        <xdr:cNvSpPr txBox="1"/>
      </xdr:nvSpPr>
      <xdr:spPr>
        <a:xfrm>
          <a:off x="12580620" y="3394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5407" name="TextBox 5406">
          <a:extLst>
            <a:ext uri="{FF2B5EF4-FFF2-40B4-BE49-F238E27FC236}">
              <a16:creationId xmlns:a16="http://schemas.microsoft.com/office/drawing/2014/main" id="{3DCCF9ED-9B1F-4DC7-B839-6E3EB677417B}"/>
            </a:ext>
          </a:extLst>
        </xdr:cNvPr>
        <xdr:cNvSpPr txBox="1"/>
      </xdr:nvSpPr>
      <xdr:spPr>
        <a:xfrm>
          <a:off x="12580620" y="3394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5408" name="TextBox 5407">
          <a:extLst>
            <a:ext uri="{FF2B5EF4-FFF2-40B4-BE49-F238E27FC236}">
              <a16:creationId xmlns:a16="http://schemas.microsoft.com/office/drawing/2014/main" id="{3D9466B2-EB98-463C-88EA-A326C523B5D8}"/>
            </a:ext>
          </a:extLst>
        </xdr:cNvPr>
        <xdr:cNvSpPr txBox="1"/>
      </xdr:nvSpPr>
      <xdr:spPr>
        <a:xfrm>
          <a:off x="12580620" y="3394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5409" name="TextBox 5408">
          <a:extLst>
            <a:ext uri="{FF2B5EF4-FFF2-40B4-BE49-F238E27FC236}">
              <a16:creationId xmlns:a16="http://schemas.microsoft.com/office/drawing/2014/main" id="{0F2E4FBC-6F9D-49D8-B320-D21C3287204C}"/>
            </a:ext>
          </a:extLst>
        </xdr:cNvPr>
        <xdr:cNvSpPr txBox="1"/>
      </xdr:nvSpPr>
      <xdr:spPr>
        <a:xfrm>
          <a:off x="12580620" y="3394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5410" name="TextBox 5409">
          <a:extLst>
            <a:ext uri="{FF2B5EF4-FFF2-40B4-BE49-F238E27FC236}">
              <a16:creationId xmlns:a16="http://schemas.microsoft.com/office/drawing/2014/main" id="{9EE8A67A-FC51-41CC-B6A6-507074A0155B}"/>
            </a:ext>
          </a:extLst>
        </xdr:cNvPr>
        <xdr:cNvSpPr txBox="1"/>
      </xdr:nvSpPr>
      <xdr:spPr>
        <a:xfrm>
          <a:off x="12580620" y="3394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5411" name="TextBox 5410">
          <a:extLst>
            <a:ext uri="{FF2B5EF4-FFF2-40B4-BE49-F238E27FC236}">
              <a16:creationId xmlns:a16="http://schemas.microsoft.com/office/drawing/2014/main" id="{E3EE1ED8-1246-4E13-86A2-D686D3F3CFAC}"/>
            </a:ext>
          </a:extLst>
        </xdr:cNvPr>
        <xdr:cNvSpPr txBox="1"/>
      </xdr:nvSpPr>
      <xdr:spPr>
        <a:xfrm>
          <a:off x="12580620" y="3394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5412" name="TextBox 5411">
          <a:extLst>
            <a:ext uri="{FF2B5EF4-FFF2-40B4-BE49-F238E27FC236}">
              <a16:creationId xmlns:a16="http://schemas.microsoft.com/office/drawing/2014/main" id="{112F0F0B-ABFD-4DDD-BCB9-10FEAFDB5AD9}"/>
            </a:ext>
          </a:extLst>
        </xdr:cNvPr>
        <xdr:cNvSpPr txBox="1"/>
      </xdr:nvSpPr>
      <xdr:spPr>
        <a:xfrm>
          <a:off x="12580620" y="3394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5413" name="TextBox 5412">
          <a:extLst>
            <a:ext uri="{FF2B5EF4-FFF2-40B4-BE49-F238E27FC236}">
              <a16:creationId xmlns:a16="http://schemas.microsoft.com/office/drawing/2014/main" id="{12EDF718-BDAC-48A4-BBFB-24DCD5C1D4FC}"/>
            </a:ext>
          </a:extLst>
        </xdr:cNvPr>
        <xdr:cNvSpPr txBox="1"/>
      </xdr:nvSpPr>
      <xdr:spPr>
        <a:xfrm>
          <a:off x="12580620" y="3394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5414" name="TextBox 5413">
          <a:extLst>
            <a:ext uri="{FF2B5EF4-FFF2-40B4-BE49-F238E27FC236}">
              <a16:creationId xmlns:a16="http://schemas.microsoft.com/office/drawing/2014/main" id="{B3B85458-8D8F-4F12-B7C0-DC92B39A1F35}"/>
            </a:ext>
          </a:extLst>
        </xdr:cNvPr>
        <xdr:cNvSpPr txBox="1"/>
      </xdr:nvSpPr>
      <xdr:spPr>
        <a:xfrm>
          <a:off x="12580620" y="3394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5415" name="TextBox 5414">
          <a:extLst>
            <a:ext uri="{FF2B5EF4-FFF2-40B4-BE49-F238E27FC236}">
              <a16:creationId xmlns:a16="http://schemas.microsoft.com/office/drawing/2014/main" id="{BF066412-0AC2-4C2B-9E92-DFE86D6A185E}"/>
            </a:ext>
          </a:extLst>
        </xdr:cNvPr>
        <xdr:cNvSpPr txBox="1"/>
      </xdr:nvSpPr>
      <xdr:spPr>
        <a:xfrm>
          <a:off x="12580620" y="3394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5416" name="TextBox 5415">
          <a:extLst>
            <a:ext uri="{FF2B5EF4-FFF2-40B4-BE49-F238E27FC236}">
              <a16:creationId xmlns:a16="http://schemas.microsoft.com/office/drawing/2014/main" id="{F84E80ED-F217-41BA-9FA6-C1DBC25F3A17}"/>
            </a:ext>
          </a:extLst>
        </xdr:cNvPr>
        <xdr:cNvSpPr txBox="1"/>
      </xdr:nvSpPr>
      <xdr:spPr>
        <a:xfrm>
          <a:off x="12580620" y="3394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164</xdr:row>
      <xdr:rowOff>0</xdr:rowOff>
    </xdr:from>
    <xdr:ext cx="65" cy="172227"/>
    <xdr:sp macro="" textlink="">
      <xdr:nvSpPr>
        <xdr:cNvPr id="5419" name="TextBox 5418">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164</xdr:row>
      <xdr:rowOff>0</xdr:rowOff>
    </xdr:from>
    <xdr:ext cx="65" cy="172227"/>
    <xdr:sp macro="" textlink="">
      <xdr:nvSpPr>
        <xdr:cNvPr id="5423" name="TextBox 5422">
          <a:extLst>
            <a:ext uri="{FF2B5EF4-FFF2-40B4-BE49-F238E27FC236}">
              <a16:creationId xmlns:a16="http://schemas.microsoft.com/office/drawing/2014/main" id="{00000000-0008-0000-0000-00000B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5424" name="TextBox 5423">
          <a:extLst>
            <a:ext uri="{FF2B5EF4-FFF2-40B4-BE49-F238E27FC236}">
              <a16:creationId xmlns:a16="http://schemas.microsoft.com/office/drawing/2014/main" id="{00000000-0008-0000-0000-00000C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5425" name="TextBox 5424">
          <a:extLst>
            <a:ext uri="{FF2B5EF4-FFF2-40B4-BE49-F238E27FC236}">
              <a16:creationId xmlns:a16="http://schemas.microsoft.com/office/drawing/2014/main" id="{00000000-0008-0000-0000-00000D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5426" name="TextBox 5425">
          <a:extLst>
            <a:ext uri="{FF2B5EF4-FFF2-40B4-BE49-F238E27FC236}">
              <a16:creationId xmlns:a16="http://schemas.microsoft.com/office/drawing/2014/main" id="{00000000-0008-0000-0000-00000E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5427" name="TextBox 5426">
          <a:extLst>
            <a:ext uri="{FF2B5EF4-FFF2-40B4-BE49-F238E27FC236}">
              <a16:creationId xmlns:a16="http://schemas.microsoft.com/office/drawing/2014/main" id="{00000000-0008-0000-0000-00000F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428" name="TextBox 5427">
          <a:extLst>
            <a:ext uri="{FF2B5EF4-FFF2-40B4-BE49-F238E27FC236}">
              <a16:creationId xmlns:a16="http://schemas.microsoft.com/office/drawing/2014/main" id="{00000000-0008-0000-0000-000010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429" name="TextBox 5428">
          <a:extLst>
            <a:ext uri="{FF2B5EF4-FFF2-40B4-BE49-F238E27FC236}">
              <a16:creationId xmlns:a16="http://schemas.microsoft.com/office/drawing/2014/main" id="{00000000-0008-0000-0000-000011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5430" name="TextBox 5429">
          <a:extLst>
            <a:ext uri="{FF2B5EF4-FFF2-40B4-BE49-F238E27FC236}">
              <a16:creationId xmlns:a16="http://schemas.microsoft.com/office/drawing/2014/main" id="{00000000-0008-0000-0000-000012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5431" name="TextBox 5430">
          <a:extLst>
            <a:ext uri="{FF2B5EF4-FFF2-40B4-BE49-F238E27FC236}">
              <a16:creationId xmlns:a16="http://schemas.microsoft.com/office/drawing/2014/main" id="{00000000-0008-0000-0000-000013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5432" name="TextBox 5431">
          <a:extLst>
            <a:ext uri="{FF2B5EF4-FFF2-40B4-BE49-F238E27FC236}">
              <a16:creationId xmlns:a16="http://schemas.microsoft.com/office/drawing/2014/main" id="{00000000-0008-0000-0000-000014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5433" name="TextBox 5432">
          <a:extLst>
            <a:ext uri="{FF2B5EF4-FFF2-40B4-BE49-F238E27FC236}">
              <a16:creationId xmlns:a16="http://schemas.microsoft.com/office/drawing/2014/main" id="{00000000-0008-0000-0000-000015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434" name="TextBox 5433">
          <a:extLst>
            <a:ext uri="{FF2B5EF4-FFF2-40B4-BE49-F238E27FC236}">
              <a16:creationId xmlns:a16="http://schemas.microsoft.com/office/drawing/2014/main" id="{00000000-0008-0000-0000-00001600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435" name="TextBox 5434">
          <a:extLst>
            <a:ext uri="{FF2B5EF4-FFF2-40B4-BE49-F238E27FC236}">
              <a16:creationId xmlns:a16="http://schemas.microsoft.com/office/drawing/2014/main" id="{00000000-0008-0000-0000-00001700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5436" name="TextBox 5435">
          <a:extLst>
            <a:ext uri="{FF2B5EF4-FFF2-40B4-BE49-F238E27FC236}">
              <a16:creationId xmlns:a16="http://schemas.microsoft.com/office/drawing/2014/main" id="{00000000-0008-0000-0000-00001800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5437" name="TextBox 5436">
          <a:extLst>
            <a:ext uri="{FF2B5EF4-FFF2-40B4-BE49-F238E27FC236}">
              <a16:creationId xmlns:a16="http://schemas.microsoft.com/office/drawing/2014/main" id="{00000000-0008-0000-0000-00001900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172</xdr:row>
      <xdr:rowOff>0</xdr:rowOff>
    </xdr:from>
    <xdr:ext cx="65" cy="172227"/>
    <xdr:sp macro="" textlink="">
      <xdr:nvSpPr>
        <xdr:cNvPr id="5438" name="TextBox 5437">
          <a:extLst>
            <a:ext uri="{FF2B5EF4-FFF2-40B4-BE49-F238E27FC236}">
              <a16:creationId xmlns:a16="http://schemas.microsoft.com/office/drawing/2014/main" id="{00000000-0008-0000-0000-00001A000000}"/>
            </a:ext>
          </a:extLst>
        </xdr:cNvPr>
        <xdr:cNvSpPr txBox="1"/>
      </xdr:nvSpPr>
      <xdr:spPr>
        <a:xfrm>
          <a:off x="8267700" y="35242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172</xdr:row>
      <xdr:rowOff>0</xdr:rowOff>
    </xdr:from>
    <xdr:ext cx="65" cy="172227"/>
    <xdr:sp macro="" textlink="">
      <xdr:nvSpPr>
        <xdr:cNvPr id="5439" name="TextBox 5438">
          <a:extLst>
            <a:ext uri="{FF2B5EF4-FFF2-40B4-BE49-F238E27FC236}">
              <a16:creationId xmlns:a16="http://schemas.microsoft.com/office/drawing/2014/main" id="{00000000-0008-0000-0000-00001B000000}"/>
            </a:ext>
          </a:extLst>
        </xdr:cNvPr>
        <xdr:cNvSpPr txBox="1"/>
      </xdr:nvSpPr>
      <xdr:spPr>
        <a:xfrm>
          <a:off x="8267700" y="35242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173</xdr:row>
      <xdr:rowOff>0</xdr:rowOff>
    </xdr:from>
    <xdr:ext cx="65" cy="172227"/>
    <xdr:sp macro="" textlink="">
      <xdr:nvSpPr>
        <xdr:cNvPr id="5440" name="TextBox 5439">
          <a:extLst>
            <a:ext uri="{FF2B5EF4-FFF2-40B4-BE49-F238E27FC236}">
              <a16:creationId xmlns:a16="http://schemas.microsoft.com/office/drawing/2014/main" id="{00000000-0008-0000-0000-00001C000000}"/>
            </a:ext>
          </a:extLst>
        </xdr:cNvPr>
        <xdr:cNvSpPr txBox="1"/>
      </xdr:nvSpPr>
      <xdr:spPr>
        <a:xfrm>
          <a:off x="8267700" y="35425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173</xdr:row>
      <xdr:rowOff>0</xdr:rowOff>
    </xdr:from>
    <xdr:ext cx="65" cy="172227"/>
    <xdr:sp macro="" textlink="">
      <xdr:nvSpPr>
        <xdr:cNvPr id="5441" name="TextBox 5440">
          <a:extLst>
            <a:ext uri="{FF2B5EF4-FFF2-40B4-BE49-F238E27FC236}">
              <a16:creationId xmlns:a16="http://schemas.microsoft.com/office/drawing/2014/main" id="{00000000-0008-0000-0000-00001D000000}"/>
            </a:ext>
          </a:extLst>
        </xdr:cNvPr>
        <xdr:cNvSpPr txBox="1"/>
      </xdr:nvSpPr>
      <xdr:spPr>
        <a:xfrm>
          <a:off x="8267700" y="35425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179</xdr:row>
      <xdr:rowOff>0</xdr:rowOff>
    </xdr:from>
    <xdr:ext cx="65" cy="172227"/>
    <xdr:sp macro="" textlink="">
      <xdr:nvSpPr>
        <xdr:cNvPr id="5442" name="TextBox 5441">
          <a:extLst>
            <a:ext uri="{FF2B5EF4-FFF2-40B4-BE49-F238E27FC236}">
              <a16:creationId xmlns:a16="http://schemas.microsoft.com/office/drawing/2014/main" id="{00000000-0008-0000-0000-00001E000000}"/>
            </a:ext>
          </a:extLst>
        </xdr:cNvPr>
        <xdr:cNvSpPr txBox="1"/>
      </xdr:nvSpPr>
      <xdr:spPr>
        <a:xfrm>
          <a:off x="8267700" y="36522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179</xdr:row>
      <xdr:rowOff>0</xdr:rowOff>
    </xdr:from>
    <xdr:ext cx="65" cy="172227"/>
    <xdr:sp macro="" textlink="">
      <xdr:nvSpPr>
        <xdr:cNvPr id="5443" name="TextBox 5442">
          <a:extLst>
            <a:ext uri="{FF2B5EF4-FFF2-40B4-BE49-F238E27FC236}">
              <a16:creationId xmlns:a16="http://schemas.microsoft.com/office/drawing/2014/main" id="{00000000-0008-0000-0000-00001F000000}"/>
            </a:ext>
          </a:extLst>
        </xdr:cNvPr>
        <xdr:cNvSpPr txBox="1"/>
      </xdr:nvSpPr>
      <xdr:spPr>
        <a:xfrm>
          <a:off x="8267700" y="36522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180</xdr:row>
      <xdr:rowOff>0</xdr:rowOff>
    </xdr:from>
    <xdr:ext cx="65" cy="172227"/>
    <xdr:sp macro="" textlink="">
      <xdr:nvSpPr>
        <xdr:cNvPr id="5444" name="TextBox 5443">
          <a:extLst>
            <a:ext uri="{FF2B5EF4-FFF2-40B4-BE49-F238E27FC236}">
              <a16:creationId xmlns:a16="http://schemas.microsoft.com/office/drawing/2014/main" id="{00000000-0008-0000-0000-000020000000}"/>
            </a:ext>
          </a:extLst>
        </xdr:cNvPr>
        <xdr:cNvSpPr txBox="1"/>
      </xdr:nvSpPr>
      <xdr:spPr>
        <a:xfrm>
          <a:off x="8267700" y="36705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180</xdr:row>
      <xdr:rowOff>0</xdr:rowOff>
    </xdr:from>
    <xdr:ext cx="65" cy="172227"/>
    <xdr:sp macro="" textlink="">
      <xdr:nvSpPr>
        <xdr:cNvPr id="5445" name="TextBox 5444">
          <a:extLst>
            <a:ext uri="{FF2B5EF4-FFF2-40B4-BE49-F238E27FC236}">
              <a16:creationId xmlns:a16="http://schemas.microsoft.com/office/drawing/2014/main" id="{00000000-0008-0000-0000-000021000000}"/>
            </a:ext>
          </a:extLst>
        </xdr:cNvPr>
        <xdr:cNvSpPr txBox="1"/>
      </xdr:nvSpPr>
      <xdr:spPr>
        <a:xfrm>
          <a:off x="8267700" y="36705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181</xdr:row>
      <xdr:rowOff>0</xdr:rowOff>
    </xdr:from>
    <xdr:ext cx="65" cy="172227"/>
    <xdr:sp macro="" textlink="">
      <xdr:nvSpPr>
        <xdr:cNvPr id="5446" name="TextBox 5445">
          <a:extLst>
            <a:ext uri="{FF2B5EF4-FFF2-40B4-BE49-F238E27FC236}">
              <a16:creationId xmlns:a16="http://schemas.microsoft.com/office/drawing/2014/main" id="{00000000-0008-0000-0000-000022000000}"/>
            </a:ext>
          </a:extLst>
        </xdr:cNvPr>
        <xdr:cNvSpPr txBox="1"/>
      </xdr:nvSpPr>
      <xdr:spPr>
        <a:xfrm>
          <a:off x="8267700" y="36888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181</xdr:row>
      <xdr:rowOff>0</xdr:rowOff>
    </xdr:from>
    <xdr:ext cx="65" cy="172227"/>
    <xdr:sp macro="" textlink="">
      <xdr:nvSpPr>
        <xdr:cNvPr id="5447" name="TextBox 5446">
          <a:extLst>
            <a:ext uri="{FF2B5EF4-FFF2-40B4-BE49-F238E27FC236}">
              <a16:creationId xmlns:a16="http://schemas.microsoft.com/office/drawing/2014/main" id="{00000000-0008-0000-0000-000023000000}"/>
            </a:ext>
          </a:extLst>
        </xdr:cNvPr>
        <xdr:cNvSpPr txBox="1"/>
      </xdr:nvSpPr>
      <xdr:spPr>
        <a:xfrm>
          <a:off x="8267700" y="36888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182</xdr:row>
      <xdr:rowOff>0</xdr:rowOff>
    </xdr:from>
    <xdr:ext cx="65" cy="172227"/>
    <xdr:sp macro="" textlink="">
      <xdr:nvSpPr>
        <xdr:cNvPr id="5448" name="TextBox 5447">
          <a:extLst>
            <a:ext uri="{FF2B5EF4-FFF2-40B4-BE49-F238E27FC236}">
              <a16:creationId xmlns:a16="http://schemas.microsoft.com/office/drawing/2014/main" id="{00000000-0008-0000-0000-000024000000}"/>
            </a:ext>
          </a:extLst>
        </xdr:cNvPr>
        <xdr:cNvSpPr txBox="1"/>
      </xdr:nvSpPr>
      <xdr:spPr>
        <a:xfrm>
          <a:off x="8267700" y="37071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182</xdr:row>
      <xdr:rowOff>0</xdr:rowOff>
    </xdr:from>
    <xdr:ext cx="65" cy="172227"/>
    <xdr:sp macro="" textlink="">
      <xdr:nvSpPr>
        <xdr:cNvPr id="5449" name="TextBox 5448">
          <a:extLst>
            <a:ext uri="{FF2B5EF4-FFF2-40B4-BE49-F238E27FC236}">
              <a16:creationId xmlns:a16="http://schemas.microsoft.com/office/drawing/2014/main" id="{00000000-0008-0000-0000-000025000000}"/>
            </a:ext>
          </a:extLst>
        </xdr:cNvPr>
        <xdr:cNvSpPr txBox="1"/>
      </xdr:nvSpPr>
      <xdr:spPr>
        <a:xfrm>
          <a:off x="8267700" y="37071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183</xdr:row>
      <xdr:rowOff>0</xdr:rowOff>
    </xdr:from>
    <xdr:ext cx="65" cy="172227"/>
    <xdr:sp macro="" textlink="">
      <xdr:nvSpPr>
        <xdr:cNvPr id="5450" name="TextBox 5449">
          <a:extLst>
            <a:ext uri="{FF2B5EF4-FFF2-40B4-BE49-F238E27FC236}">
              <a16:creationId xmlns:a16="http://schemas.microsoft.com/office/drawing/2014/main" id="{00000000-0008-0000-0000-000026000000}"/>
            </a:ext>
          </a:extLst>
        </xdr:cNvPr>
        <xdr:cNvSpPr txBox="1"/>
      </xdr:nvSpPr>
      <xdr:spPr>
        <a:xfrm>
          <a:off x="8267700" y="37254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183</xdr:row>
      <xdr:rowOff>0</xdr:rowOff>
    </xdr:from>
    <xdr:ext cx="65" cy="172227"/>
    <xdr:sp macro="" textlink="">
      <xdr:nvSpPr>
        <xdr:cNvPr id="5451" name="TextBox 5450">
          <a:extLst>
            <a:ext uri="{FF2B5EF4-FFF2-40B4-BE49-F238E27FC236}">
              <a16:creationId xmlns:a16="http://schemas.microsoft.com/office/drawing/2014/main" id="{00000000-0008-0000-0000-000027000000}"/>
            </a:ext>
          </a:extLst>
        </xdr:cNvPr>
        <xdr:cNvSpPr txBox="1"/>
      </xdr:nvSpPr>
      <xdr:spPr>
        <a:xfrm>
          <a:off x="8267700" y="37254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189</xdr:row>
      <xdr:rowOff>0</xdr:rowOff>
    </xdr:from>
    <xdr:ext cx="65" cy="172227"/>
    <xdr:sp macro="" textlink="">
      <xdr:nvSpPr>
        <xdr:cNvPr id="5452" name="TextBox 5451">
          <a:extLst>
            <a:ext uri="{FF2B5EF4-FFF2-40B4-BE49-F238E27FC236}">
              <a16:creationId xmlns:a16="http://schemas.microsoft.com/office/drawing/2014/main" id="{00000000-0008-0000-0000-000028000000}"/>
            </a:ext>
          </a:extLst>
        </xdr:cNvPr>
        <xdr:cNvSpPr txBox="1"/>
      </xdr:nvSpPr>
      <xdr:spPr>
        <a:xfrm>
          <a:off x="8267700" y="3835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189</xdr:row>
      <xdr:rowOff>0</xdr:rowOff>
    </xdr:from>
    <xdr:ext cx="65" cy="172227"/>
    <xdr:sp macro="" textlink="">
      <xdr:nvSpPr>
        <xdr:cNvPr id="5453" name="TextBox 5452">
          <a:extLst>
            <a:ext uri="{FF2B5EF4-FFF2-40B4-BE49-F238E27FC236}">
              <a16:creationId xmlns:a16="http://schemas.microsoft.com/office/drawing/2014/main" id="{00000000-0008-0000-0000-000029000000}"/>
            </a:ext>
          </a:extLst>
        </xdr:cNvPr>
        <xdr:cNvSpPr txBox="1"/>
      </xdr:nvSpPr>
      <xdr:spPr>
        <a:xfrm>
          <a:off x="8267700" y="3835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190</xdr:row>
      <xdr:rowOff>0</xdr:rowOff>
    </xdr:from>
    <xdr:ext cx="65" cy="172227"/>
    <xdr:sp macro="" textlink="">
      <xdr:nvSpPr>
        <xdr:cNvPr id="5454" name="TextBox 5453">
          <a:extLst>
            <a:ext uri="{FF2B5EF4-FFF2-40B4-BE49-F238E27FC236}">
              <a16:creationId xmlns:a16="http://schemas.microsoft.com/office/drawing/2014/main" id="{00000000-0008-0000-0000-00002A000000}"/>
            </a:ext>
          </a:extLst>
        </xdr:cNvPr>
        <xdr:cNvSpPr txBox="1"/>
      </xdr:nvSpPr>
      <xdr:spPr>
        <a:xfrm>
          <a:off x="8267700" y="38534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190</xdr:row>
      <xdr:rowOff>0</xdr:rowOff>
    </xdr:from>
    <xdr:ext cx="65" cy="172227"/>
    <xdr:sp macro="" textlink="">
      <xdr:nvSpPr>
        <xdr:cNvPr id="5455" name="TextBox 5454">
          <a:extLst>
            <a:ext uri="{FF2B5EF4-FFF2-40B4-BE49-F238E27FC236}">
              <a16:creationId xmlns:a16="http://schemas.microsoft.com/office/drawing/2014/main" id="{00000000-0008-0000-0000-00002B000000}"/>
            </a:ext>
          </a:extLst>
        </xdr:cNvPr>
        <xdr:cNvSpPr txBox="1"/>
      </xdr:nvSpPr>
      <xdr:spPr>
        <a:xfrm>
          <a:off x="8267700" y="38534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191</xdr:row>
      <xdr:rowOff>0</xdr:rowOff>
    </xdr:from>
    <xdr:ext cx="65" cy="172227"/>
    <xdr:sp macro="" textlink="">
      <xdr:nvSpPr>
        <xdr:cNvPr id="5456" name="TextBox 5455">
          <a:extLst>
            <a:ext uri="{FF2B5EF4-FFF2-40B4-BE49-F238E27FC236}">
              <a16:creationId xmlns:a16="http://schemas.microsoft.com/office/drawing/2014/main" id="{00000000-0008-0000-0000-00002C000000}"/>
            </a:ext>
          </a:extLst>
        </xdr:cNvPr>
        <xdr:cNvSpPr txBox="1"/>
      </xdr:nvSpPr>
      <xdr:spPr>
        <a:xfrm>
          <a:off x="8267700" y="38717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191</xdr:row>
      <xdr:rowOff>0</xdr:rowOff>
    </xdr:from>
    <xdr:ext cx="65" cy="172227"/>
    <xdr:sp macro="" textlink="">
      <xdr:nvSpPr>
        <xdr:cNvPr id="5457" name="TextBox 5456">
          <a:extLst>
            <a:ext uri="{FF2B5EF4-FFF2-40B4-BE49-F238E27FC236}">
              <a16:creationId xmlns:a16="http://schemas.microsoft.com/office/drawing/2014/main" id="{00000000-0008-0000-0000-00002D000000}"/>
            </a:ext>
          </a:extLst>
        </xdr:cNvPr>
        <xdr:cNvSpPr txBox="1"/>
      </xdr:nvSpPr>
      <xdr:spPr>
        <a:xfrm>
          <a:off x="8267700" y="38717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192</xdr:row>
      <xdr:rowOff>0</xdr:rowOff>
    </xdr:from>
    <xdr:ext cx="65" cy="172227"/>
    <xdr:sp macro="" textlink="">
      <xdr:nvSpPr>
        <xdr:cNvPr id="5458" name="TextBox 5457">
          <a:extLst>
            <a:ext uri="{FF2B5EF4-FFF2-40B4-BE49-F238E27FC236}">
              <a16:creationId xmlns:a16="http://schemas.microsoft.com/office/drawing/2014/main" id="{00000000-0008-0000-0000-00002E000000}"/>
            </a:ext>
          </a:extLst>
        </xdr:cNvPr>
        <xdr:cNvSpPr txBox="1"/>
      </xdr:nvSpPr>
      <xdr:spPr>
        <a:xfrm>
          <a:off x="8267700" y="38900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192</xdr:row>
      <xdr:rowOff>0</xdr:rowOff>
    </xdr:from>
    <xdr:ext cx="65" cy="172227"/>
    <xdr:sp macro="" textlink="">
      <xdr:nvSpPr>
        <xdr:cNvPr id="5459" name="TextBox 5458">
          <a:extLst>
            <a:ext uri="{FF2B5EF4-FFF2-40B4-BE49-F238E27FC236}">
              <a16:creationId xmlns:a16="http://schemas.microsoft.com/office/drawing/2014/main" id="{00000000-0008-0000-0000-00002F000000}"/>
            </a:ext>
          </a:extLst>
        </xdr:cNvPr>
        <xdr:cNvSpPr txBox="1"/>
      </xdr:nvSpPr>
      <xdr:spPr>
        <a:xfrm>
          <a:off x="8267700" y="38900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193</xdr:row>
      <xdr:rowOff>0</xdr:rowOff>
    </xdr:from>
    <xdr:ext cx="65" cy="172227"/>
    <xdr:sp macro="" textlink="">
      <xdr:nvSpPr>
        <xdr:cNvPr id="5460" name="TextBox 5459">
          <a:extLst>
            <a:ext uri="{FF2B5EF4-FFF2-40B4-BE49-F238E27FC236}">
              <a16:creationId xmlns:a16="http://schemas.microsoft.com/office/drawing/2014/main" id="{00000000-0008-0000-0000-000030000000}"/>
            </a:ext>
          </a:extLst>
        </xdr:cNvPr>
        <xdr:cNvSpPr txBox="1"/>
      </xdr:nvSpPr>
      <xdr:spPr>
        <a:xfrm>
          <a:off x="8267700" y="39082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193</xdr:row>
      <xdr:rowOff>0</xdr:rowOff>
    </xdr:from>
    <xdr:ext cx="65" cy="172227"/>
    <xdr:sp macro="" textlink="">
      <xdr:nvSpPr>
        <xdr:cNvPr id="5461" name="TextBox 5460">
          <a:extLst>
            <a:ext uri="{FF2B5EF4-FFF2-40B4-BE49-F238E27FC236}">
              <a16:creationId xmlns:a16="http://schemas.microsoft.com/office/drawing/2014/main" id="{00000000-0008-0000-0000-000031000000}"/>
            </a:ext>
          </a:extLst>
        </xdr:cNvPr>
        <xdr:cNvSpPr txBox="1"/>
      </xdr:nvSpPr>
      <xdr:spPr>
        <a:xfrm>
          <a:off x="8267700" y="39082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5462" name="TextBox 5461">
          <a:extLst>
            <a:ext uri="{FF2B5EF4-FFF2-40B4-BE49-F238E27FC236}">
              <a16:creationId xmlns:a16="http://schemas.microsoft.com/office/drawing/2014/main" id="{00000000-0008-0000-0000-000032000000}"/>
            </a:ext>
          </a:extLst>
        </xdr:cNvPr>
        <xdr:cNvSpPr txBox="1"/>
      </xdr:nvSpPr>
      <xdr:spPr>
        <a:xfrm>
          <a:off x="8267700" y="39814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5463" name="TextBox 5462">
          <a:extLst>
            <a:ext uri="{FF2B5EF4-FFF2-40B4-BE49-F238E27FC236}">
              <a16:creationId xmlns:a16="http://schemas.microsoft.com/office/drawing/2014/main" id="{00000000-0008-0000-0000-000033000000}"/>
            </a:ext>
          </a:extLst>
        </xdr:cNvPr>
        <xdr:cNvSpPr txBox="1"/>
      </xdr:nvSpPr>
      <xdr:spPr>
        <a:xfrm>
          <a:off x="8267700" y="39814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5464" name="TextBox 5463">
          <a:extLst>
            <a:ext uri="{FF2B5EF4-FFF2-40B4-BE49-F238E27FC236}">
              <a16:creationId xmlns:a16="http://schemas.microsoft.com/office/drawing/2014/main" id="{00000000-0008-0000-0000-000034000000}"/>
            </a:ext>
          </a:extLst>
        </xdr:cNvPr>
        <xdr:cNvSpPr txBox="1"/>
      </xdr:nvSpPr>
      <xdr:spPr>
        <a:xfrm>
          <a:off x="8267700" y="39814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5465" name="TextBox 5464">
          <a:extLst>
            <a:ext uri="{FF2B5EF4-FFF2-40B4-BE49-F238E27FC236}">
              <a16:creationId xmlns:a16="http://schemas.microsoft.com/office/drawing/2014/main" id="{00000000-0008-0000-0000-000035000000}"/>
            </a:ext>
          </a:extLst>
        </xdr:cNvPr>
        <xdr:cNvSpPr txBox="1"/>
      </xdr:nvSpPr>
      <xdr:spPr>
        <a:xfrm>
          <a:off x="8267700" y="39814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5466" name="TextBox 5465">
          <a:extLst>
            <a:ext uri="{FF2B5EF4-FFF2-40B4-BE49-F238E27FC236}">
              <a16:creationId xmlns:a16="http://schemas.microsoft.com/office/drawing/2014/main" id="{00000000-0008-0000-0000-000036000000}"/>
            </a:ext>
          </a:extLst>
        </xdr:cNvPr>
        <xdr:cNvSpPr txBox="1"/>
      </xdr:nvSpPr>
      <xdr:spPr>
        <a:xfrm>
          <a:off x="8267700" y="39814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5467" name="TextBox 5466">
          <a:extLst>
            <a:ext uri="{FF2B5EF4-FFF2-40B4-BE49-F238E27FC236}">
              <a16:creationId xmlns:a16="http://schemas.microsoft.com/office/drawing/2014/main" id="{00000000-0008-0000-0000-000037000000}"/>
            </a:ext>
          </a:extLst>
        </xdr:cNvPr>
        <xdr:cNvSpPr txBox="1"/>
      </xdr:nvSpPr>
      <xdr:spPr>
        <a:xfrm>
          <a:off x="8267700" y="39814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5468" name="TextBox 5467">
          <a:extLst>
            <a:ext uri="{FF2B5EF4-FFF2-40B4-BE49-F238E27FC236}">
              <a16:creationId xmlns:a16="http://schemas.microsoft.com/office/drawing/2014/main" id="{00000000-0008-0000-0000-000038000000}"/>
            </a:ext>
          </a:extLst>
        </xdr:cNvPr>
        <xdr:cNvSpPr txBox="1"/>
      </xdr:nvSpPr>
      <xdr:spPr>
        <a:xfrm>
          <a:off x="8267700" y="39814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5469" name="TextBox 5468">
          <a:extLst>
            <a:ext uri="{FF2B5EF4-FFF2-40B4-BE49-F238E27FC236}">
              <a16:creationId xmlns:a16="http://schemas.microsoft.com/office/drawing/2014/main" id="{00000000-0008-0000-0000-000039000000}"/>
            </a:ext>
          </a:extLst>
        </xdr:cNvPr>
        <xdr:cNvSpPr txBox="1"/>
      </xdr:nvSpPr>
      <xdr:spPr>
        <a:xfrm>
          <a:off x="8267700" y="39814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5470" name="TextBox 5469">
          <a:extLst>
            <a:ext uri="{FF2B5EF4-FFF2-40B4-BE49-F238E27FC236}">
              <a16:creationId xmlns:a16="http://schemas.microsoft.com/office/drawing/2014/main" id="{00000000-0008-0000-0000-00003A000000}"/>
            </a:ext>
          </a:extLst>
        </xdr:cNvPr>
        <xdr:cNvSpPr txBox="1"/>
      </xdr:nvSpPr>
      <xdr:spPr>
        <a:xfrm>
          <a:off x="8267700" y="39814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5471" name="TextBox 5470">
          <a:extLst>
            <a:ext uri="{FF2B5EF4-FFF2-40B4-BE49-F238E27FC236}">
              <a16:creationId xmlns:a16="http://schemas.microsoft.com/office/drawing/2014/main" id="{00000000-0008-0000-0000-00003B000000}"/>
            </a:ext>
          </a:extLst>
        </xdr:cNvPr>
        <xdr:cNvSpPr txBox="1"/>
      </xdr:nvSpPr>
      <xdr:spPr>
        <a:xfrm>
          <a:off x="8267700" y="39814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5472" name="TextBox 5471">
          <a:extLst>
            <a:ext uri="{FF2B5EF4-FFF2-40B4-BE49-F238E27FC236}">
              <a16:creationId xmlns:a16="http://schemas.microsoft.com/office/drawing/2014/main" id="{00000000-0008-0000-0000-00003C000000}"/>
            </a:ext>
          </a:extLst>
        </xdr:cNvPr>
        <xdr:cNvSpPr txBox="1"/>
      </xdr:nvSpPr>
      <xdr:spPr>
        <a:xfrm>
          <a:off x="8267700" y="39814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5473" name="TextBox 5472">
          <a:extLst>
            <a:ext uri="{FF2B5EF4-FFF2-40B4-BE49-F238E27FC236}">
              <a16:creationId xmlns:a16="http://schemas.microsoft.com/office/drawing/2014/main" id="{00000000-0008-0000-0000-00003D000000}"/>
            </a:ext>
          </a:extLst>
        </xdr:cNvPr>
        <xdr:cNvSpPr txBox="1"/>
      </xdr:nvSpPr>
      <xdr:spPr>
        <a:xfrm>
          <a:off x="8267700" y="39814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5474" name="TextBox 5473">
          <a:extLst>
            <a:ext uri="{FF2B5EF4-FFF2-40B4-BE49-F238E27FC236}">
              <a16:creationId xmlns:a16="http://schemas.microsoft.com/office/drawing/2014/main" id="{00000000-0008-0000-0000-00003E000000}"/>
            </a:ext>
          </a:extLst>
        </xdr:cNvPr>
        <xdr:cNvSpPr txBox="1"/>
      </xdr:nvSpPr>
      <xdr:spPr>
        <a:xfrm>
          <a:off x="8267700" y="39814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5475" name="TextBox 5474">
          <a:extLst>
            <a:ext uri="{FF2B5EF4-FFF2-40B4-BE49-F238E27FC236}">
              <a16:creationId xmlns:a16="http://schemas.microsoft.com/office/drawing/2014/main" id="{00000000-0008-0000-0000-00003F000000}"/>
            </a:ext>
          </a:extLst>
        </xdr:cNvPr>
        <xdr:cNvSpPr txBox="1"/>
      </xdr:nvSpPr>
      <xdr:spPr>
        <a:xfrm>
          <a:off x="8267700" y="39814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5476" name="TextBox 5475">
          <a:extLst>
            <a:ext uri="{FF2B5EF4-FFF2-40B4-BE49-F238E27FC236}">
              <a16:creationId xmlns:a16="http://schemas.microsoft.com/office/drawing/2014/main" id="{00000000-0008-0000-0000-000040000000}"/>
            </a:ext>
          </a:extLst>
        </xdr:cNvPr>
        <xdr:cNvSpPr txBox="1"/>
      </xdr:nvSpPr>
      <xdr:spPr>
        <a:xfrm>
          <a:off x="8267700" y="39814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5477" name="TextBox 5476">
          <a:extLst>
            <a:ext uri="{FF2B5EF4-FFF2-40B4-BE49-F238E27FC236}">
              <a16:creationId xmlns:a16="http://schemas.microsoft.com/office/drawing/2014/main" id="{00000000-0008-0000-0000-000041000000}"/>
            </a:ext>
          </a:extLst>
        </xdr:cNvPr>
        <xdr:cNvSpPr txBox="1"/>
      </xdr:nvSpPr>
      <xdr:spPr>
        <a:xfrm>
          <a:off x="8267700" y="39814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5478" name="TextBox 5477">
          <a:extLst>
            <a:ext uri="{FF2B5EF4-FFF2-40B4-BE49-F238E27FC236}">
              <a16:creationId xmlns:a16="http://schemas.microsoft.com/office/drawing/2014/main" id="{00000000-0008-0000-0000-000042000000}"/>
            </a:ext>
          </a:extLst>
        </xdr:cNvPr>
        <xdr:cNvSpPr txBox="1"/>
      </xdr:nvSpPr>
      <xdr:spPr>
        <a:xfrm>
          <a:off x="8267700" y="39814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5479" name="TextBox 5478">
          <a:extLst>
            <a:ext uri="{FF2B5EF4-FFF2-40B4-BE49-F238E27FC236}">
              <a16:creationId xmlns:a16="http://schemas.microsoft.com/office/drawing/2014/main" id="{00000000-0008-0000-0000-000043000000}"/>
            </a:ext>
          </a:extLst>
        </xdr:cNvPr>
        <xdr:cNvSpPr txBox="1"/>
      </xdr:nvSpPr>
      <xdr:spPr>
        <a:xfrm>
          <a:off x="8267700" y="39814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5480" name="TextBox 5479">
          <a:extLst>
            <a:ext uri="{FF2B5EF4-FFF2-40B4-BE49-F238E27FC236}">
              <a16:creationId xmlns:a16="http://schemas.microsoft.com/office/drawing/2014/main" id="{00000000-0008-0000-0000-000044000000}"/>
            </a:ext>
          </a:extLst>
        </xdr:cNvPr>
        <xdr:cNvSpPr txBox="1"/>
      </xdr:nvSpPr>
      <xdr:spPr>
        <a:xfrm>
          <a:off x="8267700" y="39814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5481" name="TextBox 5480">
          <a:extLst>
            <a:ext uri="{FF2B5EF4-FFF2-40B4-BE49-F238E27FC236}">
              <a16:creationId xmlns:a16="http://schemas.microsoft.com/office/drawing/2014/main" id="{00000000-0008-0000-0000-000045000000}"/>
            </a:ext>
          </a:extLst>
        </xdr:cNvPr>
        <xdr:cNvSpPr txBox="1"/>
      </xdr:nvSpPr>
      <xdr:spPr>
        <a:xfrm>
          <a:off x="8267700" y="39814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5482" name="TextBox 5481">
          <a:extLst>
            <a:ext uri="{FF2B5EF4-FFF2-40B4-BE49-F238E27FC236}">
              <a16:creationId xmlns:a16="http://schemas.microsoft.com/office/drawing/2014/main" id="{00000000-0008-0000-0000-000048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5483" name="TextBox 5482">
          <a:extLst>
            <a:ext uri="{FF2B5EF4-FFF2-40B4-BE49-F238E27FC236}">
              <a16:creationId xmlns:a16="http://schemas.microsoft.com/office/drawing/2014/main" id="{00000000-0008-0000-0000-000049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484" name="TextBox 5483">
          <a:extLst>
            <a:ext uri="{FF2B5EF4-FFF2-40B4-BE49-F238E27FC236}">
              <a16:creationId xmlns:a16="http://schemas.microsoft.com/office/drawing/2014/main" id="{00000000-0008-0000-0000-00004C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485" name="TextBox 5484">
          <a:extLst>
            <a:ext uri="{FF2B5EF4-FFF2-40B4-BE49-F238E27FC236}">
              <a16:creationId xmlns:a16="http://schemas.microsoft.com/office/drawing/2014/main" id="{00000000-0008-0000-0000-00004D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5486" name="TextBox 5485">
          <a:extLst>
            <a:ext uri="{FF2B5EF4-FFF2-40B4-BE49-F238E27FC236}">
              <a16:creationId xmlns:a16="http://schemas.microsoft.com/office/drawing/2014/main" id="{00000000-0008-0000-0000-00004E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5487" name="TextBox 5486">
          <a:extLst>
            <a:ext uri="{FF2B5EF4-FFF2-40B4-BE49-F238E27FC236}">
              <a16:creationId xmlns:a16="http://schemas.microsoft.com/office/drawing/2014/main" id="{00000000-0008-0000-0000-00004F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5488" name="TextBox 5487">
          <a:extLst>
            <a:ext uri="{FF2B5EF4-FFF2-40B4-BE49-F238E27FC236}">
              <a16:creationId xmlns:a16="http://schemas.microsoft.com/office/drawing/2014/main" id="{00000000-0008-0000-0000-000050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5489" name="TextBox 5488">
          <a:extLst>
            <a:ext uri="{FF2B5EF4-FFF2-40B4-BE49-F238E27FC236}">
              <a16:creationId xmlns:a16="http://schemas.microsoft.com/office/drawing/2014/main" id="{00000000-0008-0000-0000-000051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5490" name="TextBox 5489">
          <a:extLst>
            <a:ext uri="{FF2B5EF4-FFF2-40B4-BE49-F238E27FC236}">
              <a16:creationId xmlns:a16="http://schemas.microsoft.com/office/drawing/2014/main" id="{00000000-0008-0000-0000-000052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5491" name="TextBox 5490">
          <a:extLst>
            <a:ext uri="{FF2B5EF4-FFF2-40B4-BE49-F238E27FC236}">
              <a16:creationId xmlns:a16="http://schemas.microsoft.com/office/drawing/2014/main" id="{00000000-0008-0000-0000-000053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5492" name="TextBox 5491">
          <a:extLst>
            <a:ext uri="{FF2B5EF4-FFF2-40B4-BE49-F238E27FC236}">
              <a16:creationId xmlns:a16="http://schemas.microsoft.com/office/drawing/2014/main" id="{00000000-0008-0000-0000-000054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5493" name="TextBox 5492">
          <a:extLst>
            <a:ext uri="{FF2B5EF4-FFF2-40B4-BE49-F238E27FC236}">
              <a16:creationId xmlns:a16="http://schemas.microsoft.com/office/drawing/2014/main" id="{00000000-0008-0000-0000-000055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5494" name="TextBox 5493">
          <a:extLst>
            <a:ext uri="{FF2B5EF4-FFF2-40B4-BE49-F238E27FC236}">
              <a16:creationId xmlns:a16="http://schemas.microsoft.com/office/drawing/2014/main" id="{00000000-0008-0000-0000-000056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5495" name="TextBox 5494">
          <a:extLst>
            <a:ext uri="{FF2B5EF4-FFF2-40B4-BE49-F238E27FC236}">
              <a16:creationId xmlns:a16="http://schemas.microsoft.com/office/drawing/2014/main" id="{00000000-0008-0000-0000-000057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496" name="TextBox 5495">
          <a:extLst>
            <a:ext uri="{FF2B5EF4-FFF2-40B4-BE49-F238E27FC236}">
              <a16:creationId xmlns:a16="http://schemas.microsoft.com/office/drawing/2014/main" id="{00000000-0008-0000-0000-000058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497" name="TextBox 5496">
          <a:extLst>
            <a:ext uri="{FF2B5EF4-FFF2-40B4-BE49-F238E27FC236}">
              <a16:creationId xmlns:a16="http://schemas.microsoft.com/office/drawing/2014/main" id="{00000000-0008-0000-0000-000059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498" name="TextBox 5497">
          <a:extLst>
            <a:ext uri="{FF2B5EF4-FFF2-40B4-BE49-F238E27FC236}">
              <a16:creationId xmlns:a16="http://schemas.microsoft.com/office/drawing/2014/main" id="{00000000-0008-0000-0000-00005A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499" name="TextBox 5498">
          <a:extLst>
            <a:ext uri="{FF2B5EF4-FFF2-40B4-BE49-F238E27FC236}">
              <a16:creationId xmlns:a16="http://schemas.microsoft.com/office/drawing/2014/main" id="{00000000-0008-0000-0000-00005B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500" name="TextBox 5499">
          <a:extLst>
            <a:ext uri="{FF2B5EF4-FFF2-40B4-BE49-F238E27FC236}">
              <a16:creationId xmlns:a16="http://schemas.microsoft.com/office/drawing/2014/main" id="{00000000-0008-0000-0000-00005C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501" name="TextBox 5500">
          <a:extLst>
            <a:ext uri="{FF2B5EF4-FFF2-40B4-BE49-F238E27FC236}">
              <a16:creationId xmlns:a16="http://schemas.microsoft.com/office/drawing/2014/main" id="{00000000-0008-0000-0000-00005D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502" name="TextBox 5501">
          <a:extLst>
            <a:ext uri="{FF2B5EF4-FFF2-40B4-BE49-F238E27FC236}">
              <a16:creationId xmlns:a16="http://schemas.microsoft.com/office/drawing/2014/main" id="{00000000-0008-0000-0000-00005E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503" name="TextBox 5502">
          <a:extLst>
            <a:ext uri="{FF2B5EF4-FFF2-40B4-BE49-F238E27FC236}">
              <a16:creationId xmlns:a16="http://schemas.microsoft.com/office/drawing/2014/main" id="{00000000-0008-0000-0000-00005F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5504" name="TextBox 5503">
          <a:extLst>
            <a:ext uri="{FF2B5EF4-FFF2-40B4-BE49-F238E27FC236}">
              <a16:creationId xmlns:a16="http://schemas.microsoft.com/office/drawing/2014/main" id="{00000000-0008-0000-0000-000060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5505" name="TextBox 5504">
          <a:extLst>
            <a:ext uri="{FF2B5EF4-FFF2-40B4-BE49-F238E27FC236}">
              <a16:creationId xmlns:a16="http://schemas.microsoft.com/office/drawing/2014/main" id="{00000000-0008-0000-0000-000061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5506" name="TextBox 5505">
          <a:extLst>
            <a:ext uri="{FF2B5EF4-FFF2-40B4-BE49-F238E27FC236}">
              <a16:creationId xmlns:a16="http://schemas.microsoft.com/office/drawing/2014/main" id="{00000000-0008-0000-0000-000062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5507" name="TextBox 5506">
          <a:extLst>
            <a:ext uri="{FF2B5EF4-FFF2-40B4-BE49-F238E27FC236}">
              <a16:creationId xmlns:a16="http://schemas.microsoft.com/office/drawing/2014/main" id="{00000000-0008-0000-0000-000063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5508" name="TextBox 5507">
          <a:extLst>
            <a:ext uri="{FF2B5EF4-FFF2-40B4-BE49-F238E27FC236}">
              <a16:creationId xmlns:a16="http://schemas.microsoft.com/office/drawing/2014/main" id="{00000000-0008-0000-0000-000064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5509" name="TextBox 5508">
          <a:extLst>
            <a:ext uri="{FF2B5EF4-FFF2-40B4-BE49-F238E27FC236}">
              <a16:creationId xmlns:a16="http://schemas.microsoft.com/office/drawing/2014/main" id="{00000000-0008-0000-0000-000065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5510" name="TextBox 5509">
          <a:extLst>
            <a:ext uri="{FF2B5EF4-FFF2-40B4-BE49-F238E27FC236}">
              <a16:creationId xmlns:a16="http://schemas.microsoft.com/office/drawing/2014/main" id="{00000000-0008-0000-0000-000066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5511" name="TextBox 5510">
          <a:extLst>
            <a:ext uri="{FF2B5EF4-FFF2-40B4-BE49-F238E27FC236}">
              <a16:creationId xmlns:a16="http://schemas.microsoft.com/office/drawing/2014/main" id="{00000000-0008-0000-0000-000067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5512" name="TextBox 5511">
          <a:extLst>
            <a:ext uri="{FF2B5EF4-FFF2-40B4-BE49-F238E27FC236}">
              <a16:creationId xmlns:a16="http://schemas.microsoft.com/office/drawing/2014/main" id="{00000000-0008-0000-0000-000068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5513" name="TextBox 5512">
          <a:extLst>
            <a:ext uri="{FF2B5EF4-FFF2-40B4-BE49-F238E27FC236}">
              <a16:creationId xmlns:a16="http://schemas.microsoft.com/office/drawing/2014/main" id="{00000000-0008-0000-0000-000069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5514" name="TextBox 5513">
          <a:extLst>
            <a:ext uri="{FF2B5EF4-FFF2-40B4-BE49-F238E27FC236}">
              <a16:creationId xmlns:a16="http://schemas.microsoft.com/office/drawing/2014/main" id="{00000000-0008-0000-0000-00006A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5515" name="TextBox 5514">
          <a:extLst>
            <a:ext uri="{FF2B5EF4-FFF2-40B4-BE49-F238E27FC236}">
              <a16:creationId xmlns:a16="http://schemas.microsoft.com/office/drawing/2014/main" id="{00000000-0008-0000-0000-00006B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5516" name="TextBox 5515">
          <a:extLst>
            <a:ext uri="{FF2B5EF4-FFF2-40B4-BE49-F238E27FC236}">
              <a16:creationId xmlns:a16="http://schemas.microsoft.com/office/drawing/2014/main" id="{00000000-0008-0000-0000-00006C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5517" name="TextBox 5516">
          <a:extLst>
            <a:ext uri="{FF2B5EF4-FFF2-40B4-BE49-F238E27FC236}">
              <a16:creationId xmlns:a16="http://schemas.microsoft.com/office/drawing/2014/main" id="{00000000-0008-0000-0000-00006D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5518" name="TextBox 5517">
          <a:extLst>
            <a:ext uri="{FF2B5EF4-FFF2-40B4-BE49-F238E27FC236}">
              <a16:creationId xmlns:a16="http://schemas.microsoft.com/office/drawing/2014/main" id="{00000000-0008-0000-0000-00006E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5519" name="TextBox 5518">
          <a:extLst>
            <a:ext uri="{FF2B5EF4-FFF2-40B4-BE49-F238E27FC236}">
              <a16:creationId xmlns:a16="http://schemas.microsoft.com/office/drawing/2014/main" id="{00000000-0008-0000-0000-00006F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5520" name="TextBox 5519">
          <a:extLst>
            <a:ext uri="{FF2B5EF4-FFF2-40B4-BE49-F238E27FC236}">
              <a16:creationId xmlns:a16="http://schemas.microsoft.com/office/drawing/2014/main" id="{00000000-0008-0000-0000-000070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5521" name="TextBox 5520">
          <a:extLst>
            <a:ext uri="{FF2B5EF4-FFF2-40B4-BE49-F238E27FC236}">
              <a16:creationId xmlns:a16="http://schemas.microsoft.com/office/drawing/2014/main" id="{00000000-0008-0000-0000-000071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5522" name="TextBox 5521">
          <a:extLst>
            <a:ext uri="{FF2B5EF4-FFF2-40B4-BE49-F238E27FC236}">
              <a16:creationId xmlns:a16="http://schemas.microsoft.com/office/drawing/2014/main" id="{00000000-0008-0000-0000-000072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5523" name="TextBox 5522">
          <a:extLst>
            <a:ext uri="{FF2B5EF4-FFF2-40B4-BE49-F238E27FC236}">
              <a16:creationId xmlns:a16="http://schemas.microsoft.com/office/drawing/2014/main" id="{00000000-0008-0000-0000-000073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5524" name="TextBox 5523">
          <a:extLst>
            <a:ext uri="{FF2B5EF4-FFF2-40B4-BE49-F238E27FC236}">
              <a16:creationId xmlns:a16="http://schemas.microsoft.com/office/drawing/2014/main" id="{00000000-0008-0000-0000-000074000000}"/>
            </a:ext>
          </a:extLst>
        </xdr:cNvPr>
        <xdr:cNvSpPr txBox="1"/>
      </xdr:nvSpPr>
      <xdr:spPr>
        <a:xfrm>
          <a:off x="1258062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5525" name="TextBox 5524">
          <a:extLst>
            <a:ext uri="{FF2B5EF4-FFF2-40B4-BE49-F238E27FC236}">
              <a16:creationId xmlns:a16="http://schemas.microsoft.com/office/drawing/2014/main" id="{00000000-0008-0000-0000-000075000000}"/>
            </a:ext>
          </a:extLst>
        </xdr:cNvPr>
        <xdr:cNvSpPr txBox="1"/>
      </xdr:nvSpPr>
      <xdr:spPr>
        <a:xfrm>
          <a:off x="1258062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5526" name="TextBox 5525">
          <a:extLst>
            <a:ext uri="{FF2B5EF4-FFF2-40B4-BE49-F238E27FC236}">
              <a16:creationId xmlns:a16="http://schemas.microsoft.com/office/drawing/2014/main" id="{00000000-0008-0000-0000-000076000000}"/>
            </a:ext>
          </a:extLst>
        </xdr:cNvPr>
        <xdr:cNvSpPr txBox="1"/>
      </xdr:nvSpPr>
      <xdr:spPr>
        <a:xfrm>
          <a:off x="1258062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5527" name="TextBox 5526">
          <a:extLst>
            <a:ext uri="{FF2B5EF4-FFF2-40B4-BE49-F238E27FC236}">
              <a16:creationId xmlns:a16="http://schemas.microsoft.com/office/drawing/2014/main" id="{00000000-0008-0000-0000-000077000000}"/>
            </a:ext>
          </a:extLst>
        </xdr:cNvPr>
        <xdr:cNvSpPr txBox="1"/>
      </xdr:nvSpPr>
      <xdr:spPr>
        <a:xfrm>
          <a:off x="1258062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5528" name="TextBox 5527">
          <a:extLst>
            <a:ext uri="{FF2B5EF4-FFF2-40B4-BE49-F238E27FC236}">
              <a16:creationId xmlns:a16="http://schemas.microsoft.com/office/drawing/2014/main" id="{00000000-0008-0000-0000-000078000000}"/>
            </a:ext>
          </a:extLst>
        </xdr:cNvPr>
        <xdr:cNvSpPr txBox="1"/>
      </xdr:nvSpPr>
      <xdr:spPr>
        <a:xfrm>
          <a:off x="1258062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5529" name="TextBox 5528">
          <a:extLst>
            <a:ext uri="{FF2B5EF4-FFF2-40B4-BE49-F238E27FC236}">
              <a16:creationId xmlns:a16="http://schemas.microsoft.com/office/drawing/2014/main" id="{00000000-0008-0000-0000-000079000000}"/>
            </a:ext>
          </a:extLst>
        </xdr:cNvPr>
        <xdr:cNvSpPr txBox="1"/>
      </xdr:nvSpPr>
      <xdr:spPr>
        <a:xfrm>
          <a:off x="1258062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5530" name="TextBox 5529">
          <a:extLst>
            <a:ext uri="{FF2B5EF4-FFF2-40B4-BE49-F238E27FC236}">
              <a16:creationId xmlns:a16="http://schemas.microsoft.com/office/drawing/2014/main" id="{00000000-0008-0000-0000-00007A000000}"/>
            </a:ext>
          </a:extLst>
        </xdr:cNvPr>
        <xdr:cNvSpPr txBox="1"/>
      </xdr:nvSpPr>
      <xdr:spPr>
        <a:xfrm>
          <a:off x="1258062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5531" name="TextBox 5530">
          <a:extLst>
            <a:ext uri="{FF2B5EF4-FFF2-40B4-BE49-F238E27FC236}">
              <a16:creationId xmlns:a16="http://schemas.microsoft.com/office/drawing/2014/main" id="{00000000-0008-0000-0000-00007B000000}"/>
            </a:ext>
          </a:extLst>
        </xdr:cNvPr>
        <xdr:cNvSpPr txBox="1"/>
      </xdr:nvSpPr>
      <xdr:spPr>
        <a:xfrm>
          <a:off x="1258062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5532" name="TextBox 5531">
          <a:extLst>
            <a:ext uri="{FF2B5EF4-FFF2-40B4-BE49-F238E27FC236}">
              <a16:creationId xmlns:a16="http://schemas.microsoft.com/office/drawing/2014/main" id="{00000000-0008-0000-0000-00007C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5533" name="TextBox 5532">
          <a:extLst>
            <a:ext uri="{FF2B5EF4-FFF2-40B4-BE49-F238E27FC236}">
              <a16:creationId xmlns:a16="http://schemas.microsoft.com/office/drawing/2014/main" id="{00000000-0008-0000-0000-00007D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5534" name="TextBox 5533">
          <a:extLst>
            <a:ext uri="{FF2B5EF4-FFF2-40B4-BE49-F238E27FC236}">
              <a16:creationId xmlns:a16="http://schemas.microsoft.com/office/drawing/2014/main" id="{00000000-0008-0000-0000-00007E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5535" name="TextBox 5534">
          <a:extLst>
            <a:ext uri="{FF2B5EF4-FFF2-40B4-BE49-F238E27FC236}">
              <a16:creationId xmlns:a16="http://schemas.microsoft.com/office/drawing/2014/main" id="{00000000-0008-0000-0000-00007F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5536" name="TextBox 5535">
          <a:extLst>
            <a:ext uri="{FF2B5EF4-FFF2-40B4-BE49-F238E27FC236}">
              <a16:creationId xmlns:a16="http://schemas.microsoft.com/office/drawing/2014/main" id="{00000000-0008-0000-0000-000080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5537" name="TextBox 5536">
          <a:extLst>
            <a:ext uri="{FF2B5EF4-FFF2-40B4-BE49-F238E27FC236}">
              <a16:creationId xmlns:a16="http://schemas.microsoft.com/office/drawing/2014/main" id="{00000000-0008-0000-0000-000081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5538" name="TextBox 5537">
          <a:extLst>
            <a:ext uri="{FF2B5EF4-FFF2-40B4-BE49-F238E27FC236}">
              <a16:creationId xmlns:a16="http://schemas.microsoft.com/office/drawing/2014/main" id="{00000000-0008-0000-0000-000082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5539" name="TextBox 5538">
          <a:extLst>
            <a:ext uri="{FF2B5EF4-FFF2-40B4-BE49-F238E27FC236}">
              <a16:creationId xmlns:a16="http://schemas.microsoft.com/office/drawing/2014/main" id="{00000000-0008-0000-0000-000083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5540" name="TextBox 5539">
          <a:extLst>
            <a:ext uri="{FF2B5EF4-FFF2-40B4-BE49-F238E27FC236}">
              <a16:creationId xmlns:a16="http://schemas.microsoft.com/office/drawing/2014/main" id="{00000000-0008-0000-0000-000084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5541" name="TextBox 5540">
          <a:extLst>
            <a:ext uri="{FF2B5EF4-FFF2-40B4-BE49-F238E27FC236}">
              <a16:creationId xmlns:a16="http://schemas.microsoft.com/office/drawing/2014/main" id="{00000000-0008-0000-0000-000085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5542" name="TextBox 5541">
          <a:extLst>
            <a:ext uri="{FF2B5EF4-FFF2-40B4-BE49-F238E27FC236}">
              <a16:creationId xmlns:a16="http://schemas.microsoft.com/office/drawing/2014/main" id="{00000000-0008-0000-0000-000086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5543" name="TextBox 5542">
          <a:extLst>
            <a:ext uri="{FF2B5EF4-FFF2-40B4-BE49-F238E27FC236}">
              <a16:creationId xmlns:a16="http://schemas.microsoft.com/office/drawing/2014/main" id="{00000000-0008-0000-0000-000087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5544" name="TextBox 5543">
          <a:extLst>
            <a:ext uri="{FF2B5EF4-FFF2-40B4-BE49-F238E27FC236}">
              <a16:creationId xmlns:a16="http://schemas.microsoft.com/office/drawing/2014/main" id="{00000000-0008-0000-0000-000088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5545" name="TextBox 5544">
          <a:extLst>
            <a:ext uri="{FF2B5EF4-FFF2-40B4-BE49-F238E27FC236}">
              <a16:creationId xmlns:a16="http://schemas.microsoft.com/office/drawing/2014/main" id="{00000000-0008-0000-0000-000089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5546" name="TextBox 5545">
          <a:extLst>
            <a:ext uri="{FF2B5EF4-FFF2-40B4-BE49-F238E27FC236}">
              <a16:creationId xmlns:a16="http://schemas.microsoft.com/office/drawing/2014/main" id="{00000000-0008-0000-0000-00008A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5547" name="TextBox 5546">
          <a:extLst>
            <a:ext uri="{FF2B5EF4-FFF2-40B4-BE49-F238E27FC236}">
              <a16:creationId xmlns:a16="http://schemas.microsoft.com/office/drawing/2014/main" id="{00000000-0008-0000-0000-00008B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548" name="TextBox 5547">
          <a:extLst>
            <a:ext uri="{FF2B5EF4-FFF2-40B4-BE49-F238E27FC236}">
              <a16:creationId xmlns:a16="http://schemas.microsoft.com/office/drawing/2014/main" id="{00000000-0008-0000-0000-00008C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549" name="TextBox 5548">
          <a:extLst>
            <a:ext uri="{FF2B5EF4-FFF2-40B4-BE49-F238E27FC236}">
              <a16:creationId xmlns:a16="http://schemas.microsoft.com/office/drawing/2014/main" id="{00000000-0008-0000-0000-00008D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550" name="TextBox 5549">
          <a:extLst>
            <a:ext uri="{FF2B5EF4-FFF2-40B4-BE49-F238E27FC236}">
              <a16:creationId xmlns:a16="http://schemas.microsoft.com/office/drawing/2014/main" id="{00000000-0008-0000-0000-00008E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551" name="TextBox 5550">
          <a:extLst>
            <a:ext uri="{FF2B5EF4-FFF2-40B4-BE49-F238E27FC236}">
              <a16:creationId xmlns:a16="http://schemas.microsoft.com/office/drawing/2014/main" id="{00000000-0008-0000-0000-00008F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552" name="TextBox 5551">
          <a:extLst>
            <a:ext uri="{FF2B5EF4-FFF2-40B4-BE49-F238E27FC236}">
              <a16:creationId xmlns:a16="http://schemas.microsoft.com/office/drawing/2014/main" id="{00000000-0008-0000-0000-000090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553" name="TextBox 5552">
          <a:extLst>
            <a:ext uri="{FF2B5EF4-FFF2-40B4-BE49-F238E27FC236}">
              <a16:creationId xmlns:a16="http://schemas.microsoft.com/office/drawing/2014/main" id="{00000000-0008-0000-0000-000091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554" name="TextBox 5553">
          <a:extLst>
            <a:ext uri="{FF2B5EF4-FFF2-40B4-BE49-F238E27FC236}">
              <a16:creationId xmlns:a16="http://schemas.microsoft.com/office/drawing/2014/main" id="{00000000-0008-0000-0000-000092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555" name="TextBox 5554">
          <a:extLst>
            <a:ext uri="{FF2B5EF4-FFF2-40B4-BE49-F238E27FC236}">
              <a16:creationId xmlns:a16="http://schemas.microsoft.com/office/drawing/2014/main" id="{00000000-0008-0000-0000-000093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556" name="TextBox 5555">
          <a:extLst>
            <a:ext uri="{FF2B5EF4-FFF2-40B4-BE49-F238E27FC236}">
              <a16:creationId xmlns:a16="http://schemas.microsoft.com/office/drawing/2014/main" id="{00000000-0008-0000-0000-000094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557" name="TextBox 5556">
          <a:extLst>
            <a:ext uri="{FF2B5EF4-FFF2-40B4-BE49-F238E27FC236}">
              <a16:creationId xmlns:a16="http://schemas.microsoft.com/office/drawing/2014/main" id="{00000000-0008-0000-0000-000095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558" name="TextBox 5557">
          <a:extLst>
            <a:ext uri="{FF2B5EF4-FFF2-40B4-BE49-F238E27FC236}">
              <a16:creationId xmlns:a16="http://schemas.microsoft.com/office/drawing/2014/main" id="{00000000-0008-0000-0000-000096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559" name="TextBox 5558">
          <a:extLst>
            <a:ext uri="{FF2B5EF4-FFF2-40B4-BE49-F238E27FC236}">
              <a16:creationId xmlns:a16="http://schemas.microsoft.com/office/drawing/2014/main" id="{00000000-0008-0000-0000-000097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560" name="TextBox 5559">
          <a:extLst>
            <a:ext uri="{FF2B5EF4-FFF2-40B4-BE49-F238E27FC236}">
              <a16:creationId xmlns:a16="http://schemas.microsoft.com/office/drawing/2014/main" id="{00000000-0008-0000-0000-000098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561" name="TextBox 5560">
          <a:extLst>
            <a:ext uri="{FF2B5EF4-FFF2-40B4-BE49-F238E27FC236}">
              <a16:creationId xmlns:a16="http://schemas.microsoft.com/office/drawing/2014/main" id="{00000000-0008-0000-0000-000099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562" name="TextBox 5561">
          <a:extLst>
            <a:ext uri="{FF2B5EF4-FFF2-40B4-BE49-F238E27FC236}">
              <a16:creationId xmlns:a16="http://schemas.microsoft.com/office/drawing/2014/main" id="{00000000-0008-0000-0000-00009A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563" name="TextBox 5562">
          <a:extLst>
            <a:ext uri="{FF2B5EF4-FFF2-40B4-BE49-F238E27FC236}">
              <a16:creationId xmlns:a16="http://schemas.microsoft.com/office/drawing/2014/main" id="{00000000-0008-0000-0000-00009B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564" name="TextBox 5563">
          <a:extLst>
            <a:ext uri="{FF2B5EF4-FFF2-40B4-BE49-F238E27FC236}">
              <a16:creationId xmlns:a16="http://schemas.microsoft.com/office/drawing/2014/main" id="{00000000-0008-0000-0000-00009C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565" name="TextBox 5564">
          <a:extLst>
            <a:ext uri="{FF2B5EF4-FFF2-40B4-BE49-F238E27FC236}">
              <a16:creationId xmlns:a16="http://schemas.microsoft.com/office/drawing/2014/main" id="{00000000-0008-0000-0000-00009D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566" name="TextBox 5565">
          <a:extLst>
            <a:ext uri="{FF2B5EF4-FFF2-40B4-BE49-F238E27FC236}">
              <a16:creationId xmlns:a16="http://schemas.microsoft.com/office/drawing/2014/main" id="{00000000-0008-0000-0000-00009E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567" name="TextBox 5566">
          <a:extLst>
            <a:ext uri="{FF2B5EF4-FFF2-40B4-BE49-F238E27FC236}">
              <a16:creationId xmlns:a16="http://schemas.microsoft.com/office/drawing/2014/main" id="{00000000-0008-0000-0000-00009F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568" name="TextBox 5567">
          <a:extLst>
            <a:ext uri="{FF2B5EF4-FFF2-40B4-BE49-F238E27FC236}">
              <a16:creationId xmlns:a16="http://schemas.microsoft.com/office/drawing/2014/main" id="{00000000-0008-0000-0000-0000A0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569" name="TextBox 5568">
          <a:extLst>
            <a:ext uri="{FF2B5EF4-FFF2-40B4-BE49-F238E27FC236}">
              <a16:creationId xmlns:a16="http://schemas.microsoft.com/office/drawing/2014/main" id="{00000000-0008-0000-0000-0000A1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570" name="TextBox 5569">
          <a:extLst>
            <a:ext uri="{FF2B5EF4-FFF2-40B4-BE49-F238E27FC236}">
              <a16:creationId xmlns:a16="http://schemas.microsoft.com/office/drawing/2014/main" id="{00000000-0008-0000-0000-0000A2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571" name="TextBox 5570">
          <a:extLst>
            <a:ext uri="{FF2B5EF4-FFF2-40B4-BE49-F238E27FC236}">
              <a16:creationId xmlns:a16="http://schemas.microsoft.com/office/drawing/2014/main" id="{00000000-0008-0000-0000-0000A3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572" name="TextBox 5571">
          <a:extLst>
            <a:ext uri="{FF2B5EF4-FFF2-40B4-BE49-F238E27FC236}">
              <a16:creationId xmlns:a16="http://schemas.microsoft.com/office/drawing/2014/main" id="{00000000-0008-0000-0000-0000A4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573" name="TextBox 5572">
          <a:extLst>
            <a:ext uri="{FF2B5EF4-FFF2-40B4-BE49-F238E27FC236}">
              <a16:creationId xmlns:a16="http://schemas.microsoft.com/office/drawing/2014/main" id="{00000000-0008-0000-0000-0000A5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574" name="TextBox 5573">
          <a:extLst>
            <a:ext uri="{FF2B5EF4-FFF2-40B4-BE49-F238E27FC236}">
              <a16:creationId xmlns:a16="http://schemas.microsoft.com/office/drawing/2014/main" id="{00000000-0008-0000-0000-0000A6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575" name="TextBox 5574">
          <a:extLst>
            <a:ext uri="{FF2B5EF4-FFF2-40B4-BE49-F238E27FC236}">
              <a16:creationId xmlns:a16="http://schemas.microsoft.com/office/drawing/2014/main" id="{00000000-0008-0000-0000-0000A7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576" name="TextBox 5575">
          <a:extLst>
            <a:ext uri="{FF2B5EF4-FFF2-40B4-BE49-F238E27FC236}">
              <a16:creationId xmlns:a16="http://schemas.microsoft.com/office/drawing/2014/main" id="{00000000-0008-0000-0000-0000A8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577" name="TextBox 5576">
          <a:extLst>
            <a:ext uri="{FF2B5EF4-FFF2-40B4-BE49-F238E27FC236}">
              <a16:creationId xmlns:a16="http://schemas.microsoft.com/office/drawing/2014/main" id="{00000000-0008-0000-0000-0000A9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578" name="TextBox 5577">
          <a:extLst>
            <a:ext uri="{FF2B5EF4-FFF2-40B4-BE49-F238E27FC236}">
              <a16:creationId xmlns:a16="http://schemas.microsoft.com/office/drawing/2014/main" id="{00000000-0008-0000-0000-0000AA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579" name="TextBox 5578">
          <a:extLst>
            <a:ext uri="{FF2B5EF4-FFF2-40B4-BE49-F238E27FC236}">
              <a16:creationId xmlns:a16="http://schemas.microsoft.com/office/drawing/2014/main" id="{00000000-0008-0000-0000-0000AB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580" name="TextBox 5579">
          <a:extLst>
            <a:ext uri="{FF2B5EF4-FFF2-40B4-BE49-F238E27FC236}">
              <a16:creationId xmlns:a16="http://schemas.microsoft.com/office/drawing/2014/main" id="{00000000-0008-0000-0000-0000AC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581" name="TextBox 5580">
          <a:extLst>
            <a:ext uri="{FF2B5EF4-FFF2-40B4-BE49-F238E27FC236}">
              <a16:creationId xmlns:a16="http://schemas.microsoft.com/office/drawing/2014/main" id="{00000000-0008-0000-0000-0000AD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582" name="TextBox 5581">
          <a:extLst>
            <a:ext uri="{FF2B5EF4-FFF2-40B4-BE49-F238E27FC236}">
              <a16:creationId xmlns:a16="http://schemas.microsoft.com/office/drawing/2014/main" id="{00000000-0008-0000-0000-0000AE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583" name="TextBox 5582">
          <a:extLst>
            <a:ext uri="{FF2B5EF4-FFF2-40B4-BE49-F238E27FC236}">
              <a16:creationId xmlns:a16="http://schemas.microsoft.com/office/drawing/2014/main" id="{00000000-0008-0000-0000-0000AF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584" name="TextBox 5583">
          <a:extLst>
            <a:ext uri="{FF2B5EF4-FFF2-40B4-BE49-F238E27FC236}">
              <a16:creationId xmlns:a16="http://schemas.microsoft.com/office/drawing/2014/main" id="{00000000-0008-0000-0000-0000B0000000}"/>
            </a:ext>
          </a:extLst>
        </xdr:cNvPr>
        <xdr:cNvSpPr txBox="1"/>
      </xdr:nvSpPr>
      <xdr:spPr>
        <a:xfrm>
          <a:off x="1258062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585" name="TextBox 5584">
          <a:extLst>
            <a:ext uri="{FF2B5EF4-FFF2-40B4-BE49-F238E27FC236}">
              <a16:creationId xmlns:a16="http://schemas.microsoft.com/office/drawing/2014/main" id="{00000000-0008-0000-0000-0000B1000000}"/>
            </a:ext>
          </a:extLst>
        </xdr:cNvPr>
        <xdr:cNvSpPr txBox="1"/>
      </xdr:nvSpPr>
      <xdr:spPr>
        <a:xfrm>
          <a:off x="1258062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586" name="TextBox 5585">
          <a:extLst>
            <a:ext uri="{FF2B5EF4-FFF2-40B4-BE49-F238E27FC236}">
              <a16:creationId xmlns:a16="http://schemas.microsoft.com/office/drawing/2014/main" id="{00000000-0008-0000-0000-0000B2000000}"/>
            </a:ext>
          </a:extLst>
        </xdr:cNvPr>
        <xdr:cNvSpPr txBox="1"/>
      </xdr:nvSpPr>
      <xdr:spPr>
        <a:xfrm>
          <a:off x="1258062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587" name="TextBox 5586">
          <a:extLst>
            <a:ext uri="{FF2B5EF4-FFF2-40B4-BE49-F238E27FC236}">
              <a16:creationId xmlns:a16="http://schemas.microsoft.com/office/drawing/2014/main" id="{00000000-0008-0000-0000-0000B3000000}"/>
            </a:ext>
          </a:extLst>
        </xdr:cNvPr>
        <xdr:cNvSpPr txBox="1"/>
      </xdr:nvSpPr>
      <xdr:spPr>
        <a:xfrm>
          <a:off x="1258062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588" name="TextBox 5587">
          <a:extLst>
            <a:ext uri="{FF2B5EF4-FFF2-40B4-BE49-F238E27FC236}">
              <a16:creationId xmlns:a16="http://schemas.microsoft.com/office/drawing/2014/main" id="{00000000-0008-0000-0000-0000B4000000}"/>
            </a:ext>
          </a:extLst>
        </xdr:cNvPr>
        <xdr:cNvSpPr txBox="1"/>
      </xdr:nvSpPr>
      <xdr:spPr>
        <a:xfrm>
          <a:off x="1258062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589" name="TextBox 5588">
          <a:extLst>
            <a:ext uri="{FF2B5EF4-FFF2-40B4-BE49-F238E27FC236}">
              <a16:creationId xmlns:a16="http://schemas.microsoft.com/office/drawing/2014/main" id="{00000000-0008-0000-0000-0000B5000000}"/>
            </a:ext>
          </a:extLst>
        </xdr:cNvPr>
        <xdr:cNvSpPr txBox="1"/>
      </xdr:nvSpPr>
      <xdr:spPr>
        <a:xfrm>
          <a:off x="1258062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590" name="TextBox 5589">
          <a:extLst>
            <a:ext uri="{FF2B5EF4-FFF2-40B4-BE49-F238E27FC236}">
              <a16:creationId xmlns:a16="http://schemas.microsoft.com/office/drawing/2014/main" id="{00000000-0008-0000-0000-0000B6000000}"/>
            </a:ext>
          </a:extLst>
        </xdr:cNvPr>
        <xdr:cNvSpPr txBox="1"/>
      </xdr:nvSpPr>
      <xdr:spPr>
        <a:xfrm>
          <a:off x="1258062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591" name="TextBox 5590">
          <a:extLst>
            <a:ext uri="{FF2B5EF4-FFF2-40B4-BE49-F238E27FC236}">
              <a16:creationId xmlns:a16="http://schemas.microsoft.com/office/drawing/2014/main" id="{00000000-0008-0000-0000-0000B7000000}"/>
            </a:ext>
          </a:extLst>
        </xdr:cNvPr>
        <xdr:cNvSpPr txBox="1"/>
      </xdr:nvSpPr>
      <xdr:spPr>
        <a:xfrm>
          <a:off x="1258062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5592" name="TextBox 5591">
          <a:extLst>
            <a:ext uri="{FF2B5EF4-FFF2-40B4-BE49-F238E27FC236}">
              <a16:creationId xmlns:a16="http://schemas.microsoft.com/office/drawing/2014/main" id="{00000000-0008-0000-0000-0000B8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5593" name="TextBox 5592">
          <a:extLst>
            <a:ext uri="{FF2B5EF4-FFF2-40B4-BE49-F238E27FC236}">
              <a16:creationId xmlns:a16="http://schemas.microsoft.com/office/drawing/2014/main" id="{00000000-0008-0000-0000-0000B9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5594" name="TextBox 5593">
          <a:extLst>
            <a:ext uri="{FF2B5EF4-FFF2-40B4-BE49-F238E27FC236}">
              <a16:creationId xmlns:a16="http://schemas.microsoft.com/office/drawing/2014/main" id="{00000000-0008-0000-0000-0000BA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5595" name="TextBox 5594">
          <a:extLst>
            <a:ext uri="{FF2B5EF4-FFF2-40B4-BE49-F238E27FC236}">
              <a16:creationId xmlns:a16="http://schemas.microsoft.com/office/drawing/2014/main" id="{00000000-0008-0000-0000-0000BB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5596" name="TextBox 5595">
          <a:extLst>
            <a:ext uri="{FF2B5EF4-FFF2-40B4-BE49-F238E27FC236}">
              <a16:creationId xmlns:a16="http://schemas.microsoft.com/office/drawing/2014/main" id="{00000000-0008-0000-0000-0000BC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5597" name="TextBox 5596">
          <a:extLst>
            <a:ext uri="{FF2B5EF4-FFF2-40B4-BE49-F238E27FC236}">
              <a16:creationId xmlns:a16="http://schemas.microsoft.com/office/drawing/2014/main" id="{00000000-0008-0000-0000-0000BD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5598" name="TextBox 5597">
          <a:extLst>
            <a:ext uri="{FF2B5EF4-FFF2-40B4-BE49-F238E27FC236}">
              <a16:creationId xmlns:a16="http://schemas.microsoft.com/office/drawing/2014/main" id="{00000000-0008-0000-0000-0000BE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5599" name="TextBox 5598">
          <a:extLst>
            <a:ext uri="{FF2B5EF4-FFF2-40B4-BE49-F238E27FC236}">
              <a16:creationId xmlns:a16="http://schemas.microsoft.com/office/drawing/2014/main" id="{00000000-0008-0000-0000-0000BF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5600" name="TextBox 5599">
          <a:extLst>
            <a:ext uri="{FF2B5EF4-FFF2-40B4-BE49-F238E27FC236}">
              <a16:creationId xmlns:a16="http://schemas.microsoft.com/office/drawing/2014/main" id="{00000000-0008-0000-0000-0000C0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5601" name="TextBox 5600">
          <a:extLst>
            <a:ext uri="{FF2B5EF4-FFF2-40B4-BE49-F238E27FC236}">
              <a16:creationId xmlns:a16="http://schemas.microsoft.com/office/drawing/2014/main" id="{00000000-0008-0000-0000-0000C1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5602" name="TextBox 5601">
          <a:extLst>
            <a:ext uri="{FF2B5EF4-FFF2-40B4-BE49-F238E27FC236}">
              <a16:creationId xmlns:a16="http://schemas.microsoft.com/office/drawing/2014/main" id="{00000000-0008-0000-0000-0000C2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5603" name="TextBox 5602">
          <a:extLst>
            <a:ext uri="{FF2B5EF4-FFF2-40B4-BE49-F238E27FC236}">
              <a16:creationId xmlns:a16="http://schemas.microsoft.com/office/drawing/2014/main" id="{00000000-0008-0000-0000-0000C3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5604" name="TextBox 5603">
          <a:extLst>
            <a:ext uri="{FF2B5EF4-FFF2-40B4-BE49-F238E27FC236}">
              <a16:creationId xmlns:a16="http://schemas.microsoft.com/office/drawing/2014/main" id="{00000000-0008-0000-0000-0000C4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5605" name="TextBox 5604">
          <a:extLst>
            <a:ext uri="{FF2B5EF4-FFF2-40B4-BE49-F238E27FC236}">
              <a16:creationId xmlns:a16="http://schemas.microsoft.com/office/drawing/2014/main" id="{00000000-0008-0000-0000-0000C5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5606" name="TextBox 5605">
          <a:extLst>
            <a:ext uri="{FF2B5EF4-FFF2-40B4-BE49-F238E27FC236}">
              <a16:creationId xmlns:a16="http://schemas.microsoft.com/office/drawing/2014/main" id="{00000000-0008-0000-0000-0000C6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5607" name="TextBox 5606">
          <a:extLst>
            <a:ext uri="{FF2B5EF4-FFF2-40B4-BE49-F238E27FC236}">
              <a16:creationId xmlns:a16="http://schemas.microsoft.com/office/drawing/2014/main" id="{00000000-0008-0000-0000-0000C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5608" name="TextBox 5607">
          <a:extLst>
            <a:ext uri="{FF2B5EF4-FFF2-40B4-BE49-F238E27FC236}">
              <a16:creationId xmlns:a16="http://schemas.microsoft.com/office/drawing/2014/main" id="{00000000-0008-0000-0000-0000C8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5609" name="TextBox 5608">
          <a:extLst>
            <a:ext uri="{FF2B5EF4-FFF2-40B4-BE49-F238E27FC236}">
              <a16:creationId xmlns:a16="http://schemas.microsoft.com/office/drawing/2014/main" id="{00000000-0008-0000-0000-0000C9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5610" name="TextBox 5609">
          <a:extLst>
            <a:ext uri="{FF2B5EF4-FFF2-40B4-BE49-F238E27FC236}">
              <a16:creationId xmlns:a16="http://schemas.microsoft.com/office/drawing/2014/main" id="{00000000-0008-0000-0000-0000CA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5611" name="TextBox 5610">
          <a:extLst>
            <a:ext uri="{FF2B5EF4-FFF2-40B4-BE49-F238E27FC236}">
              <a16:creationId xmlns:a16="http://schemas.microsoft.com/office/drawing/2014/main" id="{00000000-0008-0000-0000-0000CB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5612" name="TextBox 5611">
          <a:extLst>
            <a:ext uri="{FF2B5EF4-FFF2-40B4-BE49-F238E27FC236}">
              <a16:creationId xmlns:a16="http://schemas.microsoft.com/office/drawing/2014/main" id="{00000000-0008-0000-0000-0000CC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5613" name="TextBox 5612">
          <a:extLst>
            <a:ext uri="{FF2B5EF4-FFF2-40B4-BE49-F238E27FC236}">
              <a16:creationId xmlns:a16="http://schemas.microsoft.com/office/drawing/2014/main" id="{00000000-0008-0000-0000-0000CD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5614" name="TextBox 5613">
          <a:extLst>
            <a:ext uri="{FF2B5EF4-FFF2-40B4-BE49-F238E27FC236}">
              <a16:creationId xmlns:a16="http://schemas.microsoft.com/office/drawing/2014/main" id="{00000000-0008-0000-0000-0000CE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5615" name="TextBox 5614">
          <a:extLst>
            <a:ext uri="{FF2B5EF4-FFF2-40B4-BE49-F238E27FC236}">
              <a16:creationId xmlns:a16="http://schemas.microsoft.com/office/drawing/2014/main" id="{00000000-0008-0000-0000-0000CF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5616" name="TextBox 5615">
          <a:extLst>
            <a:ext uri="{FF2B5EF4-FFF2-40B4-BE49-F238E27FC236}">
              <a16:creationId xmlns:a16="http://schemas.microsoft.com/office/drawing/2014/main" id="{00000000-0008-0000-0000-0000D0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5617" name="TextBox 5616">
          <a:extLst>
            <a:ext uri="{FF2B5EF4-FFF2-40B4-BE49-F238E27FC236}">
              <a16:creationId xmlns:a16="http://schemas.microsoft.com/office/drawing/2014/main" id="{00000000-0008-0000-0000-0000D1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5618" name="TextBox 5617">
          <a:extLst>
            <a:ext uri="{FF2B5EF4-FFF2-40B4-BE49-F238E27FC236}">
              <a16:creationId xmlns:a16="http://schemas.microsoft.com/office/drawing/2014/main" id="{00000000-0008-0000-0000-0000D2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5619" name="TextBox 5618">
          <a:extLst>
            <a:ext uri="{FF2B5EF4-FFF2-40B4-BE49-F238E27FC236}">
              <a16:creationId xmlns:a16="http://schemas.microsoft.com/office/drawing/2014/main" id="{00000000-0008-0000-0000-0000D3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5620" name="TextBox 5619">
          <a:extLst>
            <a:ext uri="{FF2B5EF4-FFF2-40B4-BE49-F238E27FC236}">
              <a16:creationId xmlns:a16="http://schemas.microsoft.com/office/drawing/2014/main" id="{00000000-0008-0000-0000-0000D4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5621" name="TextBox 5620">
          <a:extLst>
            <a:ext uri="{FF2B5EF4-FFF2-40B4-BE49-F238E27FC236}">
              <a16:creationId xmlns:a16="http://schemas.microsoft.com/office/drawing/2014/main" id="{00000000-0008-0000-0000-0000D5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5622" name="TextBox 5621">
          <a:extLst>
            <a:ext uri="{FF2B5EF4-FFF2-40B4-BE49-F238E27FC236}">
              <a16:creationId xmlns:a16="http://schemas.microsoft.com/office/drawing/2014/main" id="{00000000-0008-0000-0000-0000D6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5623" name="TextBox 5622">
          <a:extLst>
            <a:ext uri="{FF2B5EF4-FFF2-40B4-BE49-F238E27FC236}">
              <a16:creationId xmlns:a16="http://schemas.microsoft.com/office/drawing/2014/main" id="{00000000-0008-0000-0000-0000D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5624" name="TextBox 5623">
          <a:extLst>
            <a:ext uri="{FF2B5EF4-FFF2-40B4-BE49-F238E27FC236}">
              <a16:creationId xmlns:a16="http://schemas.microsoft.com/office/drawing/2014/main" id="{00000000-0008-0000-0000-0000D8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5625" name="TextBox 5624">
          <a:extLst>
            <a:ext uri="{FF2B5EF4-FFF2-40B4-BE49-F238E27FC236}">
              <a16:creationId xmlns:a16="http://schemas.microsoft.com/office/drawing/2014/main" id="{00000000-0008-0000-0000-0000D9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5626" name="TextBox 5625">
          <a:extLst>
            <a:ext uri="{FF2B5EF4-FFF2-40B4-BE49-F238E27FC236}">
              <a16:creationId xmlns:a16="http://schemas.microsoft.com/office/drawing/2014/main" id="{00000000-0008-0000-0000-0000DA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5627" name="TextBox 5626">
          <a:extLst>
            <a:ext uri="{FF2B5EF4-FFF2-40B4-BE49-F238E27FC236}">
              <a16:creationId xmlns:a16="http://schemas.microsoft.com/office/drawing/2014/main" id="{00000000-0008-0000-0000-0000DB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5628" name="TextBox 5627">
          <a:extLst>
            <a:ext uri="{FF2B5EF4-FFF2-40B4-BE49-F238E27FC236}">
              <a16:creationId xmlns:a16="http://schemas.microsoft.com/office/drawing/2014/main" id="{00000000-0008-0000-0000-0000DC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5629" name="TextBox 5628">
          <a:extLst>
            <a:ext uri="{FF2B5EF4-FFF2-40B4-BE49-F238E27FC236}">
              <a16:creationId xmlns:a16="http://schemas.microsoft.com/office/drawing/2014/main" id="{00000000-0008-0000-0000-0000DD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5630" name="TextBox 5629">
          <a:extLst>
            <a:ext uri="{FF2B5EF4-FFF2-40B4-BE49-F238E27FC236}">
              <a16:creationId xmlns:a16="http://schemas.microsoft.com/office/drawing/2014/main" id="{00000000-0008-0000-0000-0000DE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5631" name="TextBox 5630">
          <a:extLst>
            <a:ext uri="{FF2B5EF4-FFF2-40B4-BE49-F238E27FC236}">
              <a16:creationId xmlns:a16="http://schemas.microsoft.com/office/drawing/2014/main" id="{00000000-0008-0000-0000-0000DF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5632" name="TextBox 5631">
          <a:extLst>
            <a:ext uri="{FF2B5EF4-FFF2-40B4-BE49-F238E27FC236}">
              <a16:creationId xmlns:a16="http://schemas.microsoft.com/office/drawing/2014/main" id="{00000000-0008-0000-0000-0000E0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5633" name="TextBox 5632">
          <a:extLst>
            <a:ext uri="{FF2B5EF4-FFF2-40B4-BE49-F238E27FC236}">
              <a16:creationId xmlns:a16="http://schemas.microsoft.com/office/drawing/2014/main" id="{00000000-0008-0000-0000-0000E1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5634" name="TextBox 5633">
          <a:extLst>
            <a:ext uri="{FF2B5EF4-FFF2-40B4-BE49-F238E27FC236}">
              <a16:creationId xmlns:a16="http://schemas.microsoft.com/office/drawing/2014/main" id="{00000000-0008-0000-0000-0000E2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5635" name="TextBox 5634">
          <a:extLst>
            <a:ext uri="{FF2B5EF4-FFF2-40B4-BE49-F238E27FC236}">
              <a16:creationId xmlns:a16="http://schemas.microsoft.com/office/drawing/2014/main" id="{00000000-0008-0000-0000-0000E3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5636" name="TextBox 5635">
          <a:extLst>
            <a:ext uri="{FF2B5EF4-FFF2-40B4-BE49-F238E27FC236}">
              <a16:creationId xmlns:a16="http://schemas.microsoft.com/office/drawing/2014/main" id="{00000000-0008-0000-0000-0000E4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5637" name="TextBox 5636">
          <a:extLst>
            <a:ext uri="{FF2B5EF4-FFF2-40B4-BE49-F238E27FC236}">
              <a16:creationId xmlns:a16="http://schemas.microsoft.com/office/drawing/2014/main" id="{00000000-0008-0000-0000-0000E5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5638" name="TextBox 5637">
          <a:extLst>
            <a:ext uri="{FF2B5EF4-FFF2-40B4-BE49-F238E27FC236}">
              <a16:creationId xmlns:a16="http://schemas.microsoft.com/office/drawing/2014/main" id="{00000000-0008-0000-0000-0000E6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5639" name="TextBox 5638">
          <a:extLst>
            <a:ext uri="{FF2B5EF4-FFF2-40B4-BE49-F238E27FC236}">
              <a16:creationId xmlns:a16="http://schemas.microsoft.com/office/drawing/2014/main" id="{00000000-0008-0000-0000-0000E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5640" name="TextBox 5639">
          <a:extLst>
            <a:ext uri="{FF2B5EF4-FFF2-40B4-BE49-F238E27FC236}">
              <a16:creationId xmlns:a16="http://schemas.microsoft.com/office/drawing/2014/main" id="{00000000-0008-0000-0000-0000E8000000}"/>
            </a:ext>
          </a:extLst>
        </xdr:cNvPr>
        <xdr:cNvSpPr txBox="1"/>
      </xdr:nvSpPr>
      <xdr:spPr>
        <a:xfrm>
          <a:off x="1258062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5641" name="TextBox 5640">
          <a:extLst>
            <a:ext uri="{FF2B5EF4-FFF2-40B4-BE49-F238E27FC236}">
              <a16:creationId xmlns:a16="http://schemas.microsoft.com/office/drawing/2014/main" id="{00000000-0008-0000-0000-0000E9000000}"/>
            </a:ext>
          </a:extLst>
        </xdr:cNvPr>
        <xdr:cNvSpPr txBox="1"/>
      </xdr:nvSpPr>
      <xdr:spPr>
        <a:xfrm>
          <a:off x="1258062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5642" name="TextBox 5641">
          <a:extLst>
            <a:ext uri="{FF2B5EF4-FFF2-40B4-BE49-F238E27FC236}">
              <a16:creationId xmlns:a16="http://schemas.microsoft.com/office/drawing/2014/main" id="{00000000-0008-0000-0000-0000EA000000}"/>
            </a:ext>
          </a:extLst>
        </xdr:cNvPr>
        <xdr:cNvSpPr txBox="1"/>
      </xdr:nvSpPr>
      <xdr:spPr>
        <a:xfrm>
          <a:off x="1258062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5643" name="TextBox 5642">
          <a:extLst>
            <a:ext uri="{FF2B5EF4-FFF2-40B4-BE49-F238E27FC236}">
              <a16:creationId xmlns:a16="http://schemas.microsoft.com/office/drawing/2014/main" id="{00000000-0008-0000-0000-0000EB000000}"/>
            </a:ext>
          </a:extLst>
        </xdr:cNvPr>
        <xdr:cNvSpPr txBox="1"/>
      </xdr:nvSpPr>
      <xdr:spPr>
        <a:xfrm>
          <a:off x="1258062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5644" name="TextBox 5643">
          <a:extLst>
            <a:ext uri="{FF2B5EF4-FFF2-40B4-BE49-F238E27FC236}">
              <a16:creationId xmlns:a16="http://schemas.microsoft.com/office/drawing/2014/main" id="{00000000-0008-0000-0000-0000EC000000}"/>
            </a:ext>
          </a:extLst>
        </xdr:cNvPr>
        <xdr:cNvSpPr txBox="1"/>
      </xdr:nvSpPr>
      <xdr:spPr>
        <a:xfrm>
          <a:off x="1258062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5645" name="TextBox 5644">
          <a:extLst>
            <a:ext uri="{FF2B5EF4-FFF2-40B4-BE49-F238E27FC236}">
              <a16:creationId xmlns:a16="http://schemas.microsoft.com/office/drawing/2014/main" id="{00000000-0008-0000-0000-0000ED000000}"/>
            </a:ext>
          </a:extLst>
        </xdr:cNvPr>
        <xdr:cNvSpPr txBox="1"/>
      </xdr:nvSpPr>
      <xdr:spPr>
        <a:xfrm>
          <a:off x="1258062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5646" name="TextBox 5645">
          <a:extLst>
            <a:ext uri="{FF2B5EF4-FFF2-40B4-BE49-F238E27FC236}">
              <a16:creationId xmlns:a16="http://schemas.microsoft.com/office/drawing/2014/main" id="{00000000-0008-0000-0000-0000EE000000}"/>
            </a:ext>
          </a:extLst>
        </xdr:cNvPr>
        <xdr:cNvSpPr txBox="1"/>
      </xdr:nvSpPr>
      <xdr:spPr>
        <a:xfrm>
          <a:off x="1258062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5647" name="TextBox 5646">
          <a:extLst>
            <a:ext uri="{FF2B5EF4-FFF2-40B4-BE49-F238E27FC236}">
              <a16:creationId xmlns:a16="http://schemas.microsoft.com/office/drawing/2014/main" id="{00000000-0008-0000-0000-0000EF000000}"/>
            </a:ext>
          </a:extLst>
        </xdr:cNvPr>
        <xdr:cNvSpPr txBox="1"/>
      </xdr:nvSpPr>
      <xdr:spPr>
        <a:xfrm>
          <a:off x="1258062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5648" name="TextBox 5647">
          <a:extLst>
            <a:ext uri="{FF2B5EF4-FFF2-40B4-BE49-F238E27FC236}">
              <a16:creationId xmlns:a16="http://schemas.microsoft.com/office/drawing/2014/main" id="{00000000-0008-0000-0000-0000F0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5649" name="TextBox 5648">
          <a:extLst>
            <a:ext uri="{FF2B5EF4-FFF2-40B4-BE49-F238E27FC236}">
              <a16:creationId xmlns:a16="http://schemas.microsoft.com/office/drawing/2014/main" id="{00000000-0008-0000-0000-0000F1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5650" name="TextBox 5649">
          <a:extLst>
            <a:ext uri="{FF2B5EF4-FFF2-40B4-BE49-F238E27FC236}">
              <a16:creationId xmlns:a16="http://schemas.microsoft.com/office/drawing/2014/main" id="{00000000-0008-0000-0000-0000F2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5651" name="TextBox 5650">
          <a:extLst>
            <a:ext uri="{FF2B5EF4-FFF2-40B4-BE49-F238E27FC236}">
              <a16:creationId xmlns:a16="http://schemas.microsoft.com/office/drawing/2014/main" id="{00000000-0008-0000-0000-0000F3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5652" name="TextBox 5651">
          <a:extLst>
            <a:ext uri="{FF2B5EF4-FFF2-40B4-BE49-F238E27FC236}">
              <a16:creationId xmlns:a16="http://schemas.microsoft.com/office/drawing/2014/main" id="{00000000-0008-0000-0000-0000F4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5653" name="TextBox 5652">
          <a:extLst>
            <a:ext uri="{FF2B5EF4-FFF2-40B4-BE49-F238E27FC236}">
              <a16:creationId xmlns:a16="http://schemas.microsoft.com/office/drawing/2014/main" id="{00000000-0008-0000-0000-0000F5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5654" name="TextBox 5653">
          <a:extLst>
            <a:ext uri="{FF2B5EF4-FFF2-40B4-BE49-F238E27FC236}">
              <a16:creationId xmlns:a16="http://schemas.microsoft.com/office/drawing/2014/main" id="{00000000-0008-0000-0000-0000F6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5655" name="TextBox 5654">
          <a:extLst>
            <a:ext uri="{FF2B5EF4-FFF2-40B4-BE49-F238E27FC236}">
              <a16:creationId xmlns:a16="http://schemas.microsoft.com/office/drawing/2014/main" id="{00000000-0008-0000-0000-0000F7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5656" name="TextBox 5655">
          <a:extLst>
            <a:ext uri="{FF2B5EF4-FFF2-40B4-BE49-F238E27FC236}">
              <a16:creationId xmlns:a16="http://schemas.microsoft.com/office/drawing/2014/main" id="{00000000-0008-0000-0000-0000F8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5657" name="TextBox 5656">
          <a:extLst>
            <a:ext uri="{FF2B5EF4-FFF2-40B4-BE49-F238E27FC236}">
              <a16:creationId xmlns:a16="http://schemas.microsoft.com/office/drawing/2014/main" id="{00000000-0008-0000-0000-0000F9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5658" name="TextBox 5657">
          <a:extLst>
            <a:ext uri="{FF2B5EF4-FFF2-40B4-BE49-F238E27FC236}">
              <a16:creationId xmlns:a16="http://schemas.microsoft.com/office/drawing/2014/main" id="{00000000-0008-0000-0000-0000FA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5659" name="TextBox 5658">
          <a:extLst>
            <a:ext uri="{FF2B5EF4-FFF2-40B4-BE49-F238E27FC236}">
              <a16:creationId xmlns:a16="http://schemas.microsoft.com/office/drawing/2014/main" id="{00000000-0008-0000-0000-0000FB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5660" name="TextBox 5659">
          <a:extLst>
            <a:ext uri="{FF2B5EF4-FFF2-40B4-BE49-F238E27FC236}">
              <a16:creationId xmlns:a16="http://schemas.microsoft.com/office/drawing/2014/main" id="{00000000-0008-0000-0000-0000FC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5661" name="TextBox 5660">
          <a:extLst>
            <a:ext uri="{FF2B5EF4-FFF2-40B4-BE49-F238E27FC236}">
              <a16:creationId xmlns:a16="http://schemas.microsoft.com/office/drawing/2014/main" id="{00000000-0008-0000-0000-0000FD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5662" name="TextBox 5661">
          <a:extLst>
            <a:ext uri="{FF2B5EF4-FFF2-40B4-BE49-F238E27FC236}">
              <a16:creationId xmlns:a16="http://schemas.microsoft.com/office/drawing/2014/main" id="{00000000-0008-0000-0000-0000FE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5663" name="TextBox 5662">
          <a:extLst>
            <a:ext uri="{FF2B5EF4-FFF2-40B4-BE49-F238E27FC236}">
              <a16:creationId xmlns:a16="http://schemas.microsoft.com/office/drawing/2014/main" id="{00000000-0008-0000-0000-0000FF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5664" name="TextBox 5663">
          <a:extLst>
            <a:ext uri="{FF2B5EF4-FFF2-40B4-BE49-F238E27FC236}">
              <a16:creationId xmlns:a16="http://schemas.microsoft.com/office/drawing/2014/main" id="{00000000-0008-0000-0000-00000001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5665" name="TextBox 5664">
          <a:extLst>
            <a:ext uri="{FF2B5EF4-FFF2-40B4-BE49-F238E27FC236}">
              <a16:creationId xmlns:a16="http://schemas.microsoft.com/office/drawing/2014/main" id="{00000000-0008-0000-0000-00000101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5666" name="TextBox 5665">
          <a:extLst>
            <a:ext uri="{FF2B5EF4-FFF2-40B4-BE49-F238E27FC236}">
              <a16:creationId xmlns:a16="http://schemas.microsoft.com/office/drawing/2014/main" id="{00000000-0008-0000-0000-00000201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5667" name="TextBox 5666">
          <a:extLst>
            <a:ext uri="{FF2B5EF4-FFF2-40B4-BE49-F238E27FC236}">
              <a16:creationId xmlns:a16="http://schemas.microsoft.com/office/drawing/2014/main" id="{00000000-0008-0000-0000-00000301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5668" name="TextBox 5667">
          <a:extLst>
            <a:ext uri="{FF2B5EF4-FFF2-40B4-BE49-F238E27FC236}">
              <a16:creationId xmlns:a16="http://schemas.microsoft.com/office/drawing/2014/main" id="{00000000-0008-0000-0000-00000401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5669" name="TextBox 5668">
          <a:extLst>
            <a:ext uri="{FF2B5EF4-FFF2-40B4-BE49-F238E27FC236}">
              <a16:creationId xmlns:a16="http://schemas.microsoft.com/office/drawing/2014/main" id="{00000000-0008-0000-0000-00000501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5670" name="TextBox 5669">
          <a:extLst>
            <a:ext uri="{FF2B5EF4-FFF2-40B4-BE49-F238E27FC236}">
              <a16:creationId xmlns:a16="http://schemas.microsoft.com/office/drawing/2014/main" id="{00000000-0008-0000-0000-00000601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5671" name="TextBox 5670">
          <a:extLst>
            <a:ext uri="{FF2B5EF4-FFF2-40B4-BE49-F238E27FC236}">
              <a16:creationId xmlns:a16="http://schemas.microsoft.com/office/drawing/2014/main" id="{00000000-0008-0000-0000-00000701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5672" name="TextBox 5671">
          <a:extLst>
            <a:ext uri="{FF2B5EF4-FFF2-40B4-BE49-F238E27FC236}">
              <a16:creationId xmlns:a16="http://schemas.microsoft.com/office/drawing/2014/main" id="{00000000-0008-0000-0000-00000801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5673" name="TextBox 5672">
          <a:extLst>
            <a:ext uri="{FF2B5EF4-FFF2-40B4-BE49-F238E27FC236}">
              <a16:creationId xmlns:a16="http://schemas.microsoft.com/office/drawing/2014/main" id="{00000000-0008-0000-0000-00000901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5674" name="TextBox 5673">
          <a:extLst>
            <a:ext uri="{FF2B5EF4-FFF2-40B4-BE49-F238E27FC236}">
              <a16:creationId xmlns:a16="http://schemas.microsoft.com/office/drawing/2014/main" id="{00000000-0008-0000-0000-00000A01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5675" name="TextBox 5674">
          <a:extLst>
            <a:ext uri="{FF2B5EF4-FFF2-40B4-BE49-F238E27FC236}">
              <a16:creationId xmlns:a16="http://schemas.microsoft.com/office/drawing/2014/main" id="{00000000-0008-0000-0000-00000B01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5676" name="TextBox 5675">
          <a:extLst>
            <a:ext uri="{FF2B5EF4-FFF2-40B4-BE49-F238E27FC236}">
              <a16:creationId xmlns:a16="http://schemas.microsoft.com/office/drawing/2014/main" id="{00000000-0008-0000-0000-00000C01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5677" name="TextBox 5676">
          <a:extLst>
            <a:ext uri="{FF2B5EF4-FFF2-40B4-BE49-F238E27FC236}">
              <a16:creationId xmlns:a16="http://schemas.microsoft.com/office/drawing/2014/main" id="{00000000-0008-0000-0000-00000D01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5678" name="TextBox 5677">
          <a:extLst>
            <a:ext uri="{FF2B5EF4-FFF2-40B4-BE49-F238E27FC236}">
              <a16:creationId xmlns:a16="http://schemas.microsoft.com/office/drawing/2014/main" id="{00000000-0008-0000-0000-00000E01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5679" name="TextBox 5678">
          <a:extLst>
            <a:ext uri="{FF2B5EF4-FFF2-40B4-BE49-F238E27FC236}">
              <a16:creationId xmlns:a16="http://schemas.microsoft.com/office/drawing/2014/main" id="{00000000-0008-0000-0000-00000F01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5680" name="TextBox 5679">
          <a:extLst>
            <a:ext uri="{FF2B5EF4-FFF2-40B4-BE49-F238E27FC236}">
              <a16:creationId xmlns:a16="http://schemas.microsoft.com/office/drawing/2014/main" id="{00000000-0008-0000-0000-00001001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5681" name="TextBox 5680">
          <a:extLst>
            <a:ext uri="{FF2B5EF4-FFF2-40B4-BE49-F238E27FC236}">
              <a16:creationId xmlns:a16="http://schemas.microsoft.com/office/drawing/2014/main" id="{00000000-0008-0000-0000-00001101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5682" name="TextBox 5681">
          <a:extLst>
            <a:ext uri="{FF2B5EF4-FFF2-40B4-BE49-F238E27FC236}">
              <a16:creationId xmlns:a16="http://schemas.microsoft.com/office/drawing/2014/main" id="{00000000-0008-0000-0000-00001201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5683" name="TextBox 5682">
          <a:extLst>
            <a:ext uri="{FF2B5EF4-FFF2-40B4-BE49-F238E27FC236}">
              <a16:creationId xmlns:a16="http://schemas.microsoft.com/office/drawing/2014/main" id="{00000000-0008-0000-0000-00001301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5684" name="TextBox 5683">
          <a:extLst>
            <a:ext uri="{FF2B5EF4-FFF2-40B4-BE49-F238E27FC236}">
              <a16:creationId xmlns:a16="http://schemas.microsoft.com/office/drawing/2014/main" id="{00000000-0008-0000-0000-00001401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5685" name="TextBox 5684">
          <a:extLst>
            <a:ext uri="{FF2B5EF4-FFF2-40B4-BE49-F238E27FC236}">
              <a16:creationId xmlns:a16="http://schemas.microsoft.com/office/drawing/2014/main" id="{00000000-0008-0000-0000-00001501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5686" name="TextBox 5685">
          <a:extLst>
            <a:ext uri="{FF2B5EF4-FFF2-40B4-BE49-F238E27FC236}">
              <a16:creationId xmlns:a16="http://schemas.microsoft.com/office/drawing/2014/main" id="{00000000-0008-0000-0000-00001601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5687" name="TextBox 5686">
          <a:extLst>
            <a:ext uri="{FF2B5EF4-FFF2-40B4-BE49-F238E27FC236}">
              <a16:creationId xmlns:a16="http://schemas.microsoft.com/office/drawing/2014/main" id="{00000000-0008-0000-0000-00001701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5688" name="TextBox 5687">
          <a:extLst>
            <a:ext uri="{FF2B5EF4-FFF2-40B4-BE49-F238E27FC236}">
              <a16:creationId xmlns:a16="http://schemas.microsoft.com/office/drawing/2014/main" id="{00000000-0008-0000-0000-00001801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5689" name="TextBox 5688">
          <a:extLst>
            <a:ext uri="{FF2B5EF4-FFF2-40B4-BE49-F238E27FC236}">
              <a16:creationId xmlns:a16="http://schemas.microsoft.com/office/drawing/2014/main" id="{00000000-0008-0000-0000-00001901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5690" name="TextBox 5689">
          <a:extLst>
            <a:ext uri="{FF2B5EF4-FFF2-40B4-BE49-F238E27FC236}">
              <a16:creationId xmlns:a16="http://schemas.microsoft.com/office/drawing/2014/main" id="{00000000-0008-0000-0000-00001A01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5691" name="TextBox 5690">
          <a:extLst>
            <a:ext uri="{FF2B5EF4-FFF2-40B4-BE49-F238E27FC236}">
              <a16:creationId xmlns:a16="http://schemas.microsoft.com/office/drawing/2014/main" id="{00000000-0008-0000-0000-00001B01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5692" name="TextBox 5691">
          <a:extLst>
            <a:ext uri="{FF2B5EF4-FFF2-40B4-BE49-F238E27FC236}">
              <a16:creationId xmlns:a16="http://schemas.microsoft.com/office/drawing/2014/main" id="{00000000-0008-0000-0000-00001C01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5693" name="TextBox 5692">
          <a:extLst>
            <a:ext uri="{FF2B5EF4-FFF2-40B4-BE49-F238E27FC236}">
              <a16:creationId xmlns:a16="http://schemas.microsoft.com/office/drawing/2014/main" id="{00000000-0008-0000-0000-00001D01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5694" name="TextBox 5693">
          <a:extLst>
            <a:ext uri="{FF2B5EF4-FFF2-40B4-BE49-F238E27FC236}">
              <a16:creationId xmlns:a16="http://schemas.microsoft.com/office/drawing/2014/main" id="{00000000-0008-0000-0000-00001E01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5695" name="TextBox 5694">
          <a:extLst>
            <a:ext uri="{FF2B5EF4-FFF2-40B4-BE49-F238E27FC236}">
              <a16:creationId xmlns:a16="http://schemas.microsoft.com/office/drawing/2014/main" id="{00000000-0008-0000-0000-00001F01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5696" name="TextBox 5695">
          <a:extLst>
            <a:ext uri="{FF2B5EF4-FFF2-40B4-BE49-F238E27FC236}">
              <a16:creationId xmlns:a16="http://schemas.microsoft.com/office/drawing/2014/main" id="{00000000-0008-0000-0000-00002001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5697" name="TextBox 5696">
          <a:extLst>
            <a:ext uri="{FF2B5EF4-FFF2-40B4-BE49-F238E27FC236}">
              <a16:creationId xmlns:a16="http://schemas.microsoft.com/office/drawing/2014/main" id="{00000000-0008-0000-0000-00002101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5698" name="TextBox 5697">
          <a:extLst>
            <a:ext uri="{FF2B5EF4-FFF2-40B4-BE49-F238E27FC236}">
              <a16:creationId xmlns:a16="http://schemas.microsoft.com/office/drawing/2014/main" id="{00000000-0008-0000-0000-00002201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5699" name="TextBox 5698">
          <a:extLst>
            <a:ext uri="{FF2B5EF4-FFF2-40B4-BE49-F238E27FC236}">
              <a16:creationId xmlns:a16="http://schemas.microsoft.com/office/drawing/2014/main" id="{00000000-0008-0000-0000-00002301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5700" name="TextBox 5699">
          <a:extLst>
            <a:ext uri="{FF2B5EF4-FFF2-40B4-BE49-F238E27FC236}">
              <a16:creationId xmlns:a16="http://schemas.microsoft.com/office/drawing/2014/main" id="{00000000-0008-0000-0000-00002401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5701" name="TextBox 5700">
          <a:extLst>
            <a:ext uri="{FF2B5EF4-FFF2-40B4-BE49-F238E27FC236}">
              <a16:creationId xmlns:a16="http://schemas.microsoft.com/office/drawing/2014/main" id="{00000000-0008-0000-0000-00002501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5702" name="TextBox 5701">
          <a:extLst>
            <a:ext uri="{FF2B5EF4-FFF2-40B4-BE49-F238E27FC236}">
              <a16:creationId xmlns:a16="http://schemas.microsoft.com/office/drawing/2014/main" id="{00000000-0008-0000-0000-000026010000}"/>
            </a:ext>
          </a:extLst>
        </xdr:cNvPr>
        <xdr:cNvSpPr txBox="1"/>
      </xdr:nvSpPr>
      <xdr:spPr>
        <a:xfrm>
          <a:off x="1258062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5703" name="TextBox 5702">
          <a:extLst>
            <a:ext uri="{FF2B5EF4-FFF2-40B4-BE49-F238E27FC236}">
              <a16:creationId xmlns:a16="http://schemas.microsoft.com/office/drawing/2014/main" id="{00000000-0008-0000-0000-000027010000}"/>
            </a:ext>
          </a:extLst>
        </xdr:cNvPr>
        <xdr:cNvSpPr txBox="1"/>
      </xdr:nvSpPr>
      <xdr:spPr>
        <a:xfrm>
          <a:off x="1258062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5704" name="TextBox 5703">
          <a:extLst>
            <a:ext uri="{FF2B5EF4-FFF2-40B4-BE49-F238E27FC236}">
              <a16:creationId xmlns:a16="http://schemas.microsoft.com/office/drawing/2014/main" id="{00000000-0008-0000-0000-000028010000}"/>
            </a:ext>
          </a:extLst>
        </xdr:cNvPr>
        <xdr:cNvSpPr txBox="1"/>
      </xdr:nvSpPr>
      <xdr:spPr>
        <a:xfrm>
          <a:off x="1258062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5705" name="TextBox 5704">
          <a:extLst>
            <a:ext uri="{FF2B5EF4-FFF2-40B4-BE49-F238E27FC236}">
              <a16:creationId xmlns:a16="http://schemas.microsoft.com/office/drawing/2014/main" id="{00000000-0008-0000-0000-000029010000}"/>
            </a:ext>
          </a:extLst>
        </xdr:cNvPr>
        <xdr:cNvSpPr txBox="1"/>
      </xdr:nvSpPr>
      <xdr:spPr>
        <a:xfrm>
          <a:off x="1258062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5706" name="TextBox 5705">
          <a:extLst>
            <a:ext uri="{FF2B5EF4-FFF2-40B4-BE49-F238E27FC236}">
              <a16:creationId xmlns:a16="http://schemas.microsoft.com/office/drawing/2014/main" id="{00000000-0008-0000-0000-00002A010000}"/>
            </a:ext>
          </a:extLst>
        </xdr:cNvPr>
        <xdr:cNvSpPr txBox="1"/>
      </xdr:nvSpPr>
      <xdr:spPr>
        <a:xfrm>
          <a:off x="1258062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5707" name="TextBox 5706">
          <a:extLst>
            <a:ext uri="{FF2B5EF4-FFF2-40B4-BE49-F238E27FC236}">
              <a16:creationId xmlns:a16="http://schemas.microsoft.com/office/drawing/2014/main" id="{00000000-0008-0000-0000-00002B010000}"/>
            </a:ext>
          </a:extLst>
        </xdr:cNvPr>
        <xdr:cNvSpPr txBox="1"/>
      </xdr:nvSpPr>
      <xdr:spPr>
        <a:xfrm>
          <a:off x="1258062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5708" name="TextBox 5707">
          <a:extLst>
            <a:ext uri="{FF2B5EF4-FFF2-40B4-BE49-F238E27FC236}">
              <a16:creationId xmlns:a16="http://schemas.microsoft.com/office/drawing/2014/main" id="{00000000-0008-0000-0000-00002C010000}"/>
            </a:ext>
          </a:extLst>
        </xdr:cNvPr>
        <xdr:cNvSpPr txBox="1"/>
      </xdr:nvSpPr>
      <xdr:spPr>
        <a:xfrm>
          <a:off x="1258062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5709" name="TextBox 5708">
          <a:extLst>
            <a:ext uri="{FF2B5EF4-FFF2-40B4-BE49-F238E27FC236}">
              <a16:creationId xmlns:a16="http://schemas.microsoft.com/office/drawing/2014/main" id="{00000000-0008-0000-0000-00002D010000}"/>
            </a:ext>
          </a:extLst>
        </xdr:cNvPr>
        <xdr:cNvSpPr txBox="1"/>
      </xdr:nvSpPr>
      <xdr:spPr>
        <a:xfrm>
          <a:off x="1258062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710" name="TextBox 5709">
          <a:extLst>
            <a:ext uri="{FF2B5EF4-FFF2-40B4-BE49-F238E27FC236}">
              <a16:creationId xmlns:a16="http://schemas.microsoft.com/office/drawing/2014/main" id="{00000000-0008-0000-0000-00002E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711" name="TextBox 5710">
          <a:extLst>
            <a:ext uri="{FF2B5EF4-FFF2-40B4-BE49-F238E27FC236}">
              <a16:creationId xmlns:a16="http://schemas.microsoft.com/office/drawing/2014/main" id="{00000000-0008-0000-0000-00002F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712" name="TextBox 5711">
          <a:extLst>
            <a:ext uri="{FF2B5EF4-FFF2-40B4-BE49-F238E27FC236}">
              <a16:creationId xmlns:a16="http://schemas.microsoft.com/office/drawing/2014/main" id="{00000000-0008-0000-0000-000030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713" name="TextBox 5712">
          <a:extLst>
            <a:ext uri="{FF2B5EF4-FFF2-40B4-BE49-F238E27FC236}">
              <a16:creationId xmlns:a16="http://schemas.microsoft.com/office/drawing/2014/main" id="{00000000-0008-0000-0000-000031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714" name="TextBox 5713">
          <a:extLst>
            <a:ext uri="{FF2B5EF4-FFF2-40B4-BE49-F238E27FC236}">
              <a16:creationId xmlns:a16="http://schemas.microsoft.com/office/drawing/2014/main" id="{00000000-0008-0000-0000-000032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715" name="TextBox 5714">
          <a:extLst>
            <a:ext uri="{FF2B5EF4-FFF2-40B4-BE49-F238E27FC236}">
              <a16:creationId xmlns:a16="http://schemas.microsoft.com/office/drawing/2014/main" id="{00000000-0008-0000-0000-000033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716" name="TextBox 5715">
          <a:extLst>
            <a:ext uri="{FF2B5EF4-FFF2-40B4-BE49-F238E27FC236}">
              <a16:creationId xmlns:a16="http://schemas.microsoft.com/office/drawing/2014/main" id="{00000000-0008-0000-0000-000034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717" name="TextBox 5716">
          <a:extLst>
            <a:ext uri="{FF2B5EF4-FFF2-40B4-BE49-F238E27FC236}">
              <a16:creationId xmlns:a16="http://schemas.microsoft.com/office/drawing/2014/main" id="{00000000-0008-0000-0000-000035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718" name="TextBox 5717">
          <a:extLst>
            <a:ext uri="{FF2B5EF4-FFF2-40B4-BE49-F238E27FC236}">
              <a16:creationId xmlns:a16="http://schemas.microsoft.com/office/drawing/2014/main" id="{00000000-0008-0000-0000-000036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719" name="TextBox 5718">
          <a:extLst>
            <a:ext uri="{FF2B5EF4-FFF2-40B4-BE49-F238E27FC236}">
              <a16:creationId xmlns:a16="http://schemas.microsoft.com/office/drawing/2014/main" id="{00000000-0008-0000-0000-000037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720" name="TextBox 5719">
          <a:extLst>
            <a:ext uri="{FF2B5EF4-FFF2-40B4-BE49-F238E27FC236}">
              <a16:creationId xmlns:a16="http://schemas.microsoft.com/office/drawing/2014/main" id="{00000000-0008-0000-0000-000038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721" name="TextBox 5720">
          <a:extLst>
            <a:ext uri="{FF2B5EF4-FFF2-40B4-BE49-F238E27FC236}">
              <a16:creationId xmlns:a16="http://schemas.microsoft.com/office/drawing/2014/main" id="{00000000-0008-0000-0000-000039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722" name="TextBox 5721">
          <a:extLst>
            <a:ext uri="{FF2B5EF4-FFF2-40B4-BE49-F238E27FC236}">
              <a16:creationId xmlns:a16="http://schemas.microsoft.com/office/drawing/2014/main" id="{00000000-0008-0000-0000-00003A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723" name="TextBox 5722">
          <a:extLst>
            <a:ext uri="{FF2B5EF4-FFF2-40B4-BE49-F238E27FC236}">
              <a16:creationId xmlns:a16="http://schemas.microsoft.com/office/drawing/2014/main" id="{00000000-0008-0000-0000-00003B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724" name="TextBox 5723">
          <a:extLst>
            <a:ext uri="{FF2B5EF4-FFF2-40B4-BE49-F238E27FC236}">
              <a16:creationId xmlns:a16="http://schemas.microsoft.com/office/drawing/2014/main" id="{00000000-0008-0000-0000-00003C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725" name="TextBox 5724">
          <a:extLst>
            <a:ext uri="{FF2B5EF4-FFF2-40B4-BE49-F238E27FC236}">
              <a16:creationId xmlns:a16="http://schemas.microsoft.com/office/drawing/2014/main" id="{00000000-0008-0000-0000-00003D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726" name="TextBox 5725">
          <a:extLst>
            <a:ext uri="{FF2B5EF4-FFF2-40B4-BE49-F238E27FC236}">
              <a16:creationId xmlns:a16="http://schemas.microsoft.com/office/drawing/2014/main" id="{00000000-0008-0000-0000-00003E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727" name="TextBox 5726">
          <a:extLst>
            <a:ext uri="{FF2B5EF4-FFF2-40B4-BE49-F238E27FC236}">
              <a16:creationId xmlns:a16="http://schemas.microsoft.com/office/drawing/2014/main" id="{00000000-0008-0000-0000-00003F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728" name="TextBox 5727">
          <a:extLst>
            <a:ext uri="{FF2B5EF4-FFF2-40B4-BE49-F238E27FC236}">
              <a16:creationId xmlns:a16="http://schemas.microsoft.com/office/drawing/2014/main" id="{00000000-0008-0000-0000-000040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729" name="TextBox 5728">
          <a:extLst>
            <a:ext uri="{FF2B5EF4-FFF2-40B4-BE49-F238E27FC236}">
              <a16:creationId xmlns:a16="http://schemas.microsoft.com/office/drawing/2014/main" id="{00000000-0008-0000-0000-000041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730" name="TextBox 5729">
          <a:extLst>
            <a:ext uri="{FF2B5EF4-FFF2-40B4-BE49-F238E27FC236}">
              <a16:creationId xmlns:a16="http://schemas.microsoft.com/office/drawing/2014/main" id="{00000000-0008-0000-0000-000042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731" name="TextBox 5730">
          <a:extLst>
            <a:ext uri="{FF2B5EF4-FFF2-40B4-BE49-F238E27FC236}">
              <a16:creationId xmlns:a16="http://schemas.microsoft.com/office/drawing/2014/main" id="{00000000-0008-0000-0000-000043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732" name="TextBox 5731">
          <a:extLst>
            <a:ext uri="{FF2B5EF4-FFF2-40B4-BE49-F238E27FC236}">
              <a16:creationId xmlns:a16="http://schemas.microsoft.com/office/drawing/2014/main" id="{00000000-0008-0000-0000-000044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733" name="TextBox 5732">
          <a:extLst>
            <a:ext uri="{FF2B5EF4-FFF2-40B4-BE49-F238E27FC236}">
              <a16:creationId xmlns:a16="http://schemas.microsoft.com/office/drawing/2014/main" id="{00000000-0008-0000-0000-000045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734" name="TextBox 5733">
          <a:extLst>
            <a:ext uri="{FF2B5EF4-FFF2-40B4-BE49-F238E27FC236}">
              <a16:creationId xmlns:a16="http://schemas.microsoft.com/office/drawing/2014/main" id="{00000000-0008-0000-0000-000046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735" name="TextBox 5734">
          <a:extLst>
            <a:ext uri="{FF2B5EF4-FFF2-40B4-BE49-F238E27FC236}">
              <a16:creationId xmlns:a16="http://schemas.microsoft.com/office/drawing/2014/main" id="{00000000-0008-0000-0000-000047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736" name="TextBox 5735">
          <a:extLst>
            <a:ext uri="{FF2B5EF4-FFF2-40B4-BE49-F238E27FC236}">
              <a16:creationId xmlns:a16="http://schemas.microsoft.com/office/drawing/2014/main" id="{00000000-0008-0000-0000-000048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737" name="TextBox 5736">
          <a:extLst>
            <a:ext uri="{FF2B5EF4-FFF2-40B4-BE49-F238E27FC236}">
              <a16:creationId xmlns:a16="http://schemas.microsoft.com/office/drawing/2014/main" id="{00000000-0008-0000-0000-000049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738" name="TextBox 5737">
          <a:extLst>
            <a:ext uri="{FF2B5EF4-FFF2-40B4-BE49-F238E27FC236}">
              <a16:creationId xmlns:a16="http://schemas.microsoft.com/office/drawing/2014/main" id="{00000000-0008-0000-0000-00004A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739" name="TextBox 5738">
          <a:extLst>
            <a:ext uri="{FF2B5EF4-FFF2-40B4-BE49-F238E27FC236}">
              <a16:creationId xmlns:a16="http://schemas.microsoft.com/office/drawing/2014/main" id="{00000000-0008-0000-0000-00004B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740" name="TextBox 5739">
          <a:extLst>
            <a:ext uri="{FF2B5EF4-FFF2-40B4-BE49-F238E27FC236}">
              <a16:creationId xmlns:a16="http://schemas.microsoft.com/office/drawing/2014/main" id="{00000000-0008-0000-0000-00004C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741" name="TextBox 5740">
          <a:extLst>
            <a:ext uri="{FF2B5EF4-FFF2-40B4-BE49-F238E27FC236}">
              <a16:creationId xmlns:a16="http://schemas.microsoft.com/office/drawing/2014/main" id="{00000000-0008-0000-0000-00004D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742" name="TextBox 5741">
          <a:extLst>
            <a:ext uri="{FF2B5EF4-FFF2-40B4-BE49-F238E27FC236}">
              <a16:creationId xmlns:a16="http://schemas.microsoft.com/office/drawing/2014/main" id="{00000000-0008-0000-0000-00004E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743" name="TextBox 5742">
          <a:extLst>
            <a:ext uri="{FF2B5EF4-FFF2-40B4-BE49-F238E27FC236}">
              <a16:creationId xmlns:a16="http://schemas.microsoft.com/office/drawing/2014/main" id="{00000000-0008-0000-0000-00004F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744" name="TextBox 5743">
          <a:extLst>
            <a:ext uri="{FF2B5EF4-FFF2-40B4-BE49-F238E27FC236}">
              <a16:creationId xmlns:a16="http://schemas.microsoft.com/office/drawing/2014/main" id="{00000000-0008-0000-0000-000050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745" name="TextBox 5744">
          <a:extLst>
            <a:ext uri="{FF2B5EF4-FFF2-40B4-BE49-F238E27FC236}">
              <a16:creationId xmlns:a16="http://schemas.microsoft.com/office/drawing/2014/main" id="{00000000-0008-0000-0000-000051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746" name="TextBox 5745">
          <a:extLst>
            <a:ext uri="{FF2B5EF4-FFF2-40B4-BE49-F238E27FC236}">
              <a16:creationId xmlns:a16="http://schemas.microsoft.com/office/drawing/2014/main" id="{00000000-0008-0000-0000-000052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747" name="TextBox 5746">
          <a:extLst>
            <a:ext uri="{FF2B5EF4-FFF2-40B4-BE49-F238E27FC236}">
              <a16:creationId xmlns:a16="http://schemas.microsoft.com/office/drawing/2014/main" id="{00000000-0008-0000-0000-000053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748" name="TextBox 5747">
          <a:extLst>
            <a:ext uri="{FF2B5EF4-FFF2-40B4-BE49-F238E27FC236}">
              <a16:creationId xmlns:a16="http://schemas.microsoft.com/office/drawing/2014/main" id="{00000000-0008-0000-0000-000054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749" name="TextBox 5748">
          <a:extLst>
            <a:ext uri="{FF2B5EF4-FFF2-40B4-BE49-F238E27FC236}">
              <a16:creationId xmlns:a16="http://schemas.microsoft.com/office/drawing/2014/main" id="{00000000-0008-0000-0000-000055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750" name="TextBox 5749">
          <a:extLst>
            <a:ext uri="{FF2B5EF4-FFF2-40B4-BE49-F238E27FC236}">
              <a16:creationId xmlns:a16="http://schemas.microsoft.com/office/drawing/2014/main" id="{00000000-0008-0000-0000-000056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751" name="TextBox 5750">
          <a:extLst>
            <a:ext uri="{FF2B5EF4-FFF2-40B4-BE49-F238E27FC236}">
              <a16:creationId xmlns:a16="http://schemas.microsoft.com/office/drawing/2014/main" id="{00000000-0008-0000-0000-000057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752" name="TextBox 5751">
          <a:extLst>
            <a:ext uri="{FF2B5EF4-FFF2-40B4-BE49-F238E27FC236}">
              <a16:creationId xmlns:a16="http://schemas.microsoft.com/office/drawing/2014/main" id="{00000000-0008-0000-0000-000058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753" name="TextBox 5752">
          <a:extLst>
            <a:ext uri="{FF2B5EF4-FFF2-40B4-BE49-F238E27FC236}">
              <a16:creationId xmlns:a16="http://schemas.microsoft.com/office/drawing/2014/main" id="{00000000-0008-0000-0000-000059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754" name="TextBox 5753">
          <a:extLst>
            <a:ext uri="{FF2B5EF4-FFF2-40B4-BE49-F238E27FC236}">
              <a16:creationId xmlns:a16="http://schemas.microsoft.com/office/drawing/2014/main" id="{00000000-0008-0000-0000-00005A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755" name="TextBox 5754">
          <a:extLst>
            <a:ext uri="{FF2B5EF4-FFF2-40B4-BE49-F238E27FC236}">
              <a16:creationId xmlns:a16="http://schemas.microsoft.com/office/drawing/2014/main" id="{00000000-0008-0000-0000-00005B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756" name="TextBox 5755">
          <a:extLst>
            <a:ext uri="{FF2B5EF4-FFF2-40B4-BE49-F238E27FC236}">
              <a16:creationId xmlns:a16="http://schemas.microsoft.com/office/drawing/2014/main" id="{00000000-0008-0000-0000-00005C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757" name="TextBox 5756">
          <a:extLst>
            <a:ext uri="{FF2B5EF4-FFF2-40B4-BE49-F238E27FC236}">
              <a16:creationId xmlns:a16="http://schemas.microsoft.com/office/drawing/2014/main" id="{00000000-0008-0000-0000-00005D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758" name="TextBox 5757">
          <a:extLst>
            <a:ext uri="{FF2B5EF4-FFF2-40B4-BE49-F238E27FC236}">
              <a16:creationId xmlns:a16="http://schemas.microsoft.com/office/drawing/2014/main" id="{00000000-0008-0000-0000-00005E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759" name="TextBox 5758">
          <a:extLst>
            <a:ext uri="{FF2B5EF4-FFF2-40B4-BE49-F238E27FC236}">
              <a16:creationId xmlns:a16="http://schemas.microsoft.com/office/drawing/2014/main" id="{00000000-0008-0000-0000-00005F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760" name="TextBox 5759">
          <a:extLst>
            <a:ext uri="{FF2B5EF4-FFF2-40B4-BE49-F238E27FC236}">
              <a16:creationId xmlns:a16="http://schemas.microsoft.com/office/drawing/2014/main" id="{00000000-0008-0000-0000-000060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761" name="TextBox 5760">
          <a:extLst>
            <a:ext uri="{FF2B5EF4-FFF2-40B4-BE49-F238E27FC236}">
              <a16:creationId xmlns:a16="http://schemas.microsoft.com/office/drawing/2014/main" id="{00000000-0008-0000-0000-000061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762" name="TextBox 5761">
          <a:extLst>
            <a:ext uri="{FF2B5EF4-FFF2-40B4-BE49-F238E27FC236}">
              <a16:creationId xmlns:a16="http://schemas.microsoft.com/office/drawing/2014/main" id="{00000000-0008-0000-0000-000062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763" name="TextBox 5762">
          <a:extLst>
            <a:ext uri="{FF2B5EF4-FFF2-40B4-BE49-F238E27FC236}">
              <a16:creationId xmlns:a16="http://schemas.microsoft.com/office/drawing/2014/main" id="{00000000-0008-0000-0000-000063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764" name="TextBox 5763">
          <a:extLst>
            <a:ext uri="{FF2B5EF4-FFF2-40B4-BE49-F238E27FC236}">
              <a16:creationId xmlns:a16="http://schemas.microsoft.com/office/drawing/2014/main" id="{00000000-0008-0000-0000-000064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765" name="TextBox 5764">
          <a:extLst>
            <a:ext uri="{FF2B5EF4-FFF2-40B4-BE49-F238E27FC236}">
              <a16:creationId xmlns:a16="http://schemas.microsoft.com/office/drawing/2014/main" id="{00000000-0008-0000-0000-000065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766" name="TextBox 5765">
          <a:extLst>
            <a:ext uri="{FF2B5EF4-FFF2-40B4-BE49-F238E27FC236}">
              <a16:creationId xmlns:a16="http://schemas.microsoft.com/office/drawing/2014/main" id="{00000000-0008-0000-0000-000066010000}"/>
            </a:ext>
          </a:extLst>
        </xdr:cNvPr>
        <xdr:cNvSpPr txBox="1"/>
      </xdr:nvSpPr>
      <xdr:spPr>
        <a:xfrm>
          <a:off x="1258062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767" name="TextBox 5766">
          <a:extLst>
            <a:ext uri="{FF2B5EF4-FFF2-40B4-BE49-F238E27FC236}">
              <a16:creationId xmlns:a16="http://schemas.microsoft.com/office/drawing/2014/main" id="{00000000-0008-0000-0000-000067010000}"/>
            </a:ext>
          </a:extLst>
        </xdr:cNvPr>
        <xdr:cNvSpPr txBox="1"/>
      </xdr:nvSpPr>
      <xdr:spPr>
        <a:xfrm>
          <a:off x="1258062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768" name="TextBox 5767">
          <a:extLst>
            <a:ext uri="{FF2B5EF4-FFF2-40B4-BE49-F238E27FC236}">
              <a16:creationId xmlns:a16="http://schemas.microsoft.com/office/drawing/2014/main" id="{00000000-0008-0000-0000-000068010000}"/>
            </a:ext>
          </a:extLst>
        </xdr:cNvPr>
        <xdr:cNvSpPr txBox="1"/>
      </xdr:nvSpPr>
      <xdr:spPr>
        <a:xfrm>
          <a:off x="1258062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769" name="TextBox 5768">
          <a:extLst>
            <a:ext uri="{FF2B5EF4-FFF2-40B4-BE49-F238E27FC236}">
              <a16:creationId xmlns:a16="http://schemas.microsoft.com/office/drawing/2014/main" id="{00000000-0008-0000-0000-000069010000}"/>
            </a:ext>
          </a:extLst>
        </xdr:cNvPr>
        <xdr:cNvSpPr txBox="1"/>
      </xdr:nvSpPr>
      <xdr:spPr>
        <a:xfrm>
          <a:off x="1258062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770" name="TextBox 5769">
          <a:extLst>
            <a:ext uri="{FF2B5EF4-FFF2-40B4-BE49-F238E27FC236}">
              <a16:creationId xmlns:a16="http://schemas.microsoft.com/office/drawing/2014/main" id="{00000000-0008-0000-0000-00006A010000}"/>
            </a:ext>
          </a:extLst>
        </xdr:cNvPr>
        <xdr:cNvSpPr txBox="1"/>
      </xdr:nvSpPr>
      <xdr:spPr>
        <a:xfrm>
          <a:off x="1258062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771" name="TextBox 5770">
          <a:extLst>
            <a:ext uri="{FF2B5EF4-FFF2-40B4-BE49-F238E27FC236}">
              <a16:creationId xmlns:a16="http://schemas.microsoft.com/office/drawing/2014/main" id="{00000000-0008-0000-0000-00006B010000}"/>
            </a:ext>
          </a:extLst>
        </xdr:cNvPr>
        <xdr:cNvSpPr txBox="1"/>
      </xdr:nvSpPr>
      <xdr:spPr>
        <a:xfrm>
          <a:off x="1258062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772" name="TextBox 5771">
          <a:extLst>
            <a:ext uri="{FF2B5EF4-FFF2-40B4-BE49-F238E27FC236}">
              <a16:creationId xmlns:a16="http://schemas.microsoft.com/office/drawing/2014/main" id="{00000000-0008-0000-0000-00006C010000}"/>
            </a:ext>
          </a:extLst>
        </xdr:cNvPr>
        <xdr:cNvSpPr txBox="1"/>
      </xdr:nvSpPr>
      <xdr:spPr>
        <a:xfrm>
          <a:off x="1258062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773" name="TextBox 5772">
          <a:extLst>
            <a:ext uri="{FF2B5EF4-FFF2-40B4-BE49-F238E27FC236}">
              <a16:creationId xmlns:a16="http://schemas.microsoft.com/office/drawing/2014/main" id="{00000000-0008-0000-0000-00006D010000}"/>
            </a:ext>
          </a:extLst>
        </xdr:cNvPr>
        <xdr:cNvSpPr txBox="1"/>
      </xdr:nvSpPr>
      <xdr:spPr>
        <a:xfrm>
          <a:off x="1258062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5774" name="TextBox 5773">
          <a:extLst>
            <a:ext uri="{FF2B5EF4-FFF2-40B4-BE49-F238E27FC236}">
              <a16:creationId xmlns:a16="http://schemas.microsoft.com/office/drawing/2014/main" id="{00000000-0008-0000-0000-00006E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5775" name="TextBox 5774">
          <a:extLst>
            <a:ext uri="{FF2B5EF4-FFF2-40B4-BE49-F238E27FC236}">
              <a16:creationId xmlns:a16="http://schemas.microsoft.com/office/drawing/2014/main" id="{00000000-0008-0000-0000-00006F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5776" name="TextBox 5775">
          <a:extLst>
            <a:ext uri="{FF2B5EF4-FFF2-40B4-BE49-F238E27FC236}">
              <a16:creationId xmlns:a16="http://schemas.microsoft.com/office/drawing/2014/main" id="{00000000-0008-0000-0000-000070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5777" name="TextBox 5776">
          <a:extLst>
            <a:ext uri="{FF2B5EF4-FFF2-40B4-BE49-F238E27FC236}">
              <a16:creationId xmlns:a16="http://schemas.microsoft.com/office/drawing/2014/main" id="{00000000-0008-0000-0000-000071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5778" name="TextBox 5777">
          <a:extLst>
            <a:ext uri="{FF2B5EF4-FFF2-40B4-BE49-F238E27FC236}">
              <a16:creationId xmlns:a16="http://schemas.microsoft.com/office/drawing/2014/main" id="{00000000-0008-0000-0000-000072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5779" name="TextBox 5778">
          <a:extLst>
            <a:ext uri="{FF2B5EF4-FFF2-40B4-BE49-F238E27FC236}">
              <a16:creationId xmlns:a16="http://schemas.microsoft.com/office/drawing/2014/main" id="{00000000-0008-0000-0000-000073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5780" name="TextBox 5779">
          <a:extLst>
            <a:ext uri="{FF2B5EF4-FFF2-40B4-BE49-F238E27FC236}">
              <a16:creationId xmlns:a16="http://schemas.microsoft.com/office/drawing/2014/main" id="{00000000-0008-0000-0000-000074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5781" name="TextBox 5780">
          <a:extLst>
            <a:ext uri="{FF2B5EF4-FFF2-40B4-BE49-F238E27FC236}">
              <a16:creationId xmlns:a16="http://schemas.microsoft.com/office/drawing/2014/main" id="{00000000-0008-0000-0000-000075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5782" name="TextBox 5781">
          <a:extLst>
            <a:ext uri="{FF2B5EF4-FFF2-40B4-BE49-F238E27FC236}">
              <a16:creationId xmlns:a16="http://schemas.microsoft.com/office/drawing/2014/main" id="{00000000-0008-0000-0000-000076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5783" name="TextBox 5782">
          <a:extLst>
            <a:ext uri="{FF2B5EF4-FFF2-40B4-BE49-F238E27FC236}">
              <a16:creationId xmlns:a16="http://schemas.microsoft.com/office/drawing/2014/main" id="{00000000-0008-0000-0000-000077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5784" name="TextBox 5783">
          <a:extLst>
            <a:ext uri="{FF2B5EF4-FFF2-40B4-BE49-F238E27FC236}">
              <a16:creationId xmlns:a16="http://schemas.microsoft.com/office/drawing/2014/main" id="{00000000-0008-0000-0000-000078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5785" name="TextBox 5784">
          <a:extLst>
            <a:ext uri="{FF2B5EF4-FFF2-40B4-BE49-F238E27FC236}">
              <a16:creationId xmlns:a16="http://schemas.microsoft.com/office/drawing/2014/main" id="{00000000-0008-0000-0000-000079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5786" name="TextBox 5785">
          <a:extLst>
            <a:ext uri="{FF2B5EF4-FFF2-40B4-BE49-F238E27FC236}">
              <a16:creationId xmlns:a16="http://schemas.microsoft.com/office/drawing/2014/main" id="{00000000-0008-0000-0000-00007A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5787" name="TextBox 5786">
          <a:extLst>
            <a:ext uri="{FF2B5EF4-FFF2-40B4-BE49-F238E27FC236}">
              <a16:creationId xmlns:a16="http://schemas.microsoft.com/office/drawing/2014/main" id="{00000000-0008-0000-0000-00007B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5788" name="TextBox 5787">
          <a:extLst>
            <a:ext uri="{FF2B5EF4-FFF2-40B4-BE49-F238E27FC236}">
              <a16:creationId xmlns:a16="http://schemas.microsoft.com/office/drawing/2014/main" id="{00000000-0008-0000-0000-00007C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5789" name="TextBox 5788">
          <a:extLst>
            <a:ext uri="{FF2B5EF4-FFF2-40B4-BE49-F238E27FC236}">
              <a16:creationId xmlns:a16="http://schemas.microsoft.com/office/drawing/2014/main" id="{00000000-0008-0000-0000-00007D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5790" name="TextBox 5789">
          <a:extLst>
            <a:ext uri="{FF2B5EF4-FFF2-40B4-BE49-F238E27FC236}">
              <a16:creationId xmlns:a16="http://schemas.microsoft.com/office/drawing/2014/main" id="{00000000-0008-0000-0000-00007E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5791" name="TextBox 5790">
          <a:extLst>
            <a:ext uri="{FF2B5EF4-FFF2-40B4-BE49-F238E27FC236}">
              <a16:creationId xmlns:a16="http://schemas.microsoft.com/office/drawing/2014/main" id="{00000000-0008-0000-0000-00007F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5792" name="TextBox 5791">
          <a:extLst>
            <a:ext uri="{FF2B5EF4-FFF2-40B4-BE49-F238E27FC236}">
              <a16:creationId xmlns:a16="http://schemas.microsoft.com/office/drawing/2014/main" id="{00000000-0008-0000-0000-000080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5793" name="TextBox 5792">
          <a:extLst>
            <a:ext uri="{FF2B5EF4-FFF2-40B4-BE49-F238E27FC236}">
              <a16:creationId xmlns:a16="http://schemas.microsoft.com/office/drawing/2014/main" id="{00000000-0008-0000-0000-000081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5794" name="TextBox 5793">
          <a:extLst>
            <a:ext uri="{FF2B5EF4-FFF2-40B4-BE49-F238E27FC236}">
              <a16:creationId xmlns:a16="http://schemas.microsoft.com/office/drawing/2014/main" id="{00000000-0008-0000-0000-000082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5795" name="TextBox 5794">
          <a:extLst>
            <a:ext uri="{FF2B5EF4-FFF2-40B4-BE49-F238E27FC236}">
              <a16:creationId xmlns:a16="http://schemas.microsoft.com/office/drawing/2014/main" id="{00000000-0008-0000-0000-000083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5796" name="TextBox 5795">
          <a:extLst>
            <a:ext uri="{FF2B5EF4-FFF2-40B4-BE49-F238E27FC236}">
              <a16:creationId xmlns:a16="http://schemas.microsoft.com/office/drawing/2014/main" id="{00000000-0008-0000-0000-000084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5797" name="TextBox 5796">
          <a:extLst>
            <a:ext uri="{FF2B5EF4-FFF2-40B4-BE49-F238E27FC236}">
              <a16:creationId xmlns:a16="http://schemas.microsoft.com/office/drawing/2014/main" id="{00000000-0008-0000-0000-000085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5798" name="TextBox 5797">
          <a:extLst>
            <a:ext uri="{FF2B5EF4-FFF2-40B4-BE49-F238E27FC236}">
              <a16:creationId xmlns:a16="http://schemas.microsoft.com/office/drawing/2014/main" id="{00000000-0008-0000-0000-000086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5799" name="TextBox 5798">
          <a:extLst>
            <a:ext uri="{FF2B5EF4-FFF2-40B4-BE49-F238E27FC236}">
              <a16:creationId xmlns:a16="http://schemas.microsoft.com/office/drawing/2014/main" id="{00000000-0008-0000-0000-000087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5800" name="TextBox 5799">
          <a:extLst>
            <a:ext uri="{FF2B5EF4-FFF2-40B4-BE49-F238E27FC236}">
              <a16:creationId xmlns:a16="http://schemas.microsoft.com/office/drawing/2014/main" id="{00000000-0008-0000-0000-000088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5801" name="TextBox 5800">
          <a:extLst>
            <a:ext uri="{FF2B5EF4-FFF2-40B4-BE49-F238E27FC236}">
              <a16:creationId xmlns:a16="http://schemas.microsoft.com/office/drawing/2014/main" id="{00000000-0008-0000-0000-000089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5802" name="TextBox 5801">
          <a:extLst>
            <a:ext uri="{FF2B5EF4-FFF2-40B4-BE49-F238E27FC236}">
              <a16:creationId xmlns:a16="http://schemas.microsoft.com/office/drawing/2014/main" id="{00000000-0008-0000-0000-00008A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5803" name="TextBox 5802">
          <a:extLst>
            <a:ext uri="{FF2B5EF4-FFF2-40B4-BE49-F238E27FC236}">
              <a16:creationId xmlns:a16="http://schemas.microsoft.com/office/drawing/2014/main" id="{00000000-0008-0000-0000-00008B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5804" name="TextBox 5803">
          <a:extLst>
            <a:ext uri="{FF2B5EF4-FFF2-40B4-BE49-F238E27FC236}">
              <a16:creationId xmlns:a16="http://schemas.microsoft.com/office/drawing/2014/main" id="{00000000-0008-0000-0000-00008C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5805" name="TextBox 5804">
          <a:extLst>
            <a:ext uri="{FF2B5EF4-FFF2-40B4-BE49-F238E27FC236}">
              <a16:creationId xmlns:a16="http://schemas.microsoft.com/office/drawing/2014/main" id="{00000000-0008-0000-0000-00008D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5806" name="TextBox 5805">
          <a:extLst>
            <a:ext uri="{FF2B5EF4-FFF2-40B4-BE49-F238E27FC236}">
              <a16:creationId xmlns:a16="http://schemas.microsoft.com/office/drawing/2014/main" id="{00000000-0008-0000-0000-00008E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5807" name="TextBox 5806">
          <a:extLst>
            <a:ext uri="{FF2B5EF4-FFF2-40B4-BE49-F238E27FC236}">
              <a16:creationId xmlns:a16="http://schemas.microsoft.com/office/drawing/2014/main" id="{00000000-0008-0000-0000-00008F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5808" name="TextBox 5807">
          <a:extLst>
            <a:ext uri="{FF2B5EF4-FFF2-40B4-BE49-F238E27FC236}">
              <a16:creationId xmlns:a16="http://schemas.microsoft.com/office/drawing/2014/main" id="{00000000-0008-0000-0000-000090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5809" name="TextBox 5808">
          <a:extLst>
            <a:ext uri="{FF2B5EF4-FFF2-40B4-BE49-F238E27FC236}">
              <a16:creationId xmlns:a16="http://schemas.microsoft.com/office/drawing/2014/main" id="{00000000-0008-0000-0000-000091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5810" name="TextBox 5809">
          <a:extLst>
            <a:ext uri="{FF2B5EF4-FFF2-40B4-BE49-F238E27FC236}">
              <a16:creationId xmlns:a16="http://schemas.microsoft.com/office/drawing/2014/main" id="{00000000-0008-0000-0000-000092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5811" name="TextBox 5810">
          <a:extLst>
            <a:ext uri="{FF2B5EF4-FFF2-40B4-BE49-F238E27FC236}">
              <a16:creationId xmlns:a16="http://schemas.microsoft.com/office/drawing/2014/main" id="{00000000-0008-0000-0000-000093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5812" name="TextBox 5811">
          <a:extLst>
            <a:ext uri="{FF2B5EF4-FFF2-40B4-BE49-F238E27FC236}">
              <a16:creationId xmlns:a16="http://schemas.microsoft.com/office/drawing/2014/main" id="{00000000-0008-0000-0000-000094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5813" name="TextBox 5812">
          <a:extLst>
            <a:ext uri="{FF2B5EF4-FFF2-40B4-BE49-F238E27FC236}">
              <a16:creationId xmlns:a16="http://schemas.microsoft.com/office/drawing/2014/main" id="{00000000-0008-0000-0000-000095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5814" name="TextBox 5813">
          <a:extLst>
            <a:ext uri="{FF2B5EF4-FFF2-40B4-BE49-F238E27FC236}">
              <a16:creationId xmlns:a16="http://schemas.microsoft.com/office/drawing/2014/main" id="{00000000-0008-0000-0000-000096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5815" name="TextBox 5814">
          <a:extLst>
            <a:ext uri="{FF2B5EF4-FFF2-40B4-BE49-F238E27FC236}">
              <a16:creationId xmlns:a16="http://schemas.microsoft.com/office/drawing/2014/main" id="{00000000-0008-0000-0000-000097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5816" name="TextBox 5815">
          <a:extLst>
            <a:ext uri="{FF2B5EF4-FFF2-40B4-BE49-F238E27FC236}">
              <a16:creationId xmlns:a16="http://schemas.microsoft.com/office/drawing/2014/main" id="{00000000-0008-0000-0000-000098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5817" name="TextBox 5816">
          <a:extLst>
            <a:ext uri="{FF2B5EF4-FFF2-40B4-BE49-F238E27FC236}">
              <a16:creationId xmlns:a16="http://schemas.microsoft.com/office/drawing/2014/main" id="{00000000-0008-0000-0000-000099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5818" name="TextBox 5817">
          <a:extLst>
            <a:ext uri="{FF2B5EF4-FFF2-40B4-BE49-F238E27FC236}">
              <a16:creationId xmlns:a16="http://schemas.microsoft.com/office/drawing/2014/main" id="{00000000-0008-0000-0000-00009A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5819" name="TextBox 5818">
          <a:extLst>
            <a:ext uri="{FF2B5EF4-FFF2-40B4-BE49-F238E27FC236}">
              <a16:creationId xmlns:a16="http://schemas.microsoft.com/office/drawing/2014/main" id="{00000000-0008-0000-0000-00009B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5820" name="TextBox 5819">
          <a:extLst>
            <a:ext uri="{FF2B5EF4-FFF2-40B4-BE49-F238E27FC236}">
              <a16:creationId xmlns:a16="http://schemas.microsoft.com/office/drawing/2014/main" id="{00000000-0008-0000-0000-00009C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5821" name="TextBox 5820">
          <a:extLst>
            <a:ext uri="{FF2B5EF4-FFF2-40B4-BE49-F238E27FC236}">
              <a16:creationId xmlns:a16="http://schemas.microsoft.com/office/drawing/2014/main" id="{00000000-0008-0000-0000-00009D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5822" name="TextBox 5821">
          <a:extLst>
            <a:ext uri="{FF2B5EF4-FFF2-40B4-BE49-F238E27FC236}">
              <a16:creationId xmlns:a16="http://schemas.microsoft.com/office/drawing/2014/main" id="{00000000-0008-0000-0000-00009E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5823" name="TextBox 5822">
          <a:extLst>
            <a:ext uri="{FF2B5EF4-FFF2-40B4-BE49-F238E27FC236}">
              <a16:creationId xmlns:a16="http://schemas.microsoft.com/office/drawing/2014/main" id="{00000000-0008-0000-0000-00009F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5824" name="TextBox 5823">
          <a:extLst>
            <a:ext uri="{FF2B5EF4-FFF2-40B4-BE49-F238E27FC236}">
              <a16:creationId xmlns:a16="http://schemas.microsoft.com/office/drawing/2014/main" id="{00000000-0008-0000-0000-0000A0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5825" name="TextBox 5824">
          <a:extLst>
            <a:ext uri="{FF2B5EF4-FFF2-40B4-BE49-F238E27FC236}">
              <a16:creationId xmlns:a16="http://schemas.microsoft.com/office/drawing/2014/main" id="{00000000-0008-0000-0000-0000A1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5826" name="TextBox 5825">
          <a:extLst>
            <a:ext uri="{FF2B5EF4-FFF2-40B4-BE49-F238E27FC236}">
              <a16:creationId xmlns:a16="http://schemas.microsoft.com/office/drawing/2014/main" id="{00000000-0008-0000-0000-0000A2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5827" name="TextBox 5826">
          <a:extLst>
            <a:ext uri="{FF2B5EF4-FFF2-40B4-BE49-F238E27FC236}">
              <a16:creationId xmlns:a16="http://schemas.microsoft.com/office/drawing/2014/main" id="{00000000-0008-0000-0000-0000A3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5828" name="TextBox 5827">
          <a:extLst>
            <a:ext uri="{FF2B5EF4-FFF2-40B4-BE49-F238E27FC236}">
              <a16:creationId xmlns:a16="http://schemas.microsoft.com/office/drawing/2014/main" id="{00000000-0008-0000-0000-0000A4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5829" name="TextBox 5828">
          <a:extLst>
            <a:ext uri="{FF2B5EF4-FFF2-40B4-BE49-F238E27FC236}">
              <a16:creationId xmlns:a16="http://schemas.microsoft.com/office/drawing/2014/main" id="{00000000-0008-0000-0000-0000A5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5830" name="TextBox 5829">
          <a:extLst>
            <a:ext uri="{FF2B5EF4-FFF2-40B4-BE49-F238E27FC236}">
              <a16:creationId xmlns:a16="http://schemas.microsoft.com/office/drawing/2014/main" id="{00000000-0008-0000-0000-0000A6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5831" name="TextBox 5830">
          <a:extLst>
            <a:ext uri="{FF2B5EF4-FFF2-40B4-BE49-F238E27FC236}">
              <a16:creationId xmlns:a16="http://schemas.microsoft.com/office/drawing/2014/main" id="{00000000-0008-0000-0000-0000A7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5832" name="TextBox 5831">
          <a:extLst>
            <a:ext uri="{FF2B5EF4-FFF2-40B4-BE49-F238E27FC236}">
              <a16:creationId xmlns:a16="http://schemas.microsoft.com/office/drawing/2014/main" id="{00000000-0008-0000-0000-0000A8010000}"/>
            </a:ext>
          </a:extLst>
        </xdr:cNvPr>
        <xdr:cNvSpPr txBox="1"/>
      </xdr:nvSpPr>
      <xdr:spPr>
        <a:xfrm>
          <a:off x="1258062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5833" name="TextBox 5832">
          <a:extLst>
            <a:ext uri="{FF2B5EF4-FFF2-40B4-BE49-F238E27FC236}">
              <a16:creationId xmlns:a16="http://schemas.microsoft.com/office/drawing/2014/main" id="{00000000-0008-0000-0000-0000A9010000}"/>
            </a:ext>
          </a:extLst>
        </xdr:cNvPr>
        <xdr:cNvSpPr txBox="1"/>
      </xdr:nvSpPr>
      <xdr:spPr>
        <a:xfrm>
          <a:off x="1258062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5834" name="TextBox 5833">
          <a:extLst>
            <a:ext uri="{FF2B5EF4-FFF2-40B4-BE49-F238E27FC236}">
              <a16:creationId xmlns:a16="http://schemas.microsoft.com/office/drawing/2014/main" id="{00000000-0008-0000-0000-0000AA010000}"/>
            </a:ext>
          </a:extLst>
        </xdr:cNvPr>
        <xdr:cNvSpPr txBox="1"/>
      </xdr:nvSpPr>
      <xdr:spPr>
        <a:xfrm>
          <a:off x="1258062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5835" name="TextBox 5834">
          <a:extLst>
            <a:ext uri="{FF2B5EF4-FFF2-40B4-BE49-F238E27FC236}">
              <a16:creationId xmlns:a16="http://schemas.microsoft.com/office/drawing/2014/main" id="{00000000-0008-0000-0000-0000AB010000}"/>
            </a:ext>
          </a:extLst>
        </xdr:cNvPr>
        <xdr:cNvSpPr txBox="1"/>
      </xdr:nvSpPr>
      <xdr:spPr>
        <a:xfrm>
          <a:off x="1258062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5836" name="TextBox 5835">
          <a:extLst>
            <a:ext uri="{FF2B5EF4-FFF2-40B4-BE49-F238E27FC236}">
              <a16:creationId xmlns:a16="http://schemas.microsoft.com/office/drawing/2014/main" id="{00000000-0008-0000-0000-0000AC010000}"/>
            </a:ext>
          </a:extLst>
        </xdr:cNvPr>
        <xdr:cNvSpPr txBox="1"/>
      </xdr:nvSpPr>
      <xdr:spPr>
        <a:xfrm>
          <a:off x="1258062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5837" name="TextBox 5836">
          <a:extLst>
            <a:ext uri="{FF2B5EF4-FFF2-40B4-BE49-F238E27FC236}">
              <a16:creationId xmlns:a16="http://schemas.microsoft.com/office/drawing/2014/main" id="{00000000-0008-0000-0000-0000AD010000}"/>
            </a:ext>
          </a:extLst>
        </xdr:cNvPr>
        <xdr:cNvSpPr txBox="1"/>
      </xdr:nvSpPr>
      <xdr:spPr>
        <a:xfrm>
          <a:off x="1258062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5838" name="TextBox 5837">
          <a:extLst>
            <a:ext uri="{FF2B5EF4-FFF2-40B4-BE49-F238E27FC236}">
              <a16:creationId xmlns:a16="http://schemas.microsoft.com/office/drawing/2014/main" id="{00000000-0008-0000-0000-0000AE010000}"/>
            </a:ext>
          </a:extLst>
        </xdr:cNvPr>
        <xdr:cNvSpPr txBox="1"/>
      </xdr:nvSpPr>
      <xdr:spPr>
        <a:xfrm>
          <a:off x="1258062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5839" name="TextBox 5838">
          <a:extLst>
            <a:ext uri="{FF2B5EF4-FFF2-40B4-BE49-F238E27FC236}">
              <a16:creationId xmlns:a16="http://schemas.microsoft.com/office/drawing/2014/main" id="{00000000-0008-0000-0000-0000AF010000}"/>
            </a:ext>
          </a:extLst>
        </xdr:cNvPr>
        <xdr:cNvSpPr txBox="1"/>
      </xdr:nvSpPr>
      <xdr:spPr>
        <a:xfrm>
          <a:off x="1258062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5840" name="TextBox 5839">
          <a:extLst>
            <a:ext uri="{FF2B5EF4-FFF2-40B4-BE49-F238E27FC236}">
              <a16:creationId xmlns:a16="http://schemas.microsoft.com/office/drawing/2014/main" id="{00000000-0008-0000-0000-0000B001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5841" name="TextBox 5840">
          <a:extLst>
            <a:ext uri="{FF2B5EF4-FFF2-40B4-BE49-F238E27FC236}">
              <a16:creationId xmlns:a16="http://schemas.microsoft.com/office/drawing/2014/main" id="{00000000-0008-0000-0000-0000B101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842" name="TextBox 5841">
          <a:extLst>
            <a:ext uri="{FF2B5EF4-FFF2-40B4-BE49-F238E27FC236}">
              <a16:creationId xmlns:a16="http://schemas.microsoft.com/office/drawing/2014/main" id="{00000000-0008-0000-0000-0000B2010000}"/>
            </a:ext>
          </a:extLst>
        </xdr:cNvPr>
        <xdr:cNvSpPr txBox="1"/>
      </xdr:nvSpPr>
      <xdr:spPr>
        <a:xfrm>
          <a:off x="1258062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843" name="TextBox 5842">
          <a:extLst>
            <a:ext uri="{FF2B5EF4-FFF2-40B4-BE49-F238E27FC236}">
              <a16:creationId xmlns:a16="http://schemas.microsoft.com/office/drawing/2014/main" id="{00000000-0008-0000-0000-0000B3010000}"/>
            </a:ext>
          </a:extLst>
        </xdr:cNvPr>
        <xdr:cNvSpPr txBox="1"/>
      </xdr:nvSpPr>
      <xdr:spPr>
        <a:xfrm>
          <a:off x="1258062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844" name="TextBox 5843">
          <a:extLst>
            <a:ext uri="{FF2B5EF4-FFF2-40B4-BE49-F238E27FC236}">
              <a16:creationId xmlns:a16="http://schemas.microsoft.com/office/drawing/2014/main" id="{00000000-0008-0000-0000-0000B4010000}"/>
            </a:ext>
          </a:extLst>
        </xdr:cNvPr>
        <xdr:cNvSpPr txBox="1"/>
      </xdr:nvSpPr>
      <xdr:spPr>
        <a:xfrm>
          <a:off x="1258062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845" name="TextBox 5844">
          <a:extLst>
            <a:ext uri="{FF2B5EF4-FFF2-40B4-BE49-F238E27FC236}">
              <a16:creationId xmlns:a16="http://schemas.microsoft.com/office/drawing/2014/main" id="{00000000-0008-0000-0000-0000B5010000}"/>
            </a:ext>
          </a:extLst>
        </xdr:cNvPr>
        <xdr:cNvSpPr txBox="1"/>
      </xdr:nvSpPr>
      <xdr:spPr>
        <a:xfrm>
          <a:off x="1258062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846" name="TextBox 5845">
          <a:extLst>
            <a:ext uri="{FF2B5EF4-FFF2-40B4-BE49-F238E27FC236}">
              <a16:creationId xmlns:a16="http://schemas.microsoft.com/office/drawing/2014/main" id="{00000000-0008-0000-0000-0000B6010000}"/>
            </a:ext>
          </a:extLst>
        </xdr:cNvPr>
        <xdr:cNvSpPr txBox="1"/>
      </xdr:nvSpPr>
      <xdr:spPr>
        <a:xfrm>
          <a:off x="1258062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847" name="TextBox 5846">
          <a:extLst>
            <a:ext uri="{FF2B5EF4-FFF2-40B4-BE49-F238E27FC236}">
              <a16:creationId xmlns:a16="http://schemas.microsoft.com/office/drawing/2014/main" id="{00000000-0008-0000-0000-0000B7010000}"/>
            </a:ext>
          </a:extLst>
        </xdr:cNvPr>
        <xdr:cNvSpPr txBox="1"/>
      </xdr:nvSpPr>
      <xdr:spPr>
        <a:xfrm>
          <a:off x="1258062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848" name="TextBox 5847">
          <a:extLst>
            <a:ext uri="{FF2B5EF4-FFF2-40B4-BE49-F238E27FC236}">
              <a16:creationId xmlns:a16="http://schemas.microsoft.com/office/drawing/2014/main" id="{00000000-0008-0000-0000-0000B8010000}"/>
            </a:ext>
          </a:extLst>
        </xdr:cNvPr>
        <xdr:cNvSpPr txBox="1"/>
      </xdr:nvSpPr>
      <xdr:spPr>
        <a:xfrm>
          <a:off x="1258062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849" name="TextBox 5848">
          <a:extLst>
            <a:ext uri="{FF2B5EF4-FFF2-40B4-BE49-F238E27FC236}">
              <a16:creationId xmlns:a16="http://schemas.microsoft.com/office/drawing/2014/main" id="{00000000-0008-0000-0000-0000B9010000}"/>
            </a:ext>
          </a:extLst>
        </xdr:cNvPr>
        <xdr:cNvSpPr txBox="1"/>
      </xdr:nvSpPr>
      <xdr:spPr>
        <a:xfrm>
          <a:off x="1258062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850" name="TextBox 5849">
          <a:extLst>
            <a:ext uri="{FF2B5EF4-FFF2-40B4-BE49-F238E27FC236}">
              <a16:creationId xmlns:a16="http://schemas.microsoft.com/office/drawing/2014/main" id="{00000000-0008-0000-0000-0000BA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851" name="TextBox 5850">
          <a:extLst>
            <a:ext uri="{FF2B5EF4-FFF2-40B4-BE49-F238E27FC236}">
              <a16:creationId xmlns:a16="http://schemas.microsoft.com/office/drawing/2014/main" id="{00000000-0008-0000-0000-0000BB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852" name="TextBox 5851">
          <a:extLst>
            <a:ext uri="{FF2B5EF4-FFF2-40B4-BE49-F238E27FC236}">
              <a16:creationId xmlns:a16="http://schemas.microsoft.com/office/drawing/2014/main" id="{00000000-0008-0000-0000-0000BC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853" name="TextBox 5852">
          <a:extLst>
            <a:ext uri="{FF2B5EF4-FFF2-40B4-BE49-F238E27FC236}">
              <a16:creationId xmlns:a16="http://schemas.microsoft.com/office/drawing/2014/main" id="{00000000-0008-0000-0000-0000BD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854" name="TextBox 5853">
          <a:extLst>
            <a:ext uri="{FF2B5EF4-FFF2-40B4-BE49-F238E27FC236}">
              <a16:creationId xmlns:a16="http://schemas.microsoft.com/office/drawing/2014/main" id="{00000000-0008-0000-0000-0000BE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855" name="TextBox 5854">
          <a:extLst>
            <a:ext uri="{FF2B5EF4-FFF2-40B4-BE49-F238E27FC236}">
              <a16:creationId xmlns:a16="http://schemas.microsoft.com/office/drawing/2014/main" id="{00000000-0008-0000-0000-0000BF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856" name="TextBox 5855">
          <a:extLst>
            <a:ext uri="{FF2B5EF4-FFF2-40B4-BE49-F238E27FC236}">
              <a16:creationId xmlns:a16="http://schemas.microsoft.com/office/drawing/2014/main" id="{00000000-0008-0000-0000-0000C0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857" name="TextBox 5856">
          <a:extLst>
            <a:ext uri="{FF2B5EF4-FFF2-40B4-BE49-F238E27FC236}">
              <a16:creationId xmlns:a16="http://schemas.microsoft.com/office/drawing/2014/main" id="{00000000-0008-0000-0000-0000C1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858" name="TextBox 5857">
          <a:extLst>
            <a:ext uri="{FF2B5EF4-FFF2-40B4-BE49-F238E27FC236}">
              <a16:creationId xmlns:a16="http://schemas.microsoft.com/office/drawing/2014/main" id="{00000000-0008-0000-0000-0000C2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859" name="TextBox 5858">
          <a:extLst>
            <a:ext uri="{FF2B5EF4-FFF2-40B4-BE49-F238E27FC236}">
              <a16:creationId xmlns:a16="http://schemas.microsoft.com/office/drawing/2014/main" id="{00000000-0008-0000-0000-0000C3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860" name="TextBox 5859">
          <a:extLst>
            <a:ext uri="{FF2B5EF4-FFF2-40B4-BE49-F238E27FC236}">
              <a16:creationId xmlns:a16="http://schemas.microsoft.com/office/drawing/2014/main" id="{00000000-0008-0000-0000-0000C4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861" name="TextBox 5860">
          <a:extLst>
            <a:ext uri="{FF2B5EF4-FFF2-40B4-BE49-F238E27FC236}">
              <a16:creationId xmlns:a16="http://schemas.microsoft.com/office/drawing/2014/main" id="{00000000-0008-0000-0000-0000C5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862" name="TextBox 5861">
          <a:extLst>
            <a:ext uri="{FF2B5EF4-FFF2-40B4-BE49-F238E27FC236}">
              <a16:creationId xmlns:a16="http://schemas.microsoft.com/office/drawing/2014/main" id="{00000000-0008-0000-0000-0000C6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863" name="TextBox 5862">
          <a:extLst>
            <a:ext uri="{FF2B5EF4-FFF2-40B4-BE49-F238E27FC236}">
              <a16:creationId xmlns:a16="http://schemas.microsoft.com/office/drawing/2014/main" id="{00000000-0008-0000-0000-0000C7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864" name="TextBox 5863">
          <a:extLst>
            <a:ext uri="{FF2B5EF4-FFF2-40B4-BE49-F238E27FC236}">
              <a16:creationId xmlns:a16="http://schemas.microsoft.com/office/drawing/2014/main" id="{00000000-0008-0000-0000-0000C8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865" name="TextBox 5864">
          <a:extLst>
            <a:ext uri="{FF2B5EF4-FFF2-40B4-BE49-F238E27FC236}">
              <a16:creationId xmlns:a16="http://schemas.microsoft.com/office/drawing/2014/main" id="{00000000-0008-0000-0000-0000C9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866" name="TextBox 5865">
          <a:extLst>
            <a:ext uri="{FF2B5EF4-FFF2-40B4-BE49-F238E27FC236}">
              <a16:creationId xmlns:a16="http://schemas.microsoft.com/office/drawing/2014/main" id="{00000000-0008-0000-0000-0000CA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867" name="TextBox 5866">
          <a:extLst>
            <a:ext uri="{FF2B5EF4-FFF2-40B4-BE49-F238E27FC236}">
              <a16:creationId xmlns:a16="http://schemas.microsoft.com/office/drawing/2014/main" id="{00000000-0008-0000-0000-0000CB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868" name="TextBox 5867">
          <a:extLst>
            <a:ext uri="{FF2B5EF4-FFF2-40B4-BE49-F238E27FC236}">
              <a16:creationId xmlns:a16="http://schemas.microsoft.com/office/drawing/2014/main" id="{00000000-0008-0000-0000-0000CC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869" name="TextBox 5868">
          <a:extLst>
            <a:ext uri="{FF2B5EF4-FFF2-40B4-BE49-F238E27FC236}">
              <a16:creationId xmlns:a16="http://schemas.microsoft.com/office/drawing/2014/main" id="{00000000-0008-0000-0000-0000CD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870" name="TextBox 5869">
          <a:extLst>
            <a:ext uri="{FF2B5EF4-FFF2-40B4-BE49-F238E27FC236}">
              <a16:creationId xmlns:a16="http://schemas.microsoft.com/office/drawing/2014/main" id="{00000000-0008-0000-0000-0000CE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871" name="TextBox 5870">
          <a:extLst>
            <a:ext uri="{FF2B5EF4-FFF2-40B4-BE49-F238E27FC236}">
              <a16:creationId xmlns:a16="http://schemas.microsoft.com/office/drawing/2014/main" id="{00000000-0008-0000-0000-0000CF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872" name="TextBox 5871">
          <a:extLst>
            <a:ext uri="{FF2B5EF4-FFF2-40B4-BE49-F238E27FC236}">
              <a16:creationId xmlns:a16="http://schemas.microsoft.com/office/drawing/2014/main" id="{00000000-0008-0000-0000-0000D0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873" name="TextBox 5872">
          <a:extLst>
            <a:ext uri="{FF2B5EF4-FFF2-40B4-BE49-F238E27FC236}">
              <a16:creationId xmlns:a16="http://schemas.microsoft.com/office/drawing/2014/main" id="{00000000-0008-0000-0000-0000D1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874" name="TextBox 5873">
          <a:extLst>
            <a:ext uri="{FF2B5EF4-FFF2-40B4-BE49-F238E27FC236}">
              <a16:creationId xmlns:a16="http://schemas.microsoft.com/office/drawing/2014/main" id="{00000000-0008-0000-0000-0000D2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875" name="TextBox 5874">
          <a:extLst>
            <a:ext uri="{FF2B5EF4-FFF2-40B4-BE49-F238E27FC236}">
              <a16:creationId xmlns:a16="http://schemas.microsoft.com/office/drawing/2014/main" id="{00000000-0008-0000-0000-0000D3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876" name="TextBox 5875">
          <a:extLst>
            <a:ext uri="{FF2B5EF4-FFF2-40B4-BE49-F238E27FC236}">
              <a16:creationId xmlns:a16="http://schemas.microsoft.com/office/drawing/2014/main" id="{00000000-0008-0000-0000-0000D4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877" name="TextBox 5876">
          <a:extLst>
            <a:ext uri="{FF2B5EF4-FFF2-40B4-BE49-F238E27FC236}">
              <a16:creationId xmlns:a16="http://schemas.microsoft.com/office/drawing/2014/main" id="{00000000-0008-0000-0000-0000D5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878" name="TextBox 5877">
          <a:extLst>
            <a:ext uri="{FF2B5EF4-FFF2-40B4-BE49-F238E27FC236}">
              <a16:creationId xmlns:a16="http://schemas.microsoft.com/office/drawing/2014/main" id="{00000000-0008-0000-0000-0000D6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879" name="TextBox 5878">
          <a:extLst>
            <a:ext uri="{FF2B5EF4-FFF2-40B4-BE49-F238E27FC236}">
              <a16:creationId xmlns:a16="http://schemas.microsoft.com/office/drawing/2014/main" id="{00000000-0008-0000-0000-0000D7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880" name="TextBox 5879">
          <a:extLst>
            <a:ext uri="{FF2B5EF4-FFF2-40B4-BE49-F238E27FC236}">
              <a16:creationId xmlns:a16="http://schemas.microsoft.com/office/drawing/2014/main" id="{00000000-0008-0000-0000-0000D8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881" name="TextBox 5880">
          <a:extLst>
            <a:ext uri="{FF2B5EF4-FFF2-40B4-BE49-F238E27FC236}">
              <a16:creationId xmlns:a16="http://schemas.microsoft.com/office/drawing/2014/main" id="{00000000-0008-0000-0000-0000D9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882" name="TextBox 5881">
          <a:extLst>
            <a:ext uri="{FF2B5EF4-FFF2-40B4-BE49-F238E27FC236}">
              <a16:creationId xmlns:a16="http://schemas.microsoft.com/office/drawing/2014/main" id="{00000000-0008-0000-0000-0000DA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883" name="TextBox 5882">
          <a:extLst>
            <a:ext uri="{FF2B5EF4-FFF2-40B4-BE49-F238E27FC236}">
              <a16:creationId xmlns:a16="http://schemas.microsoft.com/office/drawing/2014/main" id="{00000000-0008-0000-0000-0000DB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884" name="TextBox 5883">
          <a:extLst>
            <a:ext uri="{FF2B5EF4-FFF2-40B4-BE49-F238E27FC236}">
              <a16:creationId xmlns:a16="http://schemas.microsoft.com/office/drawing/2014/main" id="{00000000-0008-0000-0000-0000DC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885" name="TextBox 5884">
          <a:extLst>
            <a:ext uri="{FF2B5EF4-FFF2-40B4-BE49-F238E27FC236}">
              <a16:creationId xmlns:a16="http://schemas.microsoft.com/office/drawing/2014/main" id="{00000000-0008-0000-0000-0000DD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886" name="TextBox 5885">
          <a:extLst>
            <a:ext uri="{FF2B5EF4-FFF2-40B4-BE49-F238E27FC236}">
              <a16:creationId xmlns:a16="http://schemas.microsoft.com/office/drawing/2014/main" id="{00000000-0008-0000-0000-0000DE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887" name="TextBox 5886">
          <a:extLst>
            <a:ext uri="{FF2B5EF4-FFF2-40B4-BE49-F238E27FC236}">
              <a16:creationId xmlns:a16="http://schemas.microsoft.com/office/drawing/2014/main" id="{00000000-0008-0000-0000-0000DF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888" name="TextBox 5887">
          <a:extLst>
            <a:ext uri="{FF2B5EF4-FFF2-40B4-BE49-F238E27FC236}">
              <a16:creationId xmlns:a16="http://schemas.microsoft.com/office/drawing/2014/main" id="{00000000-0008-0000-0000-0000E0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889" name="TextBox 5888">
          <a:extLst>
            <a:ext uri="{FF2B5EF4-FFF2-40B4-BE49-F238E27FC236}">
              <a16:creationId xmlns:a16="http://schemas.microsoft.com/office/drawing/2014/main" id="{00000000-0008-0000-0000-0000E1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890" name="TextBox 5889">
          <a:extLst>
            <a:ext uri="{FF2B5EF4-FFF2-40B4-BE49-F238E27FC236}">
              <a16:creationId xmlns:a16="http://schemas.microsoft.com/office/drawing/2014/main" id="{00000000-0008-0000-0000-0000E2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891" name="TextBox 5890">
          <a:extLst>
            <a:ext uri="{FF2B5EF4-FFF2-40B4-BE49-F238E27FC236}">
              <a16:creationId xmlns:a16="http://schemas.microsoft.com/office/drawing/2014/main" id="{00000000-0008-0000-0000-0000E3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892" name="TextBox 5891">
          <a:extLst>
            <a:ext uri="{FF2B5EF4-FFF2-40B4-BE49-F238E27FC236}">
              <a16:creationId xmlns:a16="http://schemas.microsoft.com/office/drawing/2014/main" id="{00000000-0008-0000-0000-0000E4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893" name="TextBox 5892">
          <a:extLst>
            <a:ext uri="{FF2B5EF4-FFF2-40B4-BE49-F238E27FC236}">
              <a16:creationId xmlns:a16="http://schemas.microsoft.com/office/drawing/2014/main" id="{00000000-0008-0000-0000-0000E5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894" name="TextBox 5893">
          <a:extLst>
            <a:ext uri="{FF2B5EF4-FFF2-40B4-BE49-F238E27FC236}">
              <a16:creationId xmlns:a16="http://schemas.microsoft.com/office/drawing/2014/main" id="{00000000-0008-0000-0000-0000E6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895" name="TextBox 5894">
          <a:extLst>
            <a:ext uri="{FF2B5EF4-FFF2-40B4-BE49-F238E27FC236}">
              <a16:creationId xmlns:a16="http://schemas.microsoft.com/office/drawing/2014/main" id="{00000000-0008-0000-0000-0000E7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896" name="TextBox 5895">
          <a:extLst>
            <a:ext uri="{FF2B5EF4-FFF2-40B4-BE49-F238E27FC236}">
              <a16:creationId xmlns:a16="http://schemas.microsoft.com/office/drawing/2014/main" id="{00000000-0008-0000-0000-0000E8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897" name="TextBox 5896">
          <a:extLst>
            <a:ext uri="{FF2B5EF4-FFF2-40B4-BE49-F238E27FC236}">
              <a16:creationId xmlns:a16="http://schemas.microsoft.com/office/drawing/2014/main" id="{00000000-0008-0000-0000-0000E9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898" name="TextBox 5897">
          <a:extLst>
            <a:ext uri="{FF2B5EF4-FFF2-40B4-BE49-F238E27FC236}">
              <a16:creationId xmlns:a16="http://schemas.microsoft.com/office/drawing/2014/main" id="{00000000-0008-0000-0000-0000EA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899" name="TextBox 5898">
          <a:extLst>
            <a:ext uri="{FF2B5EF4-FFF2-40B4-BE49-F238E27FC236}">
              <a16:creationId xmlns:a16="http://schemas.microsoft.com/office/drawing/2014/main" id="{00000000-0008-0000-0000-0000EB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900" name="TextBox 5899">
          <a:extLst>
            <a:ext uri="{FF2B5EF4-FFF2-40B4-BE49-F238E27FC236}">
              <a16:creationId xmlns:a16="http://schemas.microsoft.com/office/drawing/2014/main" id="{00000000-0008-0000-0000-0000EC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901" name="TextBox 5900">
          <a:extLst>
            <a:ext uri="{FF2B5EF4-FFF2-40B4-BE49-F238E27FC236}">
              <a16:creationId xmlns:a16="http://schemas.microsoft.com/office/drawing/2014/main" id="{00000000-0008-0000-0000-0000ED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902" name="TextBox 5901">
          <a:extLst>
            <a:ext uri="{FF2B5EF4-FFF2-40B4-BE49-F238E27FC236}">
              <a16:creationId xmlns:a16="http://schemas.microsoft.com/office/drawing/2014/main" id="{00000000-0008-0000-0000-0000EE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903" name="TextBox 5902">
          <a:extLst>
            <a:ext uri="{FF2B5EF4-FFF2-40B4-BE49-F238E27FC236}">
              <a16:creationId xmlns:a16="http://schemas.microsoft.com/office/drawing/2014/main" id="{00000000-0008-0000-0000-0000EF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904" name="TextBox 5903">
          <a:extLst>
            <a:ext uri="{FF2B5EF4-FFF2-40B4-BE49-F238E27FC236}">
              <a16:creationId xmlns:a16="http://schemas.microsoft.com/office/drawing/2014/main" id="{00000000-0008-0000-0000-0000F0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905" name="TextBox 5904">
          <a:extLst>
            <a:ext uri="{FF2B5EF4-FFF2-40B4-BE49-F238E27FC236}">
              <a16:creationId xmlns:a16="http://schemas.microsoft.com/office/drawing/2014/main" id="{00000000-0008-0000-0000-0000F1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906" name="TextBox 5905">
          <a:extLst>
            <a:ext uri="{FF2B5EF4-FFF2-40B4-BE49-F238E27FC236}">
              <a16:creationId xmlns:a16="http://schemas.microsoft.com/office/drawing/2014/main" id="{00000000-0008-0000-0000-0000F2010000}"/>
            </a:ext>
          </a:extLst>
        </xdr:cNvPr>
        <xdr:cNvSpPr txBox="1"/>
      </xdr:nvSpPr>
      <xdr:spPr>
        <a:xfrm>
          <a:off x="1258062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907" name="TextBox 5906">
          <a:extLst>
            <a:ext uri="{FF2B5EF4-FFF2-40B4-BE49-F238E27FC236}">
              <a16:creationId xmlns:a16="http://schemas.microsoft.com/office/drawing/2014/main" id="{00000000-0008-0000-0000-0000F3010000}"/>
            </a:ext>
          </a:extLst>
        </xdr:cNvPr>
        <xdr:cNvSpPr txBox="1"/>
      </xdr:nvSpPr>
      <xdr:spPr>
        <a:xfrm>
          <a:off x="1258062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908" name="TextBox 5907">
          <a:extLst>
            <a:ext uri="{FF2B5EF4-FFF2-40B4-BE49-F238E27FC236}">
              <a16:creationId xmlns:a16="http://schemas.microsoft.com/office/drawing/2014/main" id="{00000000-0008-0000-0000-0000F4010000}"/>
            </a:ext>
          </a:extLst>
        </xdr:cNvPr>
        <xdr:cNvSpPr txBox="1"/>
      </xdr:nvSpPr>
      <xdr:spPr>
        <a:xfrm>
          <a:off x="1258062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909" name="TextBox 5908">
          <a:extLst>
            <a:ext uri="{FF2B5EF4-FFF2-40B4-BE49-F238E27FC236}">
              <a16:creationId xmlns:a16="http://schemas.microsoft.com/office/drawing/2014/main" id="{00000000-0008-0000-0000-0000F5010000}"/>
            </a:ext>
          </a:extLst>
        </xdr:cNvPr>
        <xdr:cNvSpPr txBox="1"/>
      </xdr:nvSpPr>
      <xdr:spPr>
        <a:xfrm>
          <a:off x="1258062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910" name="TextBox 5909">
          <a:extLst>
            <a:ext uri="{FF2B5EF4-FFF2-40B4-BE49-F238E27FC236}">
              <a16:creationId xmlns:a16="http://schemas.microsoft.com/office/drawing/2014/main" id="{00000000-0008-0000-0000-0000F6010000}"/>
            </a:ext>
          </a:extLst>
        </xdr:cNvPr>
        <xdr:cNvSpPr txBox="1"/>
      </xdr:nvSpPr>
      <xdr:spPr>
        <a:xfrm>
          <a:off x="1258062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911" name="TextBox 5910">
          <a:extLst>
            <a:ext uri="{FF2B5EF4-FFF2-40B4-BE49-F238E27FC236}">
              <a16:creationId xmlns:a16="http://schemas.microsoft.com/office/drawing/2014/main" id="{00000000-0008-0000-0000-0000F7010000}"/>
            </a:ext>
          </a:extLst>
        </xdr:cNvPr>
        <xdr:cNvSpPr txBox="1"/>
      </xdr:nvSpPr>
      <xdr:spPr>
        <a:xfrm>
          <a:off x="1258062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912" name="TextBox 5911">
          <a:extLst>
            <a:ext uri="{FF2B5EF4-FFF2-40B4-BE49-F238E27FC236}">
              <a16:creationId xmlns:a16="http://schemas.microsoft.com/office/drawing/2014/main" id="{00000000-0008-0000-0000-0000F8010000}"/>
            </a:ext>
          </a:extLst>
        </xdr:cNvPr>
        <xdr:cNvSpPr txBox="1"/>
      </xdr:nvSpPr>
      <xdr:spPr>
        <a:xfrm>
          <a:off x="1258062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913" name="TextBox 5912">
          <a:extLst>
            <a:ext uri="{FF2B5EF4-FFF2-40B4-BE49-F238E27FC236}">
              <a16:creationId xmlns:a16="http://schemas.microsoft.com/office/drawing/2014/main" id="{00000000-0008-0000-0000-0000F9010000}"/>
            </a:ext>
          </a:extLst>
        </xdr:cNvPr>
        <xdr:cNvSpPr txBox="1"/>
      </xdr:nvSpPr>
      <xdr:spPr>
        <a:xfrm>
          <a:off x="1258062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5914" name="TextBox 5913">
          <a:extLst>
            <a:ext uri="{FF2B5EF4-FFF2-40B4-BE49-F238E27FC236}">
              <a16:creationId xmlns:a16="http://schemas.microsoft.com/office/drawing/2014/main" id="{D790F7C5-4FB4-4169-AECB-29A162C3B4E0}"/>
            </a:ext>
          </a:extLst>
        </xdr:cNvPr>
        <xdr:cNvSpPr txBox="1"/>
      </xdr:nvSpPr>
      <xdr:spPr>
        <a:xfrm>
          <a:off x="1258062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5915" name="TextBox 5914">
          <a:extLst>
            <a:ext uri="{FF2B5EF4-FFF2-40B4-BE49-F238E27FC236}">
              <a16:creationId xmlns:a16="http://schemas.microsoft.com/office/drawing/2014/main" id="{4B3266CB-1924-4B0B-A63A-F668BBA86148}"/>
            </a:ext>
          </a:extLst>
        </xdr:cNvPr>
        <xdr:cNvSpPr txBox="1"/>
      </xdr:nvSpPr>
      <xdr:spPr>
        <a:xfrm>
          <a:off x="1258062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5916" name="TextBox 5915">
          <a:extLst>
            <a:ext uri="{FF2B5EF4-FFF2-40B4-BE49-F238E27FC236}">
              <a16:creationId xmlns:a16="http://schemas.microsoft.com/office/drawing/2014/main" id="{CBC7410D-7C3A-41C0-B6C7-F75F0212AE33}"/>
            </a:ext>
          </a:extLst>
        </xdr:cNvPr>
        <xdr:cNvSpPr txBox="1"/>
      </xdr:nvSpPr>
      <xdr:spPr>
        <a:xfrm>
          <a:off x="1258062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5917" name="TextBox 5916">
          <a:extLst>
            <a:ext uri="{FF2B5EF4-FFF2-40B4-BE49-F238E27FC236}">
              <a16:creationId xmlns:a16="http://schemas.microsoft.com/office/drawing/2014/main" id="{50BBF757-870F-4C5F-8A6D-BB01D20FB785}"/>
            </a:ext>
          </a:extLst>
        </xdr:cNvPr>
        <xdr:cNvSpPr txBox="1"/>
      </xdr:nvSpPr>
      <xdr:spPr>
        <a:xfrm>
          <a:off x="1258062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5918" name="TextBox 5917">
          <a:extLst>
            <a:ext uri="{FF2B5EF4-FFF2-40B4-BE49-F238E27FC236}">
              <a16:creationId xmlns:a16="http://schemas.microsoft.com/office/drawing/2014/main" id="{924A6A0B-67A0-4D39-98DD-B4890EA7059F}"/>
            </a:ext>
          </a:extLst>
        </xdr:cNvPr>
        <xdr:cNvSpPr txBox="1"/>
      </xdr:nvSpPr>
      <xdr:spPr>
        <a:xfrm>
          <a:off x="1258062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5919" name="TextBox 5918">
          <a:extLst>
            <a:ext uri="{FF2B5EF4-FFF2-40B4-BE49-F238E27FC236}">
              <a16:creationId xmlns:a16="http://schemas.microsoft.com/office/drawing/2014/main" id="{418D698A-7CAD-4873-9383-980E4B117409}"/>
            </a:ext>
          </a:extLst>
        </xdr:cNvPr>
        <xdr:cNvSpPr txBox="1"/>
      </xdr:nvSpPr>
      <xdr:spPr>
        <a:xfrm>
          <a:off x="1258062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5920" name="TextBox 5919">
          <a:extLst>
            <a:ext uri="{FF2B5EF4-FFF2-40B4-BE49-F238E27FC236}">
              <a16:creationId xmlns:a16="http://schemas.microsoft.com/office/drawing/2014/main" id="{D4576B78-2AC7-4FA0-B5A6-410991F126C0}"/>
            </a:ext>
          </a:extLst>
        </xdr:cNvPr>
        <xdr:cNvSpPr txBox="1"/>
      </xdr:nvSpPr>
      <xdr:spPr>
        <a:xfrm>
          <a:off x="1258062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5921" name="TextBox 5920">
          <a:extLst>
            <a:ext uri="{FF2B5EF4-FFF2-40B4-BE49-F238E27FC236}">
              <a16:creationId xmlns:a16="http://schemas.microsoft.com/office/drawing/2014/main" id="{3F70C200-9F35-47B9-A6A0-8BD020BFA9F5}"/>
            </a:ext>
          </a:extLst>
        </xdr:cNvPr>
        <xdr:cNvSpPr txBox="1"/>
      </xdr:nvSpPr>
      <xdr:spPr>
        <a:xfrm>
          <a:off x="1258062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5922" name="TextBox 5921">
          <a:extLst>
            <a:ext uri="{FF2B5EF4-FFF2-40B4-BE49-F238E27FC236}">
              <a16:creationId xmlns:a16="http://schemas.microsoft.com/office/drawing/2014/main" id="{B21B1052-165D-406E-ACA9-FA2B1238ADAA}"/>
            </a:ext>
          </a:extLst>
        </xdr:cNvPr>
        <xdr:cNvSpPr txBox="1"/>
      </xdr:nvSpPr>
      <xdr:spPr>
        <a:xfrm>
          <a:off x="1258062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5923" name="TextBox 5922">
          <a:extLst>
            <a:ext uri="{FF2B5EF4-FFF2-40B4-BE49-F238E27FC236}">
              <a16:creationId xmlns:a16="http://schemas.microsoft.com/office/drawing/2014/main" id="{65417AB6-2889-49DD-9AEF-7149F5D9B7B2}"/>
            </a:ext>
          </a:extLst>
        </xdr:cNvPr>
        <xdr:cNvSpPr txBox="1"/>
      </xdr:nvSpPr>
      <xdr:spPr>
        <a:xfrm>
          <a:off x="1258062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5924" name="TextBox 5923">
          <a:extLst>
            <a:ext uri="{FF2B5EF4-FFF2-40B4-BE49-F238E27FC236}">
              <a16:creationId xmlns:a16="http://schemas.microsoft.com/office/drawing/2014/main" id="{7BF692BA-8340-4141-BC82-F9CF78D79873}"/>
            </a:ext>
          </a:extLst>
        </xdr:cNvPr>
        <xdr:cNvSpPr txBox="1"/>
      </xdr:nvSpPr>
      <xdr:spPr>
        <a:xfrm>
          <a:off x="1258062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5925" name="TextBox 5924">
          <a:extLst>
            <a:ext uri="{FF2B5EF4-FFF2-40B4-BE49-F238E27FC236}">
              <a16:creationId xmlns:a16="http://schemas.microsoft.com/office/drawing/2014/main" id="{79127C80-C540-411B-B139-200EBBA5DA66}"/>
            </a:ext>
          </a:extLst>
        </xdr:cNvPr>
        <xdr:cNvSpPr txBox="1"/>
      </xdr:nvSpPr>
      <xdr:spPr>
        <a:xfrm>
          <a:off x="1258062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5926" name="TextBox 5925">
          <a:extLst>
            <a:ext uri="{FF2B5EF4-FFF2-40B4-BE49-F238E27FC236}">
              <a16:creationId xmlns:a16="http://schemas.microsoft.com/office/drawing/2014/main" id="{B67D3F3D-F87A-4ACF-91FC-9A53D5A2D4D3}"/>
            </a:ext>
          </a:extLst>
        </xdr:cNvPr>
        <xdr:cNvSpPr txBox="1"/>
      </xdr:nvSpPr>
      <xdr:spPr>
        <a:xfrm>
          <a:off x="1258062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5927" name="TextBox 5926">
          <a:extLst>
            <a:ext uri="{FF2B5EF4-FFF2-40B4-BE49-F238E27FC236}">
              <a16:creationId xmlns:a16="http://schemas.microsoft.com/office/drawing/2014/main" id="{58EC8DC8-71FC-42BE-93DA-79FE716E2108}"/>
            </a:ext>
          </a:extLst>
        </xdr:cNvPr>
        <xdr:cNvSpPr txBox="1"/>
      </xdr:nvSpPr>
      <xdr:spPr>
        <a:xfrm>
          <a:off x="1258062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5928" name="TextBox 5927">
          <a:extLst>
            <a:ext uri="{FF2B5EF4-FFF2-40B4-BE49-F238E27FC236}">
              <a16:creationId xmlns:a16="http://schemas.microsoft.com/office/drawing/2014/main" id="{7B7B12E6-3D6A-411C-8750-B2D904ED71B9}"/>
            </a:ext>
          </a:extLst>
        </xdr:cNvPr>
        <xdr:cNvSpPr txBox="1"/>
      </xdr:nvSpPr>
      <xdr:spPr>
        <a:xfrm>
          <a:off x="1258062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5929" name="TextBox 5928">
          <a:extLst>
            <a:ext uri="{FF2B5EF4-FFF2-40B4-BE49-F238E27FC236}">
              <a16:creationId xmlns:a16="http://schemas.microsoft.com/office/drawing/2014/main" id="{F482887C-F492-4307-823C-4E10D7821CC6}"/>
            </a:ext>
          </a:extLst>
        </xdr:cNvPr>
        <xdr:cNvSpPr txBox="1"/>
      </xdr:nvSpPr>
      <xdr:spPr>
        <a:xfrm>
          <a:off x="1258062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5930" name="TextBox 5929">
          <a:extLst>
            <a:ext uri="{FF2B5EF4-FFF2-40B4-BE49-F238E27FC236}">
              <a16:creationId xmlns:a16="http://schemas.microsoft.com/office/drawing/2014/main" id="{0949CA64-0CC0-4B53-A59D-24AD43506153}"/>
            </a:ext>
          </a:extLst>
        </xdr:cNvPr>
        <xdr:cNvSpPr txBox="1"/>
      </xdr:nvSpPr>
      <xdr:spPr>
        <a:xfrm>
          <a:off x="1258062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5931" name="TextBox 5930">
          <a:extLst>
            <a:ext uri="{FF2B5EF4-FFF2-40B4-BE49-F238E27FC236}">
              <a16:creationId xmlns:a16="http://schemas.microsoft.com/office/drawing/2014/main" id="{AF47DE7E-DEEE-4D8F-BEA0-B678FC4108A0}"/>
            </a:ext>
          </a:extLst>
        </xdr:cNvPr>
        <xdr:cNvSpPr txBox="1"/>
      </xdr:nvSpPr>
      <xdr:spPr>
        <a:xfrm>
          <a:off x="1258062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5932" name="TextBox 5931">
          <a:extLst>
            <a:ext uri="{FF2B5EF4-FFF2-40B4-BE49-F238E27FC236}">
              <a16:creationId xmlns:a16="http://schemas.microsoft.com/office/drawing/2014/main" id="{50B7B56B-3E53-478E-BD2A-1CB44BB0EE30}"/>
            </a:ext>
          </a:extLst>
        </xdr:cNvPr>
        <xdr:cNvSpPr txBox="1"/>
      </xdr:nvSpPr>
      <xdr:spPr>
        <a:xfrm>
          <a:off x="1258062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5933" name="TextBox 5932">
          <a:extLst>
            <a:ext uri="{FF2B5EF4-FFF2-40B4-BE49-F238E27FC236}">
              <a16:creationId xmlns:a16="http://schemas.microsoft.com/office/drawing/2014/main" id="{9A76D97E-F211-4995-A860-8787CD5178FF}"/>
            </a:ext>
          </a:extLst>
        </xdr:cNvPr>
        <xdr:cNvSpPr txBox="1"/>
      </xdr:nvSpPr>
      <xdr:spPr>
        <a:xfrm>
          <a:off x="1258062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5934" name="TextBox 5933">
          <a:extLst>
            <a:ext uri="{FF2B5EF4-FFF2-40B4-BE49-F238E27FC236}">
              <a16:creationId xmlns:a16="http://schemas.microsoft.com/office/drawing/2014/main" id="{9FC70A70-D526-4203-8E11-372D840B6103}"/>
            </a:ext>
          </a:extLst>
        </xdr:cNvPr>
        <xdr:cNvSpPr txBox="1"/>
      </xdr:nvSpPr>
      <xdr:spPr>
        <a:xfrm>
          <a:off x="1258062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5935" name="TextBox 5934">
          <a:extLst>
            <a:ext uri="{FF2B5EF4-FFF2-40B4-BE49-F238E27FC236}">
              <a16:creationId xmlns:a16="http://schemas.microsoft.com/office/drawing/2014/main" id="{4F6B1A49-C9DC-473C-8ECD-E788E907B701}"/>
            </a:ext>
          </a:extLst>
        </xdr:cNvPr>
        <xdr:cNvSpPr txBox="1"/>
      </xdr:nvSpPr>
      <xdr:spPr>
        <a:xfrm>
          <a:off x="1258062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5936" name="TextBox 5935">
          <a:extLst>
            <a:ext uri="{FF2B5EF4-FFF2-40B4-BE49-F238E27FC236}">
              <a16:creationId xmlns:a16="http://schemas.microsoft.com/office/drawing/2014/main" id="{7249EAE9-2088-4834-9241-A764E60A6F18}"/>
            </a:ext>
          </a:extLst>
        </xdr:cNvPr>
        <xdr:cNvSpPr txBox="1"/>
      </xdr:nvSpPr>
      <xdr:spPr>
        <a:xfrm>
          <a:off x="1258062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5937" name="TextBox 5936">
          <a:extLst>
            <a:ext uri="{FF2B5EF4-FFF2-40B4-BE49-F238E27FC236}">
              <a16:creationId xmlns:a16="http://schemas.microsoft.com/office/drawing/2014/main" id="{CEEDDCB2-23A2-47B2-AA3F-37312ED4C714}"/>
            </a:ext>
          </a:extLst>
        </xdr:cNvPr>
        <xdr:cNvSpPr txBox="1"/>
      </xdr:nvSpPr>
      <xdr:spPr>
        <a:xfrm>
          <a:off x="1258062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5938" name="TextBox 5937">
          <a:extLst>
            <a:ext uri="{FF2B5EF4-FFF2-40B4-BE49-F238E27FC236}">
              <a16:creationId xmlns:a16="http://schemas.microsoft.com/office/drawing/2014/main" id="{C53CCEBA-D398-4C3C-8E47-107C27B759C1}"/>
            </a:ext>
          </a:extLst>
        </xdr:cNvPr>
        <xdr:cNvSpPr txBox="1"/>
      </xdr:nvSpPr>
      <xdr:spPr>
        <a:xfrm>
          <a:off x="1258062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5939" name="TextBox 5938">
          <a:extLst>
            <a:ext uri="{FF2B5EF4-FFF2-40B4-BE49-F238E27FC236}">
              <a16:creationId xmlns:a16="http://schemas.microsoft.com/office/drawing/2014/main" id="{C8C855ED-970E-43B8-A5B1-6F6ADBB998A9}"/>
            </a:ext>
          </a:extLst>
        </xdr:cNvPr>
        <xdr:cNvSpPr txBox="1"/>
      </xdr:nvSpPr>
      <xdr:spPr>
        <a:xfrm>
          <a:off x="1258062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5940" name="TextBox 5939">
          <a:extLst>
            <a:ext uri="{FF2B5EF4-FFF2-40B4-BE49-F238E27FC236}">
              <a16:creationId xmlns:a16="http://schemas.microsoft.com/office/drawing/2014/main" id="{E705C099-0DDB-4CBB-91AA-6BD578E38D4C}"/>
            </a:ext>
          </a:extLst>
        </xdr:cNvPr>
        <xdr:cNvSpPr txBox="1"/>
      </xdr:nvSpPr>
      <xdr:spPr>
        <a:xfrm>
          <a:off x="1258062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5941" name="TextBox 5940">
          <a:extLst>
            <a:ext uri="{FF2B5EF4-FFF2-40B4-BE49-F238E27FC236}">
              <a16:creationId xmlns:a16="http://schemas.microsoft.com/office/drawing/2014/main" id="{ADA9DEB9-F0D8-4AB1-B42C-8371D735EDB0}"/>
            </a:ext>
          </a:extLst>
        </xdr:cNvPr>
        <xdr:cNvSpPr txBox="1"/>
      </xdr:nvSpPr>
      <xdr:spPr>
        <a:xfrm>
          <a:off x="1258062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942" name="TextBox 5941">
          <a:extLst>
            <a:ext uri="{FF2B5EF4-FFF2-40B4-BE49-F238E27FC236}">
              <a16:creationId xmlns:a16="http://schemas.microsoft.com/office/drawing/2014/main" id="{709CBE26-A551-4C7C-A384-D56B48045E68}"/>
            </a:ext>
          </a:extLst>
        </xdr:cNvPr>
        <xdr:cNvSpPr txBox="1"/>
      </xdr:nvSpPr>
      <xdr:spPr>
        <a:xfrm>
          <a:off x="1258062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943" name="TextBox 5942">
          <a:extLst>
            <a:ext uri="{FF2B5EF4-FFF2-40B4-BE49-F238E27FC236}">
              <a16:creationId xmlns:a16="http://schemas.microsoft.com/office/drawing/2014/main" id="{FCF004D5-83CC-4601-BE3C-2D350D291279}"/>
            </a:ext>
          </a:extLst>
        </xdr:cNvPr>
        <xdr:cNvSpPr txBox="1"/>
      </xdr:nvSpPr>
      <xdr:spPr>
        <a:xfrm>
          <a:off x="1258062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944" name="TextBox 5943">
          <a:extLst>
            <a:ext uri="{FF2B5EF4-FFF2-40B4-BE49-F238E27FC236}">
              <a16:creationId xmlns:a16="http://schemas.microsoft.com/office/drawing/2014/main" id="{27CE9EF6-2DFA-4778-9205-D83560524403}"/>
            </a:ext>
          </a:extLst>
        </xdr:cNvPr>
        <xdr:cNvSpPr txBox="1"/>
      </xdr:nvSpPr>
      <xdr:spPr>
        <a:xfrm>
          <a:off x="1258062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945" name="TextBox 5944">
          <a:extLst>
            <a:ext uri="{FF2B5EF4-FFF2-40B4-BE49-F238E27FC236}">
              <a16:creationId xmlns:a16="http://schemas.microsoft.com/office/drawing/2014/main" id="{AEF2C205-301C-4560-BC83-375E974BCEAF}"/>
            </a:ext>
          </a:extLst>
        </xdr:cNvPr>
        <xdr:cNvSpPr txBox="1"/>
      </xdr:nvSpPr>
      <xdr:spPr>
        <a:xfrm>
          <a:off x="1258062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946" name="TextBox 5945">
          <a:extLst>
            <a:ext uri="{FF2B5EF4-FFF2-40B4-BE49-F238E27FC236}">
              <a16:creationId xmlns:a16="http://schemas.microsoft.com/office/drawing/2014/main" id="{3DCCF9ED-9B1F-4DC7-B839-6E3EB677417B}"/>
            </a:ext>
          </a:extLst>
        </xdr:cNvPr>
        <xdr:cNvSpPr txBox="1"/>
      </xdr:nvSpPr>
      <xdr:spPr>
        <a:xfrm>
          <a:off x="1258062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947" name="TextBox 5946">
          <a:extLst>
            <a:ext uri="{FF2B5EF4-FFF2-40B4-BE49-F238E27FC236}">
              <a16:creationId xmlns:a16="http://schemas.microsoft.com/office/drawing/2014/main" id="{3D9466B2-EB98-463C-88EA-A326C523B5D8}"/>
            </a:ext>
          </a:extLst>
        </xdr:cNvPr>
        <xdr:cNvSpPr txBox="1"/>
      </xdr:nvSpPr>
      <xdr:spPr>
        <a:xfrm>
          <a:off x="1258062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948" name="TextBox 5947">
          <a:extLst>
            <a:ext uri="{FF2B5EF4-FFF2-40B4-BE49-F238E27FC236}">
              <a16:creationId xmlns:a16="http://schemas.microsoft.com/office/drawing/2014/main" id="{0F2E4FBC-6F9D-49D8-B320-D21C3287204C}"/>
            </a:ext>
          </a:extLst>
        </xdr:cNvPr>
        <xdr:cNvSpPr txBox="1"/>
      </xdr:nvSpPr>
      <xdr:spPr>
        <a:xfrm>
          <a:off x="1258062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949" name="TextBox 5948">
          <a:extLst>
            <a:ext uri="{FF2B5EF4-FFF2-40B4-BE49-F238E27FC236}">
              <a16:creationId xmlns:a16="http://schemas.microsoft.com/office/drawing/2014/main" id="{9EE8A67A-FC51-41CC-B6A6-507074A0155B}"/>
            </a:ext>
          </a:extLst>
        </xdr:cNvPr>
        <xdr:cNvSpPr txBox="1"/>
      </xdr:nvSpPr>
      <xdr:spPr>
        <a:xfrm>
          <a:off x="1258062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950" name="TextBox 5949">
          <a:extLst>
            <a:ext uri="{FF2B5EF4-FFF2-40B4-BE49-F238E27FC236}">
              <a16:creationId xmlns:a16="http://schemas.microsoft.com/office/drawing/2014/main" id="{E3EE1ED8-1246-4E13-86A2-D686D3F3CFAC}"/>
            </a:ext>
          </a:extLst>
        </xdr:cNvPr>
        <xdr:cNvSpPr txBox="1"/>
      </xdr:nvSpPr>
      <xdr:spPr>
        <a:xfrm>
          <a:off x="1258062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951" name="TextBox 5950">
          <a:extLst>
            <a:ext uri="{FF2B5EF4-FFF2-40B4-BE49-F238E27FC236}">
              <a16:creationId xmlns:a16="http://schemas.microsoft.com/office/drawing/2014/main" id="{112F0F0B-ABFD-4DDD-BCB9-10FEAFDB5AD9}"/>
            </a:ext>
          </a:extLst>
        </xdr:cNvPr>
        <xdr:cNvSpPr txBox="1"/>
      </xdr:nvSpPr>
      <xdr:spPr>
        <a:xfrm>
          <a:off x="1258062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952" name="TextBox 5951">
          <a:extLst>
            <a:ext uri="{FF2B5EF4-FFF2-40B4-BE49-F238E27FC236}">
              <a16:creationId xmlns:a16="http://schemas.microsoft.com/office/drawing/2014/main" id="{12EDF718-BDAC-48A4-BBFB-24DCD5C1D4FC}"/>
            </a:ext>
          </a:extLst>
        </xdr:cNvPr>
        <xdr:cNvSpPr txBox="1"/>
      </xdr:nvSpPr>
      <xdr:spPr>
        <a:xfrm>
          <a:off x="1258062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953" name="TextBox 5952">
          <a:extLst>
            <a:ext uri="{FF2B5EF4-FFF2-40B4-BE49-F238E27FC236}">
              <a16:creationId xmlns:a16="http://schemas.microsoft.com/office/drawing/2014/main" id="{B3B85458-8D8F-4F12-B7C0-DC92B39A1F35}"/>
            </a:ext>
          </a:extLst>
        </xdr:cNvPr>
        <xdr:cNvSpPr txBox="1"/>
      </xdr:nvSpPr>
      <xdr:spPr>
        <a:xfrm>
          <a:off x="1258062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954" name="TextBox 5953">
          <a:extLst>
            <a:ext uri="{FF2B5EF4-FFF2-40B4-BE49-F238E27FC236}">
              <a16:creationId xmlns:a16="http://schemas.microsoft.com/office/drawing/2014/main" id="{BF066412-0AC2-4C2B-9E92-DFE86D6A185E}"/>
            </a:ext>
          </a:extLst>
        </xdr:cNvPr>
        <xdr:cNvSpPr txBox="1"/>
      </xdr:nvSpPr>
      <xdr:spPr>
        <a:xfrm>
          <a:off x="1258062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955" name="TextBox 5954">
          <a:extLst>
            <a:ext uri="{FF2B5EF4-FFF2-40B4-BE49-F238E27FC236}">
              <a16:creationId xmlns:a16="http://schemas.microsoft.com/office/drawing/2014/main" id="{F84E80ED-F217-41BA-9FA6-C1DBC25F3A17}"/>
            </a:ext>
          </a:extLst>
        </xdr:cNvPr>
        <xdr:cNvSpPr txBox="1"/>
      </xdr:nvSpPr>
      <xdr:spPr>
        <a:xfrm>
          <a:off x="1258062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164</xdr:row>
      <xdr:rowOff>0</xdr:rowOff>
    </xdr:from>
    <xdr:ext cx="65" cy="172227"/>
    <xdr:sp macro="" textlink="">
      <xdr:nvSpPr>
        <xdr:cNvPr id="5958" name="TextBox 5957">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164</xdr:row>
      <xdr:rowOff>0</xdr:rowOff>
    </xdr:from>
    <xdr:ext cx="65" cy="172227"/>
    <xdr:sp macro="" textlink="">
      <xdr:nvSpPr>
        <xdr:cNvPr id="5962" name="TextBox 5961">
          <a:extLst>
            <a:ext uri="{FF2B5EF4-FFF2-40B4-BE49-F238E27FC236}">
              <a16:creationId xmlns:a16="http://schemas.microsoft.com/office/drawing/2014/main" id="{00000000-0008-0000-0000-00000B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5963" name="TextBox 5962">
          <a:extLst>
            <a:ext uri="{FF2B5EF4-FFF2-40B4-BE49-F238E27FC236}">
              <a16:creationId xmlns:a16="http://schemas.microsoft.com/office/drawing/2014/main" id="{00000000-0008-0000-0000-00000C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5964" name="TextBox 5963">
          <a:extLst>
            <a:ext uri="{FF2B5EF4-FFF2-40B4-BE49-F238E27FC236}">
              <a16:creationId xmlns:a16="http://schemas.microsoft.com/office/drawing/2014/main" id="{00000000-0008-0000-0000-00000D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5965" name="TextBox 5964">
          <a:extLst>
            <a:ext uri="{FF2B5EF4-FFF2-40B4-BE49-F238E27FC236}">
              <a16:creationId xmlns:a16="http://schemas.microsoft.com/office/drawing/2014/main" id="{00000000-0008-0000-0000-00000E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5966" name="TextBox 5965">
          <a:extLst>
            <a:ext uri="{FF2B5EF4-FFF2-40B4-BE49-F238E27FC236}">
              <a16:creationId xmlns:a16="http://schemas.microsoft.com/office/drawing/2014/main" id="{00000000-0008-0000-0000-00000F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967" name="TextBox 5966">
          <a:extLst>
            <a:ext uri="{FF2B5EF4-FFF2-40B4-BE49-F238E27FC236}">
              <a16:creationId xmlns:a16="http://schemas.microsoft.com/office/drawing/2014/main" id="{00000000-0008-0000-0000-000010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968" name="TextBox 5967">
          <a:extLst>
            <a:ext uri="{FF2B5EF4-FFF2-40B4-BE49-F238E27FC236}">
              <a16:creationId xmlns:a16="http://schemas.microsoft.com/office/drawing/2014/main" id="{00000000-0008-0000-0000-000011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5969" name="TextBox 5968">
          <a:extLst>
            <a:ext uri="{FF2B5EF4-FFF2-40B4-BE49-F238E27FC236}">
              <a16:creationId xmlns:a16="http://schemas.microsoft.com/office/drawing/2014/main" id="{00000000-0008-0000-0000-000012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5970" name="TextBox 5969">
          <a:extLst>
            <a:ext uri="{FF2B5EF4-FFF2-40B4-BE49-F238E27FC236}">
              <a16:creationId xmlns:a16="http://schemas.microsoft.com/office/drawing/2014/main" id="{00000000-0008-0000-0000-000013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5971" name="TextBox 5970">
          <a:extLst>
            <a:ext uri="{FF2B5EF4-FFF2-40B4-BE49-F238E27FC236}">
              <a16:creationId xmlns:a16="http://schemas.microsoft.com/office/drawing/2014/main" id="{00000000-0008-0000-0000-000014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5972" name="TextBox 5971">
          <a:extLst>
            <a:ext uri="{FF2B5EF4-FFF2-40B4-BE49-F238E27FC236}">
              <a16:creationId xmlns:a16="http://schemas.microsoft.com/office/drawing/2014/main" id="{00000000-0008-0000-0000-000015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973" name="TextBox 5972">
          <a:extLst>
            <a:ext uri="{FF2B5EF4-FFF2-40B4-BE49-F238E27FC236}">
              <a16:creationId xmlns:a16="http://schemas.microsoft.com/office/drawing/2014/main" id="{00000000-0008-0000-0000-00001600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974" name="TextBox 5973">
          <a:extLst>
            <a:ext uri="{FF2B5EF4-FFF2-40B4-BE49-F238E27FC236}">
              <a16:creationId xmlns:a16="http://schemas.microsoft.com/office/drawing/2014/main" id="{00000000-0008-0000-0000-00001700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5975" name="TextBox 5974">
          <a:extLst>
            <a:ext uri="{FF2B5EF4-FFF2-40B4-BE49-F238E27FC236}">
              <a16:creationId xmlns:a16="http://schemas.microsoft.com/office/drawing/2014/main" id="{00000000-0008-0000-0000-00001800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5976" name="TextBox 5975">
          <a:extLst>
            <a:ext uri="{FF2B5EF4-FFF2-40B4-BE49-F238E27FC236}">
              <a16:creationId xmlns:a16="http://schemas.microsoft.com/office/drawing/2014/main" id="{00000000-0008-0000-0000-00001900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172</xdr:row>
      <xdr:rowOff>0</xdr:rowOff>
    </xdr:from>
    <xdr:ext cx="65" cy="172227"/>
    <xdr:sp macro="" textlink="">
      <xdr:nvSpPr>
        <xdr:cNvPr id="5977" name="TextBox 5976">
          <a:extLst>
            <a:ext uri="{FF2B5EF4-FFF2-40B4-BE49-F238E27FC236}">
              <a16:creationId xmlns:a16="http://schemas.microsoft.com/office/drawing/2014/main" id="{00000000-0008-0000-0000-00001A000000}"/>
            </a:ext>
          </a:extLst>
        </xdr:cNvPr>
        <xdr:cNvSpPr txBox="1"/>
      </xdr:nvSpPr>
      <xdr:spPr>
        <a:xfrm>
          <a:off x="8267700" y="35242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172</xdr:row>
      <xdr:rowOff>0</xdr:rowOff>
    </xdr:from>
    <xdr:ext cx="65" cy="172227"/>
    <xdr:sp macro="" textlink="">
      <xdr:nvSpPr>
        <xdr:cNvPr id="5978" name="TextBox 5977">
          <a:extLst>
            <a:ext uri="{FF2B5EF4-FFF2-40B4-BE49-F238E27FC236}">
              <a16:creationId xmlns:a16="http://schemas.microsoft.com/office/drawing/2014/main" id="{00000000-0008-0000-0000-00001B000000}"/>
            </a:ext>
          </a:extLst>
        </xdr:cNvPr>
        <xdr:cNvSpPr txBox="1"/>
      </xdr:nvSpPr>
      <xdr:spPr>
        <a:xfrm>
          <a:off x="8267700" y="35242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173</xdr:row>
      <xdr:rowOff>0</xdr:rowOff>
    </xdr:from>
    <xdr:ext cx="65" cy="172227"/>
    <xdr:sp macro="" textlink="">
      <xdr:nvSpPr>
        <xdr:cNvPr id="5979" name="TextBox 5978">
          <a:extLst>
            <a:ext uri="{FF2B5EF4-FFF2-40B4-BE49-F238E27FC236}">
              <a16:creationId xmlns:a16="http://schemas.microsoft.com/office/drawing/2014/main" id="{00000000-0008-0000-0000-00001C000000}"/>
            </a:ext>
          </a:extLst>
        </xdr:cNvPr>
        <xdr:cNvSpPr txBox="1"/>
      </xdr:nvSpPr>
      <xdr:spPr>
        <a:xfrm>
          <a:off x="8267700" y="35425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173</xdr:row>
      <xdr:rowOff>0</xdr:rowOff>
    </xdr:from>
    <xdr:ext cx="65" cy="172227"/>
    <xdr:sp macro="" textlink="">
      <xdr:nvSpPr>
        <xdr:cNvPr id="5980" name="TextBox 5979">
          <a:extLst>
            <a:ext uri="{FF2B5EF4-FFF2-40B4-BE49-F238E27FC236}">
              <a16:creationId xmlns:a16="http://schemas.microsoft.com/office/drawing/2014/main" id="{00000000-0008-0000-0000-00001D000000}"/>
            </a:ext>
          </a:extLst>
        </xdr:cNvPr>
        <xdr:cNvSpPr txBox="1"/>
      </xdr:nvSpPr>
      <xdr:spPr>
        <a:xfrm>
          <a:off x="8267700" y="35425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179</xdr:row>
      <xdr:rowOff>0</xdr:rowOff>
    </xdr:from>
    <xdr:ext cx="65" cy="172227"/>
    <xdr:sp macro="" textlink="">
      <xdr:nvSpPr>
        <xdr:cNvPr id="5981" name="TextBox 5980">
          <a:extLst>
            <a:ext uri="{FF2B5EF4-FFF2-40B4-BE49-F238E27FC236}">
              <a16:creationId xmlns:a16="http://schemas.microsoft.com/office/drawing/2014/main" id="{00000000-0008-0000-0000-00001E000000}"/>
            </a:ext>
          </a:extLst>
        </xdr:cNvPr>
        <xdr:cNvSpPr txBox="1"/>
      </xdr:nvSpPr>
      <xdr:spPr>
        <a:xfrm>
          <a:off x="8267700" y="36522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179</xdr:row>
      <xdr:rowOff>0</xdr:rowOff>
    </xdr:from>
    <xdr:ext cx="65" cy="172227"/>
    <xdr:sp macro="" textlink="">
      <xdr:nvSpPr>
        <xdr:cNvPr id="5982" name="TextBox 5981">
          <a:extLst>
            <a:ext uri="{FF2B5EF4-FFF2-40B4-BE49-F238E27FC236}">
              <a16:creationId xmlns:a16="http://schemas.microsoft.com/office/drawing/2014/main" id="{00000000-0008-0000-0000-00001F000000}"/>
            </a:ext>
          </a:extLst>
        </xdr:cNvPr>
        <xdr:cNvSpPr txBox="1"/>
      </xdr:nvSpPr>
      <xdr:spPr>
        <a:xfrm>
          <a:off x="8267700" y="36522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180</xdr:row>
      <xdr:rowOff>0</xdr:rowOff>
    </xdr:from>
    <xdr:ext cx="65" cy="172227"/>
    <xdr:sp macro="" textlink="">
      <xdr:nvSpPr>
        <xdr:cNvPr id="5983" name="TextBox 5982">
          <a:extLst>
            <a:ext uri="{FF2B5EF4-FFF2-40B4-BE49-F238E27FC236}">
              <a16:creationId xmlns:a16="http://schemas.microsoft.com/office/drawing/2014/main" id="{00000000-0008-0000-0000-000020000000}"/>
            </a:ext>
          </a:extLst>
        </xdr:cNvPr>
        <xdr:cNvSpPr txBox="1"/>
      </xdr:nvSpPr>
      <xdr:spPr>
        <a:xfrm>
          <a:off x="8267700" y="36705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180</xdr:row>
      <xdr:rowOff>0</xdr:rowOff>
    </xdr:from>
    <xdr:ext cx="65" cy="172227"/>
    <xdr:sp macro="" textlink="">
      <xdr:nvSpPr>
        <xdr:cNvPr id="5984" name="TextBox 5983">
          <a:extLst>
            <a:ext uri="{FF2B5EF4-FFF2-40B4-BE49-F238E27FC236}">
              <a16:creationId xmlns:a16="http://schemas.microsoft.com/office/drawing/2014/main" id="{00000000-0008-0000-0000-000021000000}"/>
            </a:ext>
          </a:extLst>
        </xdr:cNvPr>
        <xdr:cNvSpPr txBox="1"/>
      </xdr:nvSpPr>
      <xdr:spPr>
        <a:xfrm>
          <a:off x="8267700" y="36705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181</xdr:row>
      <xdr:rowOff>0</xdr:rowOff>
    </xdr:from>
    <xdr:ext cx="65" cy="172227"/>
    <xdr:sp macro="" textlink="">
      <xdr:nvSpPr>
        <xdr:cNvPr id="5985" name="TextBox 5984">
          <a:extLst>
            <a:ext uri="{FF2B5EF4-FFF2-40B4-BE49-F238E27FC236}">
              <a16:creationId xmlns:a16="http://schemas.microsoft.com/office/drawing/2014/main" id="{00000000-0008-0000-0000-000022000000}"/>
            </a:ext>
          </a:extLst>
        </xdr:cNvPr>
        <xdr:cNvSpPr txBox="1"/>
      </xdr:nvSpPr>
      <xdr:spPr>
        <a:xfrm>
          <a:off x="8267700" y="36888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181</xdr:row>
      <xdr:rowOff>0</xdr:rowOff>
    </xdr:from>
    <xdr:ext cx="65" cy="172227"/>
    <xdr:sp macro="" textlink="">
      <xdr:nvSpPr>
        <xdr:cNvPr id="5986" name="TextBox 5985">
          <a:extLst>
            <a:ext uri="{FF2B5EF4-FFF2-40B4-BE49-F238E27FC236}">
              <a16:creationId xmlns:a16="http://schemas.microsoft.com/office/drawing/2014/main" id="{00000000-0008-0000-0000-000023000000}"/>
            </a:ext>
          </a:extLst>
        </xdr:cNvPr>
        <xdr:cNvSpPr txBox="1"/>
      </xdr:nvSpPr>
      <xdr:spPr>
        <a:xfrm>
          <a:off x="8267700" y="36888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182</xdr:row>
      <xdr:rowOff>0</xdr:rowOff>
    </xdr:from>
    <xdr:ext cx="65" cy="172227"/>
    <xdr:sp macro="" textlink="">
      <xdr:nvSpPr>
        <xdr:cNvPr id="5987" name="TextBox 5986">
          <a:extLst>
            <a:ext uri="{FF2B5EF4-FFF2-40B4-BE49-F238E27FC236}">
              <a16:creationId xmlns:a16="http://schemas.microsoft.com/office/drawing/2014/main" id="{00000000-0008-0000-0000-000024000000}"/>
            </a:ext>
          </a:extLst>
        </xdr:cNvPr>
        <xdr:cNvSpPr txBox="1"/>
      </xdr:nvSpPr>
      <xdr:spPr>
        <a:xfrm>
          <a:off x="8267700" y="37071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182</xdr:row>
      <xdr:rowOff>0</xdr:rowOff>
    </xdr:from>
    <xdr:ext cx="65" cy="172227"/>
    <xdr:sp macro="" textlink="">
      <xdr:nvSpPr>
        <xdr:cNvPr id="5988" name="TextBox 5987">
          <a:extLst>
            <a:ext uri="{FF2B5EF4-FFF2-40B4-BE49-F238E27FC236}">
              <a16:creationId xmlns:a16="http://schemas.microsoft.com/office/drawing/2014/main" id="{00000000-0008-0000-0000-000025000000}"/>
            </a:ext>
          </a:extLst>
        </xdr:cNvPr>
        <xdr:cNvSpPr txBox="1"/>
      </xdr:nvSpPr>
      <xdr:spPr>
        <a:xfrm>
          <a:off x="8267700" y="37071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183</xdr:row>
      <xdr:rowOff>0</xdr:rowOff>
    </xdr:from>
    <xdr:ext cx="65" cy="172227"/>
    <xdr:sp macro="" textlink="">
      <xdr:nvSpPr>
        <xdr:cNvPr id="5989" name="TextBox 5988">
          <a:extLst>
            <a:ext uri="{FF2B5EF4-FFF2-40B4-BE49-F238E27FC236}">
              <a16:creationId xmlns:a16="http://schemas.microsoft.com/office/drawing/2014/main" id="{00000000-0008-0000-0000-000026000000}"/>
            </a:ext>
          </a:extLst>
        </xdr:cNvPr>
        <xdr:cNvSpPr txBox="1"/>
      </xdr:nvSpPr>
      <xdr:spPr>
        <a:xfrm>
          <a:off x="8267700" y="37254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183</xdr:row>
      <xdr:rowOff>0</xdr:rowOff>
    </xdr:from>
    <xdr:ext cx="65" cy="172227"/>
    <xdr:sp macro="" textlink="">
      <xdr:nvSpPr>
        <xdr:cNvPr id="5990" name="TextBox 5989">
          <a:extLst>
            <a:ext uri="{FF2B5EF4-FFF2-40B4-BE49-F238E27FC236}">
              <a16:creationId xmlns:a16="http://schemas.microsoft.com/office/drawing/2014/main" id="{00000000-0008-0000-0000-000027000000}"/>
            </a:ext>
          </a:extLst>
        </xdr:cNvPr>
        <xdr:cNvSpPr txBox="1"/>
      </xdr:nvSpPr>
      <xdr:spPr>
        <a:xfrm>
          <a:off x="8267700" y="37254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189</xdr:row>
      <xdr:rowOff>0</xdr:rowOff>
    </xdr:from>
    <xdr:ext cx="65" cy="172227"/>
    <xdr:sp macro="" textlink="">
      <xdr:nvSpPr>
        <xdr:cNvPr id="5991" name="TextBox 5990">
          <a:extLst>
            <a:ext uri="{FF2B5EF4-FFF2-40B4-BE49-F238E27FC236}">
              <a16:creationId xmlns:a16="http://schemas.microsoft.com/office/drawing/2014/main" id="{00000000-0008-0000-0000-000028000000}"/>
            </a:ext>
          </a:extLst>
        </xdr:cNvPr>
        <xdr:cNvSpPr txBox="1"/>
      </xdr:nvSpPr>
      <xdr:spPr>
        <a:xfrm>
          <a:off x="8267700" y="3835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189</xdr:row>
      <xdr:rowOff>0</xdr:rowOff>
    </xdr:from>
    <xdr:ext cx="65" cy="172227"/>
    <xdr:sp macro="" textlink="">
      <xdr:nvSpPr>
        <xdr:cNvPr id="5992" name="TextBox 5991">
          <a:extLst>
            <a:ext uri="{FF2B5EF4-FFF2-40B4-BE49-F238E27FC236}">
              <a16:creationId xmlns:a16="http://schemas.microsoft.com/office/drawing/2014/main" id="{00000000-0008-0000-0000-000029000000}"/>
            </a:ext>
          </a:extLst>
        </xdr:cNvPr>
        <xdr:cNvSpPr txBox="1"/>
      </xdr:nvSpPr>
      <xdr:spPr>
        <a:xfrm>
          <a:off x="8267700" y="3835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190</xdr:row>
      <xdr:rowOff>0</xdr:rowOff>
    </xdr:from>
    <xdr:ext cx="65" cy="172227"/>
    <xdr:sp macro="" textlink="">
      <xdr:nvSpPr>
        <xdr:cNvPr id="5993" name="TextBox 5992">
          <a:extLst>
            <a:ext uri="{FF2B5EF4-FFF2-40B4-BE49-F238E27FC236}">
              <a16:creationId xmlns:a16="http://schemas.microsoft.com/office/drawing/2014/main" id="{00000000-0008-0000-0000-00002A000000}"/>
            </a:ext>
          </a:extLst>
        </xdr:cNvPr>
        <xdr:cNvSpPr txBox="1"/>
      </xdr:nvSpPr>
      <xdr:spPr>
        <a:xfrm>
          <a:off x="8267700" y="38534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190</xdr:row>
      <xdr:rowOff>0</xdr:rowOff>
    </xdr:from>
    <xdr:ext cx="65" cy="172227"/>
    <xdr:sp macro="" textlink="">
      <xdr:nvSpPr>
        <xdr:cNvPr id="5994" name="TextBox 5993">
          <a:extLst>
            <a:ext uri="{FF2B5EF4-FFF2-40B4-BE49-F238E27FC236}">
              <a16:creationId xmlns:a16="http://schemas.microsoft.com/office/drawing/2014/main" id="{00000000-0008-0000-0000-00002B000000}"/>
            </a:ext>
          </a:extLst>
        </xdr:cNvPr>
        <xdr:cNvSpPr txBox="1"/>
      </xdr:nvSpPr>
      <xdr:spPr>
        <a:xfrm>
          <a:off x="8267700" y="38534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191</xdr:row>
      <xdr:rowOff>0</xdr:rowOff>
    </xdr:from>
    <xdr:ext cx="65" cy="172227"/>
    <xdr:sp macro="" textlink="">
      <xdr:nvSpPr>
        <xdr:cNvPr id="5995" name="TextBox 5994">
          <a:extLst>
            <a:ext uri="{FF2B5EF4-FFF2-40B4-BE49-F238E27FC236}">
              <a16:creationId xmlns:a16="http://schemas.microsoft.com/office/drawing/2014/main" id="{00000000-0008-0000-0000-00002C000000}"/>
            </a:ext>
          </a:extLst>
        </xdr:cNvPr>
        <xdr:cNvSpPr txBox="1"/>
      </xdr:nvSpPr>
      <xdr:spPr>
        <a:xfrm>
          <a:off x="8267700" y="38717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191</xdr:row>
      <xdr:rowOff>0</xdr:rowOff>
    </xdr:from>
    <xdr:ext cx="65" cy="172227"/>
    <xdr:sp macro="" textlink="">
      <xdr:nvSpPr>
        <xdr:cNvPr id="5996" name="TextBox 5995">
          <a:extLst>
            <a:ext uri="{FF2B5EF4-FFF2-40B4-BE49-F238E27FC236}">
              <a16:creationId xmlns:a16="http://schemas.microsoft.com/office/drawing/2014/main" id="{00000000-0008-0000-0000-00002D000000}"/>
            </a:ext>
          </a:extLst>
        </xdr:cNvPr>
        <xdr:cNvSpPr txBox="1"/>
      </xdr:nvSpPr>
      <xdr:spPr>
        <a:xfrm>
          <a:off x="8267700" y="38717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192</xdr:row>
      <xdr:rowOff>0</xdr:rowOff>
    </xdr:from>
    <xdr:ext cx="65" cy="172227"/>
    <xdr:sp macro="" textlink="">
      <xdr:nvSpPr>
        <xdr:cNvPr id="5997" name="TextBox 5996">
          <a:extLst>
            <a:ext uri="{FF2B5EF4-FFF2-40B4-BE49-F238E27FC236}">
              <a16:creationId xmlns:a16="http://schemas.microsoft.com/office/drawing/2014/main" id="{00000000-0008-0000-0000-00002E000000}"/>
            </a:ext>
          </a:extLst>
        </xdr:cNvPr>
        <xdr:cNvSpPr txBox="1"/>
      </xdr:nvSpPr>
      <xdr:spPr>
        <a:xfrm>
          <a:off x="8267700" y="38900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192</xdr:row>
      <xdr:rowOff>0</xdr:rowOff>
    </xdr:from>
    <xdr:ext cx="65" cy="172227"/>
    <xdr:sp macro="" textlink="">
      <xdr:nvSpPr>
        <xdr:cNvPr id="5998" name="TextBox 5997">
          <a:extLst>
            <a:ext uri="{FF2B5EF4-FFF2-40B4-BE49-F238E27FC236}">
              <a16:creationId xmlns:a16="http://schemas.microsoft.com/office/drawing/2014/main" id="{00000000-0008-0000-0000-00002F000000}"/>
            </a:ext>
          </a:extLst>
        </xdr:cNvPr>
        <xdr:cNvSpPr txBox="1"/>
      </xdr:nvSpPr>
      <xdr:spPr>
        <a:xfrm>
          <a:off x="8267700" y="38900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193</xdr:row>
      <xdr:rowOff>0</xdr:rowOff>
    </xdr:from>
    <xdr:ext cx="65" cy="172227"/>
    <xdr:sp macro="" textlink="">
      <xdr:nvSpPr>
        <xdr:cNvPr id="5999" name="TextBox 5998">
          <a:extLst>
            <a:ext uri="{FF2B5EF4-FFF2-40B4-BE49-F238E27FC236}">
              <a16:creationId xmlns:a16="http://schemas.microsoft.com/office/drawing/2014/main" id="{00000000-0008-0000-0000-000030000000}"/>
            </a:ext>
          </a:extLst>
        </xdr:cNvPr>
        <xdr:cNvSpPr txBox="1"/>
      </xdr:nvSpPr>
      <xdr:spPr>
        <a:xfrm>
          <a:off x="8267700" y="39082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193</xdr:row>
      <xdr:rowOff>0</xdr:rowOff>
    </xdr:from>
    <xdr:ext cx="65" cy="172227"/>
    <xdr:sp macro="" textlink="">
      <xdr:nvSpPr>
        <xdr:cNvPr id="6000" name="TextBox 5999">
          <a:extLst>
            <a:ext uri="{FF2B5EF4-FFF2-40B4-BE49-F238E27FC236}">
              <a16:creationId xmlns:a16="http://schemas.microsoft.com/office/drawing/2014/main" id="{00000000-0008-0000-0000-000031000000}"/>
            </a:ext>
          </a:extLst>
        </xdr:cNvPr>
        <xdr:cNvSpPr txBox="1"/>
      </xdr:nvSpPr>
      <xdr:spPr>
        <a:xfrm>
          <a:off x="8267700" y="39082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6001" name="TextBox 6000">
          <a:extLst>
            <a:ext uri="{FF2B5EF4-FFF2-40B4-BE49-F238E27FC236}">
              <a16:creationId xmlns:a16="http://schemas.microsoft.com/office/drawing/2014/main" id="{00000000-0008-0000-0000-000032000000}"/>
            </a:ext>
          </a:extLst>
        </xdr:cNvPr>
        <xdr:cNvSpPr txBox="1"/>
      </xdr:nvSpPr>
      <xdr:spPr>
        <a:xfrm>
          <a:off x="8267700" y="39814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6002" name="TextBox 6001">
          <a:extLst>
            <a:ext uri="{FF2B5EF4-FFF2-40B4-BE49-F238E27FC236}">
              <a16:creationId xmlns:a16="http://schemas.microsoft.com/office/drawing/2014/main" id="{00000000-0008-0000-0000-000033000000}"/>
            </a:ext>
          </a:extLst>
        </xdr:cNvPr>
        <xdr:cNvSpPr txBox="1"/>
      </xdr:nvSpPr>
      <xdr:spPr>
        <a:xfrm>
          <a:off x="8267700" y="39814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6003" name="TextBox 6002">
          <a:extLst>
            <a:ext uri="{FF2B5EF4-FFF2-40B4-BE49-F238E27FC236}">
              <a16:creationId xmlns:a16="http://schemas.microsoft.com/office/drawing/2014/main" id="{00000000-0008-0000-0000-000034000000}"/>
            </a:ext>
          </a:extLst>
        </xdr:cNvPr>
        <xdr:cNvSpPr txBox="1"/>
      </xdr:nvSpPr>
      <xdr:spPr>
        <a:xfrm>
          <a:off x="8267700" y="39814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6004" name="TextBox 6003">
          <a:extLst>
            <a:ext uri="{FF2B5EF4-FFF2-40B4-BE49-F238E27FC236}">
              <a16:creationId xmlns:a16="http://schemas.microsoft.com/office/drawing/2014/main" id="{00000000-0008-0000-0000-000035000000}"/>
            </a:ext>
          </a:extLst>
        </xdr:cNvPr>
        <xdr:cNvSpPr txBox="1"/>
      </xdr:nvSpPr>
      <xdr:spPr>
        <a:xfrm>
          <a:off x="8267700" y="39814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6005" name="TextBox 6004">
          <a:extLst>
            <a:ext uri="{FF2B5EF4-FFF2-40B4-BE49-F238E27FC236}">
              <a16:creationId xmlns:a16="http://schemas.microsoft.com/office/drawing/2014/main" id="{00000000-0008-0000-0000-000036000000}"/>
            </a:ext>
          </a:extLst>
        </xdr:cNvPr>
        <xdr:cNvSpPr txBox="1"/>
      </xdr:nvSpPr>
      <xdr:spPr>
        <a:xfrm>
          <a:off x="8267700" y="39814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6006" name="TextBox 6005">
          <a:extLst>
            <a:ext uri="{FF2B5EF4-FFF2-40B4-BE49-F238E27FC236}">
              <a16:creationId xmlns:a16="http://schemas.microsoft.com/office/drawing/2014/main" id="{00000000-0008-0000-0000-000037000000}"/>
            </a:ext>
          </a:extLst>
        </xdr:cNvPr>
        <xdr:cNvSpPr txBox="1"/>
      </xdr:nvSpPr>
      <xdr:spPr>
        <a:xfrm>
          <a:off x="8267700" y="39814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6007" name="TextBox 6006">
          <a:extLst>
            <a:ext uri="{FF2B5EF4-FFF2-40B4-BE49-F238E27FC236}">
              <a16:creationId xmlns:a16="http://schemas.microsoft.com/office/drawing/2014/main" id="{00000000-0008-0000-0000-000038000000}"/>
            </a:ext>
          </a:extLst>
        </xdr:cNvPr>
        <xdr:cNvSpPr txBox="1"/>
      </xdr:nvSpPr>
      <xdr:spPr>
        <a:xfrm>
          <a:off x="8267700" y="39814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6008" name="TextBox 6007">
          <a:extLst>
            <a:ext uri="{FF2B5EF4-FFF2-40B4-BE49-F238E27FC236}">
              <a16:creationId xmlns:a16="http://schemas.microsoft.com/office/drawing/2014/main" id="{00000000-0008-0000-0000-000039000000}"/>
            </a:ext>
          </a:extLst>
        </xdr:cNvPr>
        <xdr:cNvSpPr txBox="1"/>
      </xdr:nvSpPr>
      <xdr:spPr>
        <a:xfrm>
          <a:off x="8267700" y="39814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6009" name="TextBox 6008">
          <a:extLst>
            <a:ext uri="{FF2B5EF4-FFF2-40B4-BE49-F238E27FC236}">
              <a16:creationId xmlns:a16="http://schemas.microsoft.com/office/drawing/2014/main" id="{00000000-0008-0000-0000-00003A000000}"/>
            </a:ext>
          </a:extLst>
        </xdr:cNvPr>
        <xdr:cNvSpPr txBox="1"/>
      </xdr:nvSpPr>
      <xdr:spPr>
        <a:xfrm>
          <a:off x="8267700" y="39814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6010" name="TextBox 6009">
          <a:extLst>
            <a:ext uri="{FF2B5EF4-FFF2-40B4-BE49-F238E27FC236}">
              <a16:creationId xmlns:a16="http://schemas.microsoft.com/office/drawing/2014/main" id="{00000000-0008-0000-0000-00003B000000}"/>
            </a:ext>
          </a:extLst>
        </xdr:cNvPr>
        <xdr:cNvSpPr txBox="1"/>
      </xdr:nvSpPr>
      <xdr:spPr>
        <a:xfrm>
          <a:off x="8267700" y="39814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6011" name="TextBox 6010">
          <a:extLst>
            <a:ext uri="{FF2B5EF4-FFF2-40B4-BE49-F238E27FC236}">
              <a16:creationId xmlns:a16="http://schemas.microsoft.com/office/drawing/2014/main" id="{00000000-0008-0000-0000-00003C000000}"/>
            </a:ext>
          </a:extLst>
        </xdr:cNvPr>
        <xdr:cNvSpPr txBox="1"/>
      </xdr:nvSpPr>
      <xdr:spPr>
        <a:xfrm>
          <a:off x="8267700" y="39814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6012" name="TextBox 6011">
          <a:extLst>
            <a:ext uri="{FF2B5EF4-FFF2-40B4-BE49-F238E27FC236}">
              <a16:creationId xmlns:a16="http://schemas.microsoft.com/office/drawing/2014/main" id="{00000000-0008-0000-0000-00003D000000}"/>
            </a:ext>
          </a:extLst>
        </xdr:cNvPr>
        <xdr:cNvSpPr txBox="1"/>
      </xdr:nvSpPr>
      <xdr:spPr>
        <a:xfrm>
          <a:off x="8267700" y="39814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6013" name="TextBox 6012">
          <a:extLst>
            <a:ext uri="{FF2B5EF4-FFF2-40B4-BE49-F238E27FC236}">
              <a16:creationId xmlns:a16="http://schemas.microsoft.com/office/drawing/2014/main" id="{00000000-0008-0000-0000-00003E000000}"/>
            </a:ext>
          </a:extLst>
        </xdr:cNvPr>
        <xdr:cNvSpPr txBox="1"/>
      </xdr:nvSpPr>
      <xdr:spPr>
        <a:xfrm>
          <a:off x="8267700" y="39814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6014" name="TextBox 6013">
          <a:extLst>
            <a:ext uri="{FF2B5EF4-FFF2-40B4-BE49-F238E27FC236}">
              <a16:creationId xmlns:a16="http://schemas.microsoft.com/office/drawing/2014/main" id="{00000000-0008-0000-0000-00003F000000}"/>
            </a:ext>
          </a:extLst>
        </xdr:cNvPr>
        <xdr:cNvSpPr txBox="1"/>
      </xdr:nvSpPr>
      <xdr:spPr>
        <a:xfrm>
          <a:off x="8267700" y="39814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6015" name="TextBox 6014">
          <a:extLst>
            <a:ext uri="{FF2B5EF4-FFF2-40B4-BE49-F238E27FC236}">
              <a16:creationId xmlns:a16="http://schemas.microsoft.com/office/drawing/2014/main" id="{00000000-0008-0000-0000-000040000000}"/>
            </a:ext>
          </a:extLst>
        </xdr:cNvPr>
        <xdr:cNvSpPr txBox="1"/>
      </xdr:nvSpPr>
      <xdr:spPr>
        <a:xfrm>
          <a:off x="8267700" y="39814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6016" name="TextBox 6015">
          <a:extLst>
            <a:ext uri="{FF2B5EF4-FFF2-40B4-BE49-F238E27FC236}">
              <a16:creationId xmlns:a16="http://schemas.microsoft.com/office/drawing/2014/main" id="{00000000-0008-0000-0000-000041000000}"/>
            </a:ext>
          </a:extLst>
        </xdr:cNvPr>
        <xdr:cNvSpPr txBox="1"/>
      </xdr:nvSpPr>
      <xdr:spPr>
        <a:xfrm>
          <a:off x="8267700" y="39814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6017" name="TextBox 6016">
          <a:extLst>
            <a:ext uri="{FF2B5EF4-FFF2-40B4-BE49-F238E27FC236}">
              <a16:creationId xmlns:a16="http://schemas.microsoft.com/office/drawing/2014/main" id="{00000000-0008-0000-0000-000042000000}"/>
            </a:ext>
          </a:extLst>
        </xdr:cNvPr>
        <xdr:cNvSpPr txBox="1"/>
      </xdr:nvSpPr>
      <xdr:spPr>
        <a:xfrm>
          <a:off x="8267700" y="39814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6018" name="TextBox 6017">
          <a:extLst>
            <a:ext uri="{FF2B5EF4-FFF2-40B4-BE49-F238E27FC236}">
              <a16:creationId xmlns:a16="http://schemas.microsoft.com/office/drawing/2014/main" id="{00000000-0008-0000-0000-000043000000}"/>
            </a:ext>
          </a:extLst>
        </xdr:cNvPr>
        <xdr:cNvSpPr txBox="1"/>
      </xdr:nvSpPr>
      <xdr:spPr>
        <a:xfrm>
          <a:off x="8267700" y="39814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6019" name="TextBox 6018">
          <a:extLst>
            <a:ext uri="{FF2B5EF4-FFF2-40B4-BE49-F238E27FC236}">
              <a16:creationId xmlns:a16="http://schemas.microsoft.com/office/drawing/2014/main" id="{00000000-0008-0000-0000-000044000000}"/>
            </a:ext>
          </a:extLst>
        </xdr:cNvPr>
        <xdr:cNvSpPr txBox="1"/>
      </xdr:nvSpPr>
      <xdr:spPr>
        <a:xfrm>
          <a:off x="8267700" y="39814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6020" name="TextBox 6019">
          <a:extLst>
            <a:ext uri="{FF2B5EF4-FFF2-40B4-BE49-F238E27FC236}">
              <a16:creationId xmlns:a16="http://schemas.microsoft.com/office/drawing/2014/main" id="{00000000-0008-0000-0000-000045000000}"/>
            </a:ext>
          </a:extLst>
        </xdr:cNvPr>
        <xdr:cNvSpPr txBox="1"/>
      </xdr:nvSpPr>
      <xdr:spPr>
        <a:xfrm>
          <a:off x="8267700" y="39814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021" name="TextBox 6020">
          <a:extLst>
            <a:ext uri="{FF2B5EF4-FFF2-40B4-BE49-F238E27FC236}">
              <a16:creationId xmlns:a16="http://schemas.microsoft.com/office/drawing/2014/main" id="{00000000-0008-0000-0000-000048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022" name="TextBox 6021">
          <a:extLst>
            <a:ext uri="{FF2B5EF4-FFF2-40B4-BE49-F238E27FC236}">
              <a16:creationId xmlns:a16="http://schemas.microsoft.com/office/drawing/2014/main" id="{00000000-0008-0000-0000-000049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023" name="TextBox 6022">
          <a:extLst>
            <a:ext uri="{FF2B5EF4-FFF2-40B4-BE49-F238E27FC236}">
              <a16:creationId xmlns:a16="http://schemas.microsoft.com/office/drawing/2014/main" id="{00000000-0008-0000-0000-00004C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024" name="TextBox 6023">
          <a:extLst>
            <a:ext uri="{FF2B5EF4-FFF2-40B4-BE49-F238E27FC236}">
              <a16:creationId xmlns:a16="http://schemas.microsoft.com/office/drawing/2014/main" id="{00000000-0008-0000-0000-00004D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025" name="TextBox 6024">
          <a:extLst>
            <a:ext uri="{FF2B5EF4-FFF2-40B4-BE49-F238E27FC236}">
              <a16:creationId xmlns:a16="http://schemas.microsoft.com/office/drawing/2014/main" id="{00000000-0008-0000-0000-00004E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026" name="TextBox 6025">
          <a:extLst>
            <a:ext uri="{FF2B5EF4-FFF2-40B4-BE49-F238E27FC236}">
              <a16:creationId xmlns:a16="http://schemas.microsoft.com/office/drawing/2014/main" id="{00000000-0008-0000-0000-00004F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027" name="TextBox 6026">
          <a:extLst>
            <a:ext uri="{FF2B5EF4-FFF2-40B4-BE49-F238E27FC236}">
              <a16:creationId xmlns:a16="http://schemas.microsoft.com/office/drawing/2014/main" id="{00000000-0008-0000-0000-000050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028" name="TextBox 6027">
          <a:extLst>
            <a:ext uri="{FF2B5EF4-FFF2-40B4-BE49-F238E27FC236}">
              <a16:creationId xmlns:a16="http://schemas.microsoft.com/office/drawing/2014/main" id="{00000000-0008-0000-0000-000051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6029" name="TextBox 6028">
          <a:extLst>
            <a:ext uri="{FF2B5EF4-FFF2-40B4-BE49-F238E27FC236}">
              <a16:creationId xmlns:a16="http://schemas.microsoft.com/office/drawing/2014/main" id="{00000000-0008-0000-0000-000052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6030" name="TextBox 6029">
          <a:extLst>
            <a:ext uri="{FF2B5EF4-FFF2-40B4-BE49-F238E27FC236}">
              <a16:creationId xmlns:a16="http://schemas.microsoft.com/office/drawing/2014/main" id="{00000000-0008-0000-0000-000053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031" name="TextBox 6030">
          <a:extLst>
            <a:ext uri="{FF2B5EF4-FFF2-40B4-BE49-F238E27FC236}">
              <a16:creationId xmlns:a16="http://schemas.microsoft.com/office/drawing/2014/main" id="{00000000-0008-0000-0000-000054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032" name="TextBox 6031">
          <a:extLst>
            <a:ext uri="{FF2B5EF4-FFF2-40B4-BE49-F238E27FC236}">
              <a16:creationId xmlns:a16="http://schemas.microsoft.com/office/drawing/2014/main" id="{00000000-0008-0000-0000-000055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033" name="TextBox 6032">
          <a:extLst>
            <a:ext uri="{FF2B5EF4-FFF2-40B4-BE49-F238E27FC236}">
              <a16:creationId xmlns:a16="http://schemas.microsoft.com/office/drawing/2014/main" id="{00000000-0008-0000-0000-000056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034" name="TextBox 6033">
          <a:extLst>
            <a:ext uri="{FF2B5EF4-FFF2-40B4-BE49-F238E27FC236}">
              <a16:creationId xmlns:a16="http://schemas.microsoft.com/office/drawing/2014/main" id="{00000000-0008-0000-0000-000057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035" name="TextBox 6034">
          <a:extLst>
            <a:ext uri="{FF2B5EF4-FFF2-40B4-BE49-F238E27FC236}">
              <a16:creationId xmlns:a16="http://schemas.microsoft.com/office/drawing/2014/main" id="{00000000-0008-0000-0000-000058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036" name="TextBox 6035">
          <a:extLst>
            <a:ext uri="{FF2B5EF4-FFF2-40B4-BE49-F238E27FC236}">
              <a16:creationId xmlns:a16="http://schemas.microsoft.com/office/drawing/2014/main" id="{00000000-0008-0000-0000-000059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037" name="TextBox 6036">
          <a:extLst>
            <a:ext uri="{FF2B5EF4-FFF2-40B4-BE49-F238E27FC236}">
              <a16:creationId xmlns:a16="http://schemas.microsoft.com/office/drawing/2014/main" id="{00000000-0008-0000-0000-00005A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038" name="TextBox 6037">
          <a:extLst>
            <a:ext uri="{FF2B5EF4-FFF2-40B4-BE49-F238E27FC236}">
              <a16:creationId xmlns:a16="http://schemas.microsoft.com/office/drawing/2014/main" id="{00000000-0008-0000-0000-00005B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039" name="TextBox 6038">
          <a:extLst>
            <a:ext uri="{FF2B5EF4-FFF2-40B4-BE49-F238E27FC236}">
              <a16:creationId xmlns:a16="http://schemas.microsoft.com/office/drawing/2014/main" id="{00000000-0008-0000-0000-00005C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040" name="TextBox 6039">
          <a:extLst>
            <a:ext uri="{FF2B5EF4-FFF2-40B4-BE49-F238E27FC236}">
              <a16:creationId xmlns:a16="http://schemas.microsoft.com/office/drawing/2014/main" id="{00000000-0008-0000-0000-00005D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041" name="TextBox 6040">
          <a:extLst>
            <a:ext uri="{FF2B5EF4-FFF2-40B4-BE49-F238E27FC236}">
              <a16:creationId xmlns:a16="http://schemas.microsoft.com/office/drawing/2014/main" id="{00000000-0008-0000-0000-00005E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042" name="TextBox 6041">
          <a:extLst>
            <a:ext uri="{FF2B5EF4-FFF2-40B4-BE49-F238E27FC236}">
              <a16:creationId xmlns:a16="http://schemas.microsoft.com/office/drawing/2014/main" id="{00000000-0008-0000-0000-00005F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6043" name="TextBox 6042">
          <a:extLst>
            <a:ext uri="{FF2B5EF4-FFF2-40B4-BE49-F238E27FC236}">
              <a16:creationId xmlns:a16="http://schemas.microsoft.com/office/drawing/2014/main" id="{00000000-0008-0000-0000-000060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6044" name="TextBox 6043">
          <a:extLst>
            <a:ext uri="{FF2B5EF4-FFF2-40B4-BE49-F238E27FC236}">
              <a16:creationId xmlns:a16="http://schemas.microsoft.com/office/drawing/2014/main" id="{00000000-0008-0000-0000-000061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6045" name="TextBox 6044">
          <a:extLst>
            <a:ext uri="{FF2B5EF4-FFF2-40B4-BE49-F238E27FC236}">
              <a16:creationId xmlns:a16="http://schemas.microsoft.com/office/drawing/2014/main" id="{00000000-0008-0000-0000-000062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6046" name="TextBox 6045">
          <a:extLst>
            <a:ext uri="{FF2B5EF4-FFF2-40B4-BE49-F238E27FC236}">
              <a16:creationId xmlns:a16="http://schemas.microsoft.com/office/drawing/2014/main" id="{00000000-0008-0000-0000-000063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047" name="TextBox 6046">
          <a:extLst>
            <a:ext uri="{FF2B5EF4-FFF2-40B4-BE49-F238E27FC236}">
              <a16:creationId xmlns:a16="http://schemas.microsoft.com/office/drawing/2014/main" id="{00000000-0008-0000-0000-000064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048" name="TextBox 6047">
          <a:extLst>
            <a:ext uri="{FF2B5EF4-FFF2-40B4-BE49-F238E27FC236}">
              <a16:creationId xmlns:a16="http://schemas.microsoft.com/office/drawing/2014/main" id="{00000000-0008-0000-0000-000065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049" name="TextBox 6048">
          <a:extLst>
            <a:ext uri="{FF2B5EF4-FFF2-40B4-BE49-F238E27FC236}">
              <a16:creationId xmlns:a16="http://schemas.microsoft.com/office/drawing/2014/main" id="{00000000-0008-0000-0000-000066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050" name="TextBox 6049">
          <a:extLst>
            <a:ext uri="{FF2B5EF4-FFF2-40B4-BE49-F238E27FC236}">
              <a16:creationId xmlns:a16="http://schemas.microsoft.com/office/drawing/2014/main" id="{00000000-0008-0000-0000-000067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051" name="TextBox 6050">
          <a:extLst>
            <a:ext uri="{FF2B5EF4-FFF2-40B4-BE49-F238E27FC236}">
              <a16:creationId xmlns:a16="http://schemas.microsoft.com/office/drawing/2014/main" id="{00000000-0008-0000-0000-000068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052" name="TextBox 6051">
          <a:extLst>
            <a:ext uri="{FF2B5EF4-FFF2-40B4-BE49-F238E27FC236}">
              <a16:creationId xmlns:a16="http://schemas.microsoft.com/office/drawing/2014/main" id="{00000000-0008-0000-0000-000069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053" name="TextBox 6052">
          <a:extLst>
            <a:ext uri="{FF2B5EF4-FFF2-40B4-BE49-F238E27FC236}">
              <a16:creationId xmlns:a16="http://schemas.microsoft.com/office/drawing/2014/main" id="{00000000-0008-0000-0000-00006A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054" name="TextBox 6053">
          <a:extLst>
            <a:ext uri="{FF2B5EF4-FFF2-40B4-BE49-F238E27FC236}">
              <a16:creationId xmlns:a16="http://schemas.microsoft.com/office/drawing/2014/main" id="{00000000-0008-0000-0000-00006B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055" name="TextBox 6054">
          <a:extLst>
            <a:ext uri="{FF2B5EF4-FFF2-40B4-BE49-F238E27FC236}">
              <a16:creationId xmlns:a16="http://schemas.microsoft.com/office/drawing/2014/main" id="{00000000-0008-0000-0000-00006C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056" name="TextBox 6055">
          <a:extLst>
            <a:ext uri="{FF2B5EF4-FFF2-40B4-BE49-F238E27FC236}">
              <a16:creationId xmlns:a16="http://schemas.microsoft.com/office/drawing/2014/main" id="{00000000-0008-0000-0000-00006D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057" name="TextBox 6056">
          <a:extLst>
            <a:ext uri="{FF2B5EF4-FFF2-40B4-BE49-F238E27FC236}">
              <a16:creationId xmlns:a16="http://schemas.microsoft.com/office/drawing/2014/main" id="{00000000-0008-0000-0000-00006E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058" name="TextBox 6057">
          <a:extLst>
            <a:ext uri="{FF2B5EF4-FFF2-40B4-BE49-F238E27FC236}">
              <a16:creationId xmlns:a16="http://schemas.microsoft.com/office/drawing/2014/main" id="{00000000-0008-0000-0000-00006F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059" name="TextBox 6058">
          <a:extLst>
            <a:ext uri="{FF2B5EF4-FFF2-40B4-BE49-F238E27FC236}">
              <a16:creationId xmlns:a16="http://schemas.microsoft.com/office/drawing/2014/main" id="{00000000-0008-0000-0000-000070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060" name="TextBox 6059">
          <a:extLst>
            <a:ext uri="{FF2B5EF4-FFF2-40B4-BE49-F238E27FC236}">
              <a16:creationId xmlns:a16="http://schemas.microsoft.com/office/drawing/2014/main" id="{00000000-0008-0000-0000-000071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061" name="TextBox 6060">
          <a:extLst>
            <a:ext uri="{FF2B5EF4-FFF2-40B4-BE49-F238E27FC236}">
              <a16:creationId xmlns:a16="http://schemas.microsoft.com/office/drawing/2014/main" id="{00000000-0008-0000-0000-000072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062" name="TextBox 6061">
          <a:extLst>
            <a:ext uri="{FF2B5EF4-FFF2-40B4-BE49-F238E27FC236}">
              <a16:creationId xmlns:a16="http://schemas.microsoft.com/office/drawing/2014/main" id="{00000000-0008-0000-0000-000073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063" name="TextBox 6062">
          <a:extLst>
            <a:ext uri="{FF2B5EF4-FFF2-40B4-BE49-F238E27FC236}">
              <a16:creationId xmlns:a16="http://schemas.microsoft.com/office/drawing/2014/main" id="{00000000-0008-0000-0000-000074000000}"/>
            </a:ext>
          </a:extLst>
        </xdr:cNvPr>
        <xdr:cNvSpPr txBox="1"/>
      </xdr:nvSpPr>
      <xdr:spPr>
        <a:xfrm>
          <a:off x="1258062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064" name="TextBox 6063">
          <a:extLst>
            <a:ext uri="{FF2B5EF4-FFF2-40B4-BE49-F238E27FC236}">
              <a16:creationId xmlns:a16="http://schemas.microsoft.com/office/drawing/2014/main" id="{00000000-0008-0000-0000-000075000000}"/>
            </a:ext>
          </a:extLst>
        </xdr:cNvPr>
        <xdr:cNvSpPr txBox="1"/>
      </xdr:nvSpPr>
      <xdr:spPr>
        <a:xfrm>
          <a:off x="1258062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065" name="TextBox 6064">
          <a:extLst>
            <a:ext uri="{FF2B5EF4-FFF2-40B4-BE49-F238E27FC236}">
              <a16:creationId xmlns:a16="http://schemas.microsoft.com/office/drawing/2014/main" id="{00000000-0008-0000-0000-000076000000}"/>
            </a:ext>
          </a:extLst>
        </xdr:cNvPr>
        <xdr:cNvSpPr txBox="1"/>
      </xdr:nvSpPr>
      <xdr:spPr>
        <a:xfrm>
          <a:off x="1258062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066" name="TextBox 6065">
          <a:extLst>
            <a:ext uri="{FF2B5EF4-FFF2-40B4-BE49-F238E27FC236}">
              <a16:creationId xmlns:a16="http://schemas.microsoft.com/office/drawing/2014/main" id="{00000000-0008-0000-0000-000077000000}"/>
            </a:ext>
          </a:extLst>
        </xdr:cNvPr>
        <xdr:cNvSpPr txBox="1"/>
      </xdr:nvSpPr>
      <xdr:spPr>
        <a:xfrm>
          <a:off x="1258062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067" name="TextBox 6066">
          <a:extLst>
            <a:ext uri="{FF2B5EF4-FFF2-40B4-BE49-F238E27FC236}">
              <a16:creationId xmlns:a16="http://schemas.microsoft.com/office/drawing/2014/main" id="{00000000-0008-0000-0000-000078000000}"/>
            </a:ext>
          </a:extLst>
        </xdr:cNvPr>
        <xdr:cNvSpPr txBox="1"/>
      </xdr:nvSpPr>
      <xdr:spPr>
        <a:xfrm>
          <a:off x="1258062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068" name="TextBox 6067">
          <a:extLst>
            <a:ext uri="{FF2B5EF4-FFF2-40B4-BE49-F238E27FC236}">
              <a16:creationId xmlns:a16="http://schemas.microsoft.com/office/drawing/2014/main" id="{00000000-0008-0000-0000-000079000000}"/>
            </a:ext>
          </a:extLst>
        </xdr:cNvPr>
        <xdr:cNvSpPr txBox="1"/>
      </xdr:nvSpPr>
      <xdr:spPr>
        <a:xfrm>
          <a:off x="1258062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069" name="TextBox 6068">
          <a:extLst>
            <a:ext uri="{FF2B5EF4-FFF2-40B4-BE49-F238E27FC236}">
              <a16:creationId xmlns:a16="http://schemas.microsoft.com/office/drawing/2014/main" id="{00000000-0008-0000-0000-00007A000000}"/>
            </a:ext>
          </a:extLst>
        </xdr:cNvPr>
        <xdr:cNvSpPr txBox="1"/>
      </xdr:nvSpPr>
      <xdr:spPr>
        <a:xfrm>
          <a:off x="1258062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070" name="TextBox 6069">
          <a:extLst>
            <a:ext uri="{FF2B5EF4-FFF2-40B4-BE49-F238E27FC236}">
              <a16:creationId xmlns:a16="http://schemas.microsoft.com/office/drawing/2014/main" id="{00000000-0008-0000-0000-00007B000000}"/>
            </a:ext>
          </a:extLst>
        </xdr:cNvPr>
        <xdr:cNvSpPr txBox="1"/>
      </xdr:nvSpPr>
      <xdr:spPr>
        <a:xfrm>
          <a:off x="1258062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6071" name="TextBox 6070">
          <a:extLst>
            <a:ext uri="{FF2B5EF4-FFF2-40B4-BE49-F238E27FC236}">
              <a16:creationId xmlns:a16="http://schemas.microsoft.com/office/drawing/2014/main" id="{00000000-0008-0000-0000-00007C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6072" name="TextBox 6071">
          <a:extLst>
            <a:ext uri="{FF2B5EF4-FFF2-40B4-BE49-F238E27FC236}">
              <a16:creationId xmlns:a16="http://schemas.microsoft.com/office/drawing/2014/main" id="{00000000-0008-0000-0000-00007D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6073" name="TextBox 6072">
          <a:extLst>
            <a:ext uri="{FF2B5EF4-FFF2-40B4-BE49-F238E27FC236}">
              <a16:creationId xmlns:a16="http://schemas.microsoft.com/office/drawing/2014/main" id="{00000000-0008-0000-0000-00007E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6074" name="TextBox 6073">
          <a:extLst>
            <a:ext uri="{FF2B5EF4-FFF2-40B4-BE49-F238E27FC236}">
              <a16:creationId xmlns:a16="http://schemas.microsoft.com/office/drawing/2014/main" id="{00000000-0008-0000-0000-00007F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075" name="TextBox 6074">
          <a:extLst>
            <a:ext uri="{FF2B5EF4-FFF2-40B4-BE49-F238E27FC236}">
              <a16:creationId xmlns:a16="http://schemas.microsoft.com/office/drawing/2014/main" id="{00000000-0008-0000-0000-000080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076" name="TextBox 6075">
          <a:extLst>
            <a:ext uri="{FF2B5EF4-FFF2-40B4-BE49-F238E27FC236}">
              <a16:creationId xmlns:a16="http://schemas.microsoft.com/office/drawing/2014/main" id="{00000000-0008-0000-0000-000081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077" name="TextBox 6076">
          <a:extLst>
            <a:ext uri="{FF2B5EF4-FFF2-40B4-BE49-F238E27FC236}">
              <a16:creationId xmlns:a16="http://schemas.microsoft.com/office/drawing/2014/main" id="{00000000-0008-0000-0000-000082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078" name="TextBox 6077">
          <a:extLst>
            <a:ext uri="{FF2B5EF4-FFF2-40B4-BE49-F238E27FC236}">
              <a16:creationId xmlns:a16="http://schemas.microsoft.com/office/drawing/2014/main" id="{00000000-0008-0000-0000-000083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079" name="TextBox 6078">
          <a:extLst>
            <a:ext uri="{FF2B5EF4-FFF2-40B4-BE49-F238E27FC236}">
              <a16:creationId xmlns:a16="http://schemas.microsoft.com/office/drawing/2014/main" id="{00000000-0008-0000-0000-000084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080" name="TextBox 6079">
          <a:extLst>
            <a:ext uri="{FF2B5EF4-FFF2-40B4-BE49-F238E27FC236}">
              <a16:creationId xmlns:a16="http://schemas.microsoft.com/office/drawing/2014/main" id="{00000000-0008-0000-0000-000085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081" name="TextBox 6080">
          <a:extLst>
            <a:ext uri="{FF2B5EF4-FFF2-40B4-BE49-F238E27FC236}">
              <a16:creationId xmlns:a16="http://schemas.microsoft.com/office/drawing/2014/main" id="{00000000-0008-0000-0000-000086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082" name="TextBox 6081">
          <a:extLst>
            <a:ext uri="{FF2B5EF4-FFF2-40B4-BE49-F238E27FC236}">
              <a16:creationId xmlns:a16="http://schemas.microsoft.com/office/drawing/2014/main" id="{00000000-0008-0000-0000-000087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083" name="TextBox 6082">
          <a:extLst>
            <a:ext uri="{FF2B5EF4-FFF2-40B4-BE49-F238E27FC236}">
              <a16:creationId xmlns:a16="http://schemas.microsoft.com/office/drawing/2014/main" id="{00000000-0008-0000-0000-000088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084" name="TextBox 6083">
          <a:extLst>
            <a:ext uri="{FF2B5EF4-FFF2-40B4-BE49-F238E27FC236}">
              <a16:creationId xmlns:a16="http://schemas.microsoft.com/office/drawing/2014/main" id="{00000000-0008-0000-0000-000089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085" name="TextBox 6084">
          <a:extLst>
            <a:ext uri="{FF2B5EF4-FFF2-40B4-BE49-F238E27FC236}">
              <a16:creationId xmlns:a16="http://schemas.microsoft.com/office/drawing/2014/main" id="{00000000-0008-0000-0000-00008A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086" name="TextBox 6085">
          <a:extLst>
            <a:ext uri="{FF2B5EF4-FFF2-40B4-BE49-F238E27FC236}">
              <a16:creationId xmlns:a16="http://schemas.microsoft.com/office/drawing/2014/main" id="{00000000-0008-0000-0000-00008B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087" name="TextBox 6086">
          <a:extLst>
            <a:ext uri="{FF2B5EF4-FFF2-40B4-BE49-F238E27FC236}">
              <a16:creationId xmlns:a16="http://schemas.microsoft.com/office/drawing/2014/main" id="{00000000-0008-0000-0000-00008C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088" name="TextBox 6087">
          <a:extLst>
            <a:ext uri="{FF2B5EF4-FFF2-40B4-BE49-F238E27FC236}">
              <a16:creationId xmlns:a16="http://schemas.microsoft.com/office/drawing/2014/main" id="{00000000-0008-0000-0000-00008D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089" name="TextBox 6088">
          <a:extLst>
            <a:ext uri="{FF2B5EF4-FFF2-40B4-BE49-F238E27FC236}">
              <a16:creationId xmlns:a16="http://schemas.microsoft.com/office/drawing/2014/main" id="{00000000-0008-0000-0000-00008E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090" name="TextBox 6089">
          <a:extLst>
            <a:ext uri="{FF2B5EF4-FFF2-40B4-BE49-F238E27FC236}">
              <a16:creationId xmlns:a16="http://schemas.microsoft.com/office/drawing/2014/main" id="{00000000-0008-0000-0000-00008F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091" name="TextBox 6090">
          <a:extLst>
            <a:ext uri="{FF2B5EF4-FFF2-40B4-BE49-F238E27FC236}">
              <a16:creationId xmlns:a16="http://schemas.microsoft.com/office/drawing/2014/main" id="{00000000-0008-0000-0000-000090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092" name="TextBox 6091">
          <a:extLst>
            <a:ext uri="{FF2B5EF4-FFF2-40B4-BE49-F238E27FC236}">
              <a16:creationId xmlns:a16="http://schemas.microsoft.com/office/drawing/2014/main" id="{00000000-0008-0000-0000-000091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093" name="TextBox 6092">
          <a:extLst>
            <a:ext uri="{FF2B5EF4-FFF2-40B4-BE49-F238E27FC236}">
              <a16:creationId xmlns:a16="http://schemas.microsoft.com/office/drawing/2014/main" id="{00000000-0008-0000-0000-000092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094" name="TextBox 6093">
          <a:extLst>
            <a:ext uri="{FF2B5EF4-FFF2-40B4-BE49-F238E27FC236}">
              <a16:creationId xmlns:a16="http://schemas.microsoft.com/office/drawing/2014/main" id="{00000000-0008-0000-0000-000093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095" name="TextBox 6094">
          <a:extLst>
            <a:ext uri="{FF2B5EF4-FFF2-40B4-BE49-F238E27FC236}">
              <a16:creationId xmlns:a16="http://schemas.microsoft.com/office/drawing/2014/main" id="{00000000-0008-0000-0000-000094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096" name="TextBox 6095">
          <a:extLst>
            <a:ext uri="{FF2B5EF4-FFF2-40B4-BE49-F238E27FC236}">
              <a16:creationId xmlns:a16="http://schemas.microsoft.com/office/drawing/2014/main" id="{00000000-0008-0000-0000-000095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097" name="TextBox 6096">
          <a:extLst>
            <a:ext uri="{FF2B5EF4-FFF2-40B4-BE49-F238E27FC236}">
              <a16:creationId xmlns:a16="http://schemas.microsoft.com/office/drawing/2014/main" id="{00000000-0008-0000-0000-000096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098" name="TextBox 6097">
          <a:extLst>
            <a:ext uri="{FF2B5EF4-FFF2-40B4-BE49-F238E27FC236}">
              <a16:creationId xmlns:a16="http://schemas.microsoft.com/office/drawing/2014/main" id="{00000000-0008-0000-0000-000097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099" name="TextBox 6098">
          <a:extLst>
            <a:ext uri="{FF2B5EF4-FFF2-40B4-BE49-F238E27FC236}">
              <a16:creationId xmlns:a16="http://schemas.microsoft.com/office/drawing/2014/main" id="{00000000-0008-0000-0000-000098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100" name="TextBox 6099">
          <a:extLst>
            <a:ext uri="{FF2B5EF4-FFF2-40B4-BE49-F238E27FC236}">
              <a16:creationId xmlns:a16="http://schemas.microsoft.com/office/drawing/2014/main" id="{00000000-0008-0000-0000-000099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101" name="TextBox 6100">
          <a:extLst>
            <a:ext uri="{FF2B5EF4-FFF2-40B4-BE49-F238E27FC236}">
              <a16:creationId xmlns:a16="http://schemas.microsoft.com/office/drawing/2014/main" id="{00000000-0008-0000-0000-00009A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102" name="TextBox 6101">
          <a:extLst>
            <a:ext uri="{FF2B5EF4-FFF2-40B4-BE49-F238E27FC236}">
              <a16:creationId xmlns:a16="http://schemas.microsoft.com/office/drawing/2014/main" id="{00000000-0008-0000-0000-00009B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103" name="TextBox 6102">
          <a:extLst>
            <a:ext uri="{FF2B5EF4-FFF2-40B4-BE49-F238E27FC236}">
              <a16:creationId xmlns:a16="http://schemas.microsoft.com/office/drawing/2014/main" id="{00000000-0008-0000-0000-00009C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104" name="TextBox 6103">
          <a:extLst>
            <a:ext uri="{FF2B5EF4-FFF2-40B4-BE49-F238E27FC236}">
              <a16:creationId xmlns:a16="http://schemas.microsoft.com/office/drawing/2014/main" id="{00000000-0008-0000-0000-00009D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105" name="TextBox 6104">
          <a:extLst>
            <a:ext uri="{FF2B5EF4-FFF2-40B4-BE49-F238E27FC236}">
              <a16:creationId xmlns:a16="http://schemas.microsoft.com/office/drawing/2014/main" id="{00000000-0008-0000-0000-00009E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106" name="TextBox 6105">
          <a:extLst>
            <a:ext uri="{FF2B5EF4-FFF2-40B4-BE49-F238E27FC236}">
              <a16:creationId xmlns:a16="http://schemas.microsoft.com/office/drawing/2014/main" id="{00000000-0008-0000-0000-00009F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107" name="TextBox 6106">
          <a:extLst>
            <a:ext uri="{FF2B5EF4-FFF2-40B4-BE49-F238E27FC236}">
              <a16:creationId xmlns:a16="http://schemas.microsoft.com/office/drawing/2014/main" id="{00000000-0008-0000-0000-0000A0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108" name="TextBox 6107">
          <a:extLst>
            <a:ext uri="{FF2B5EF4-FFF2-40B4-BE49-F238E27FC236}">
              <a16:creationId xmlns:a16="http://schemas.microsoft.com/office/drawing/2014/main" id="{00000000-0008-0000-0000-0000A1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109" name="TextBox 6108">
          <a:extLst>
            <a:ext uri="{FF2B5EF4-FFF2-40B4-BE49-F238E27FC236}">
              <a16:creationId xmlns:a16="http://schemas.microsoft.com/office/drawing/2014/main" id="{00000000-0008-0000-0000-0000A2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110" name="TextBox 6109">
          <a:extLst>
            <a:ext uri="{FF2B5EF4-FFF2-40B4-BE49-F238E27FC236}">
              <a16:creationId xmlns:a16="http://schemas.microsoft.com/office/drawing/2014/main" id="{00000000-0008-0000-0000-0000A3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111" name="TextBox 6110">
          <a:extLst>
            <a:ext uri="{FF2B5EF4-FFF2-40B4-BE49-F238E27FC236}">
              <a16:creationId xmlns:a16="http://schemas.microsoft.com/office/drawing/2014/main" id="{00000000-0008-0000-0000-0000A4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112" name="TextBox 6111">
          <a:extLst>
            <a:ext uri="{FF2B5EF4-FFF2-40B4-BE49-F238E27FC236}">
              <a16:creationId xmlns:a16="http://schemas.microsoft.com/office/drawing/2014/main" id="{00000000-0008-0000-0000-0000A5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113" name="TextBox 6112">
          <a:extLst>
            <a:ext uri="{FF2B5EF4-FFF2-40B4-BE49-F238E27FC236}">
              <a16:creationId xmlns:a16="http://schemas.microsoft.com/office/drawing/2014/main" id="{00000000-0008-0000-0000-0000A6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114" name="TextBox 6113">
          <a:extLst>
            <a:ext uri="{FF2B5EF4-FFF2-40B4-BE49-F238E27FC236}">
              <a16:creationId xmlns:a16="http://schemas.microsoft.com/office/drawing/2014/main" id="{00000000-0008-0000-0000-0000A7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115" name="TextBox 6114">
          <a:extLst>
            <a:ext uri="{FF2B5EF4-FFF2-40B4-BE49-F238E27FC236}">
              <a16:creationId xmlns:a16="http://schemas.microsoft.com/office/drawing/2014/main" id="{00000000-0008-0000-0000-0000A8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116" name="TextBox 6115">
          <a:extLst>
            <a:ext uri="{FF2B5EF4-FFF2-40B4-BE49-F238E27FC236}">
              <a16:creationId xmlns:a16="http://schemas.microsoft.com/office/drawing/2014/main" id="{00000000-0008-0000-0000-0000A9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117" name="TextBox 6116">
          <a:extLst>
            <a:ext uri="{FF2B5EF4-FFF2-40B4-BE49-F238E27FC236}">
              <a16:creationId xmlns:a16="http://schemas.microsoft.com/office/drawing/2014/main" id="{00000000-0008-0000-0000-0000AA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118" name="TextBox 6117">
          <a:extLst>
            <a:ext uri="{FF2B5EF4-FFF2-40B4-BE49-F238E27FC236}">
              <a16:creationId xmlns:a16="http://schemas.microsoft.com/office/drawing/2014/main" id="{00000000-0008-0000-0000-0000AB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119" name="TextBox 6118">
          <a:extLst>
            <a:ext uri="{FF2B5EF4-FFF2-40B4-BE49-F238E27FC236}">
              <a16:creationId xmlns:a16="http://schemas.microsoft.com/office/drawing/2014/main" id="{00000000-0008-0000-0000-0000AC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120" name="TextBox 6119">
          <a:extLst>
            <a:ext uri="{FF2B5EF4-FFF2-40B4-BE49-F238E27FC236}">
              <a16:creationId xmlns:a16="http://schemas.microsoft.com/office/drawing/2014/main" id="{00000000-0008-0000-0000-0000AD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121" name="TextBox 6120">
          <a:extLst>
            <a:ext uri="{FF2B5EF4-FFF2-40B4-BE49-F238E27FC236}">
              <a16:creationId xmlns:a16="http://schemas.microsoft.com/office/drawing/2014/main" id="{00000000-0008-0000-0000-0000AE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122" name="TextBox 6121">
          <a:extLst>
            <a:ext uri="{FF2B5EF4-FFF2-40B4-BE49-F238E27FC236}">
              <a16:creationId xmlns:a16="http://schemas.microsoft.com/office/drawing/2014/main" id="{00000000-0008-0000-0000-0000AF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123" name="TextBox 6122">
          <a:extLst>
            <a:ext uri="{FF2B5EF4-FFF2-40B4-BE49-F238E27FC236}">
              <a16:creationId xmlns:a16="http://schemas.microsoft.com/office/drawing/2014/main" id="{00000000-0008-0000-0000-0000B0000000}"/>
            </a:ext>
          </a:extLst>
        </xdr:cNvPr>
        <xdr:cNvSpPr txBox="1"/>
      </xdr:nvSpPr>
      <xdr:spPr>
        <a:xfrm>
          <a:off x="1258062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124" name="TextBox 6123">
          <a:extLst>
            <a:ext uri="{FF2B5EF4-FFF2-40B4-BE49-F238E27FC236}">
              <a16:creationId xmlns:a16="http://schemas.microsoft.com/office/drawing/2014/main" id="{00000000-0008-0000-0000-0000B1000000}"/>
            </a:ext>
          </a:extLst>
        </xdr:cNvPr>
        <xdr:cNvSpPr txBox="1"/>
      </xdr:nvSpPr>
      <xdr:spPr>
        <a:xfrm>
          <a:off x="1258062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125" name="TextBox 6124">
          <a:extLst>
            <a:ext uri="{FF2B5EF4-FFF2-40B4-BE49-F238E27FC236}">
              <a16:creationId xmlns:a16="http://schemas.microsoft.com/office/drawing/2014/main" id="{00000000-0008-0000-0000-0000B2000000}"/>
            </a:ext>
          </a:extLst>
        </xdr:cNvPr>
        <xdr:cNvSpPr txBox="1"/>
      </xdr:nvSpPr>
      <xdr:spPr>
        <a:xfrm>
          <a:off x="1258062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126" name="TextBox 6125">
          <a:extLst>
            <a:ext uri="{FF2B5EF4-FFF2-40B4-BE49-F238E27FC236}">
              <a16:creationId xmlns:a16="http://schemas.microsoft.com/office/drawing/2014/main" id="{00000000-0008-0000-0000-0000B3000000}"/>
            </a:ext>
          </a:extLst>
        </xdr:cNvPr>
        <xdr:cNvSpPr txBox="1"/>
      </xdr:nvSpPr>
      <xdr:spPr>
        <a:xfrm>
          <a:off x="1258062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127" name="TextBox 6126">
          <a:extLst>
            <a:ext uri="{FF2B5EF4-FFF2-40B4-BE49-F238E27FC236}">
              <a16:creationId xmlns:a16="http://schemas.microsoft.com/office/drawing/2014/main" id="{00000000-0008-0000-0000-0000B4000000}"/>
            </a:ext>
          </a:extLst>
        </xdr:cNvPr>
        <xdr:cNvSpPr txBox="1"/>
      </xdr:nvSpPr>
      <xdr:spPr>
        <a:xfrm>
          <a:off x="1258062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128" name="TextBox 6127">
          <a:extLst>
            <a:ext uri="{FF2B5EF4-FFF2-40B4-BE49-F238E27FC236}">
              <a16:creationId xmlns:a16="http://schemas.microsoft.com/office/drawing/2014/main" id="{00000000-0008-0000-0000-0000B5000000}"/>
            </a:ext>
          </a:extLst>
        </xdr:cNvPr>
        <xdr:cNvSpPr txBox="1"/>
      </xdr:nvSpPr>
      <xdr:spPr>
        <a:xfrm>
          <a:off x="1258062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129" name="TextBox 6128">
          <a:extLst>
            <a:ext uri="{FF2B5EF4-FFF2-40B4-BE49-F238E27FC236}">
              <a16:creationId xmlns:a16="http://schemas.microsoft.com/office/drawing/2014/main" id="{00000000-0008-0000-0000-0000B6000000}"/>
            </a:ext>
          </a:extLst>
        </xdr:cNvPr>
        <xdr:cNvSpPr txBox="1"/>
      </xdr:nvSpPr>
      <xdr:spPr>
        <a:xfrm>
          <a:off x="1258062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130" name="TextBox 6129">
          <a:extLst>
            <a:ext uri="{FF2B5EF4-FFF2-40B4-BE49-F238E27FC236}">
              <a16:creationId xmlns:a16="http://schemas.microsoft.com/office/drawing/2014/main" id="{00000000-0008-0000-0000-0000B7000000}"/>
            </a:ext>
          </a:extLst>
        </xdr:cNvPr>
        <xdr:cNvSpPr txBox="1"/>
      </xdr:nvSpPr>
      <xdr:spPr>
        <a:xfrm>
          <a:off x="1258062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131" name="TextBox 6130">
          <a:extLst>
            <a:ext uri="{FF2B5EF4-FFF2-40B4-BE49-F238E27FC236}">
              <a16:creationId xmlns:a16="http://schemas.microsoft.com/office/drawing/2014/main" id="{00000000-0008-0000-0000-0000B8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132" name="TextBox 6131">
          <a:extLst>
            <a:ext uri="{FF2B5EF4-FFF2-40B4-BE49-F238E27FC236}">
              <a16:creationId xmlns:a16="http://schemas.microsoft.com/office/drawing/2014/main" id="{00000000-0008-0000-0000-0000B9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133" name="TextBox 6132">
          <a:extLst>
            <a:ext uri="{FF2B5EF4-FFF2-40B4-BE49-F238E27FC236}">
              <a16:creationId xmlns:a16="http://schemas.microsoft.com/office/drawing/2014/main" id="{00000000-0008-0000-0000-0000BA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134" name="TextBox 6133">
          <a:extLst>
            <a:ext uri="{FF2B5EF4-FFF2-40B4-BE49-F238E27FC236}">
              <a16:creationId xmlns:a16="http://schemas.microsoft.com/office/drawing/2014/main" id="{00000000-0008-0000-0000-0000BB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135" name="TextBox 6134">
          <a:extLst>
            <a:ext uri="{FF2B5EF4-FFF2-40B4-BE49-F238E27FC236}">
              <a16:creationId xmlns:a16="http://schemas.microsoft.com/office/drawing/2014/main" id="{00000000-0008-0000-0000-0000BC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136" name="TextBox 6135">
          <a:extLst>
            <a:ext uri="{FF2B5EF4-FFF2-40B4-BE49-F238E27FC236}">
              <a16:creationId xmlns:a16="http://schemas.microsoft.com/office/drawing/2014/main" id="{00000000-0008-0000-0000-0000BD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137" name="TextBox 6136">
          <a:extLst>
            <a:ext uri="{FF2B5EF4-FFF2-40B4-BE49-F238E27FC236}">
              <a16:creationId xmlns:a16="http://schemas.microsoft.com/office/drawing/2014/main" id="{00000000-0008-0000-0000-0000BE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138" name="TextBox 6137">
          <a:extLst>
            <a:ext uri="{FF2B5EF4-FFF2-40B4-BE49-F238E27FC236}">
              <a16:creationId xmlns:a16="http://schemas.microsoft.com/office/drawing/2014/main" id="{00000000-0008-0000-0000-0000BF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139" name="TextBox 6138">
          <a:extLst>
            <a:ext uri="{FF2B5EF4-FFF2-40B4-BE49-F238E27FC236}">
              <a16:creationId xmlns:a16="http://schemas.microsoft.com/office/drawing/2014/main" id="{00000000-0008-0000-0000-0000C0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140" name="TextBox 6139">
          <a:extLst>
            <a:ext uri="{FF2B5EF4-FFF2-40B4-BE49-F238E27FC236}">
              <a16:creationId xmlns:a16="http://schemas.microsoft.com/office/drawing/2014/main" id="{00000000-0008-0000-0000-0000C1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141" name="TextBox 6140">
          <a:extLst>
            <a:ext uri="{FF2B5EF4-FFF2-40B4-BE49-F238E27FC236}">
              <a16:creationId xmlns:a16="http://schemas.microsoft.com/office/drawing/2014/main" id="{00000000-0008-0000-0000-0000C2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142" name="TextBox 6141">
          <a:extLst>
            <a:ext uri="{FF2B5EF4-FFF2-40B4-BE49-F238E27FC236}">
              <a16:creationId xmlns:a16="http://schemas.microsoft.com/office/drawing/2014/main" id="{00000000-0008-0000-0000-0000C3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143" name="TextBox 6142">
          <a:extLst>
            <a:ext uri="{FF2B5EF4-FFF2-40B4-BE49-F238E27FC236}">
              <a16:creationId xmlns:a16="http://schemas.microsoft.com/office/drawing/2014/main" id="{00000000-0008-0000-0000-0000C4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144" name="TextBox 6143">
          <a:extLst>
            <a:ext uri="{FF2B5EF4-FFF2-40B4-BE49-F238E27FC236}">
              <a16:creationId xmlns:a16="http://schemas.microsoft.com/office/drawing/2014/main" id="{00000000-0008-0000-0000-0000C5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145" name="TextBox 6144">
          <a:extLst>
            <a:ext uri="{FF2B5EF4-FFF2-40B4-BE49-F238E27FC236}">
              <a16:creationId xmlns:a16="http://schemas.microsoft.com/office/drawing/2014/main" id="{00000000-0008-0000-0000-0000C6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146" name="TextBox 6145">
          <a:extLst>
            <a:ext uri="{FF2B5EF4-FFF2-40B4-BE49-F238E27FC236}">
              <a16:creationId xmlns:a16="http://schemas.microsoft.com/office/drawing/2014/main" id="{00000000-0008-0000-0000-0000C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147" name="TextBox 6146">
          <a:extLst>
            <a:ext uri="{FF2B5EF4-FFF2-40B4-BE49-F238E27FC236}">
              <a16:creationId xmlns:a16="http://schemas.microsoft.com/office/drawing/2014/main" id="{00000000-0008-0000-0000-0000C8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148" name="TextBox 6147">
          <a:extLst>
            <a:ext uri="{FF2B5EF4-FFF2-40B4-BE49-F238E27FC236}">
              <a16:creationId xmlns:a16="http://schemas.microsoft.com/office/drawing/2014/main" id="{00000000-0008-0000-0000-0000C9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149" name="TextBox 6148">
          <a:extLst>
            <a:ext uri="{FF2B5EF4-FFF2-40B4-BE49-F238E27FC236}">
              <a16:creationId xmlns:a16="http://schemas.microsoft.com/office/drawing/2014/main" id="{00000000-0008-0000-0000-0000CA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150" name="TextBox 6149">
          <a:extLst>
            <a:ext uri="{FF2B5EF4-FFF2-40B4-BE49-F238E27FC236}">
              <a16:creationId xmlns:a16="http://schemas.microsoft.com/office/drawing/2014/main" id="{00000000-0008-0000-0000-0000CB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151" name="TextBox 6150">
          <a:extLst>
            <a:ext uri="{FF2B5EF4-FFF2-40B4-BE49-F238E27FC236}">
              <a16:creationId xmlns:a16="http://schemas.microsoft.com/office/drawing/2014/main" id="{00000000-0008-0000-0000-0000CC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152" name="TextBox 6151">
          <a:extLst>
            <a:ext uri="{FF2B5EF4-FFF2-40B4-BE49-F238E27FC236}">
              <a16:creationId xmlns:a16="http://schemas.microsoft.com/office/drawing/2014/main" id="{00000000-0008-0000-0000-0000CD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153" name="TextBox 6152">
          <a:extLst>
            <a:ext uri="{FF2B5EF4-FFF2-40B4-BE49-F238E27FC236}">
              <a16:creationId xmlns:a16="http://schemas.microsoft.com/office/drawing/2014/main" id="{00000000-0008-0000-0000-0000CE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154" name="TextBox 6153">
          <a:extLst>
            <a:ext uri="{FF2B5EF4-FFF2-40B4-BE49-F238E27FC236}">
              <a16:creationId xmlns:a16="http://schemas.microsoft.com/office/drawing/2014/main" id="{00000000-0008-0000-0000-0000CF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155" name="TextBox 6154">
          <a:extLst>
            <a:ext uri="{FF2B5EF4-FFF2-40B4-BE49-F238E27FC236}">
              <a16:creationId xmlns:a16="http://schemas.microsoft.com/office/drawing/2014/main" id="{00000000-0008-0000-0000-0000D0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156" name="TextBox 6155">
          <a:extLst>
            <a:ext uri="{FF2B5EF4-FFF2-40B4-BE49-F238E27FC236}">
              <a16:creationId xmlns:a16="http://schemas.microsoft.com/office/drawing/2014/main" id="{00000000-0008-0000-0000-0000D1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157" name="TextBox 6156">
          <a:extLst>
            <a:ext uri="{FF2B5EF4-FFF2-40B4-BE49-F238E27FC236}">
              <a16:creationId xmlns:a16="http://schemas.microsoft.com/office/drawing/2014/main" id="{00000000-0008-0000-0000-0000D2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158" name="TextBox 6157">
          <a:extLst>
            <a:ext uri="{FF2B5EF4-FFF2-40B4-BE49-F238E27FC236}">
              <a16:creationId xmlns:a16="http://schemas.microsoft.com/office/drawing/2014/main" id="{00000000-0008-0000-0000-0000D3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159" name="TextBox 6158">
          <a:extLst>
            <a:ext uri="{FF2B5EF4-FFF2-40B4-BE49-F238E27FC236}">
              <a16:creationId xmlns:a16="http://schemas.microsoft.com/office/drawing/2014/main" id="{00000000-0008-0000-0000-0000D4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160" name="TextBox 6159">
          <a:extLst>
            <a:ext uri="{FF2B5EF4-FFF2-40B4-BE49-F238E27FC236}">
              <a16:creationId xmlns:a16="http://schemas.microsoft.com/office/drawing/2014/main" id="{00000000-0008-0000-0000-0000D5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161" name="TextBox 6160">
          <a:extLst>
            <a:ext uri="{FF2B5EF4-FFF2-40B4-BE49-F238E27FC236}">
              <a16:creationId xmlns:a16="http://schemas.microsoft.com/office/drawing/2014/main" id="{00000000-0008-0000-0000-0000D6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162" name="TextBox 6161">
          <a:extLst>
            <a:ext uri="{FF2B5EF4-FFF2-40B4-BE49-F238E27FC236}">
              <a16:creationId xmlns:a16="http://schemas.microsoft.com/office/drawing/2014/main" id="{00000000-0008-0000-0000-0000D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163" name="TextBox 6162">
          <a:extLst>
            <a:ext uri="{FF2B5EF4-FFF2-40B4-BE49-F238E27FC236}">
              <a16:creationId xmlns:a16="http://schemas.microsoft.com/office/drawing/2014/main" id="{00000000-0008-0000-0000-0000D8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164" name="TextBox 6163">
          <a:extLst>
            <a:ext uri="{FF2B5EF4-FFF2-40B4-BE49-F238E27FC236}">
              <a16:creationId xmlns:a16="http://schemas.microsoft.com/office/drawing/2014/main" id="{00000000-0008-0000-0000-0000D9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165" name="TextBox 6164">
          <a:extLst>
            <a:ext uri="{FF2B5EF4-FFF2-40B4-BE49-F238E27FC236}">
              <a16:creationId xmlns:a16="http://schemas.microsoft.com/office/drawing/2014/main" id="{00000000-0008-0000-0000-0000DA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166" name="TextBox 6165">
          <a:extLst>
            <a:ext uri="{FF2B5EF4-FFF2-40B4-BE49-F238E27FC236}">
              <a16:creationId xmlns:a16="http://schemas.microsoft.com/office/drawing/2014/main" id="{00000000-0008-0000-0000-0000DB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167" name="TextBox 6166">
          <a:extLst>
            <a:ext uri="{FF2B5EF4-FFF2-40B4-BE49-F238E27FC236}">
              <a16:creationId xmlns:a16="http://schemas.microsoft.com/office/drawing/2014/main" id="{00000000-0008-0000-0000-0000DC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168" name="TextBox 6167">
          <a:extLst>
            <a:ext uri="{FF2B5EF4-FFF2-40B4-BE49-F238E27FC236}">
              <a16:creationId xmlns:a16="http://schemas.microsoft.com/office/drawing/2014/main" id="{00000000-0008-0000-0000-0000DD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169" name="TextBox 6168">
          <a:extLst>
            <a:ext uri="{FF2B5EF4-FFF2-40B4-BE49-F238E27FC236}">
              <a16:creationId xmlns:a16="http://schemas.microsoft.com/office/drawing/2014/main" id="{00000000-0008-0000-0000-0000DE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170" name="TextBox 6169">
          <a:extLst>
            <a:ext uri="{FF2B5EF4-FFF2-40B4-BE49-F238E27FC236}">
              <a16:creationId xmlns:a16="http://schemas.microsoft.com/office/drawing/2014/main" id="{00000000-0008-0000-0000-0000DF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171" name="TextBox 6170">
          <a:extLst>
            <a:ext uri="{FF2B5EF4-FFF2-40B4-BE49-F238E27FC236}">
              <a16:creationId xmlns:a16="http://schemas.microsoft.com/office/drawing/2014/main" id="{00000000-0008-0000-0000-0000E0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172" name="TextBox 6171">
          <a:extLst>
            <a:ext uri="{FF2B5EF4-FFF2-40B4-BE49-F238E27FC236}">
              <a16:creationId xmlns:a16="http://schemas.microsoft.com/office/drawing/2014/main" id="{00000000-0008-0000-0000-0000E1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173" name="TextBox 6172">
          <a:extLst>
            <a:ext uri="{FF2B5EF4-FFF2-40B4-BE49-F238E27FC236}">
              <a16:creationId xmlns:a16="http://schemas.microsoft.com/office/drawing/2014/main" id="{00000000-0008-0000-0000-0000E2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174" name="TextBox 6173">
          <a:extLst>
            <a:ext uri="{FF2B5EF4-FFF2-40B4-BE49-F238E27FC236}">
              <a16:creationId xmlns:a16="http://schemas.microsoft.com/office/drawing/2014/main" id="{00000000-0008-0000-0000-0000E3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175" name="TextBox 6174">
          <a:extLst>
            <a:ext uri="{FF2B5EF4-FFF2-40B4-BE49-F238E27FC236}">
              <a16:creationId xmlns:a16="http://schemas.microsoft.com/office/drawing/2014/main" id="{00000000-0008-0000-0000-0000E4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176" name="TextBox 6175">
          <a:extLst>
            <a:ext uri="{FF2B5EF4-FFF2-40B4-BE49-F238E27FC236}">
              <a16:creationId xmlns:a16="http://schemas.microsoft.com/office/drawing/2014/main" id="{00000000-0008-0000-0000-0000E5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177" name="TextBox 6176">
          <a:extLst>
            <a:ext uri="{FF2B5EF4-FFF2-40B4-BE49-F238E27FC236}">
              <a16:creationId xmlns:a16="http://schemas.microsoft.com/office/drawing/2014/main" id="{00000000-0008-0000-0000-0000E6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178" name="TextBox 6177">
          <a:extLst>
            <a:ext uri="{FF2B5EF4-FFF2-40B4-BE49-F238E27FC236}">
              <a16:creationId xmlns:a16="http://schemas.microsoft.com/office/drawing/2014/main" id="{00000000-0008-0000-0000-0000E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179" name="TextBox 6178">
          <a:extLst>
            <a:ext uri="{FF2B5EF4-FFF2-40B4-BE49-F238E27FC236}">
              <a16:creationId xmlns:a16="http://schemas.microsoft.com/office/drawing/2014/main" id="{00000000-0008-0000-0000-0000E8000000}"/>
            </a:ext>
          </a:extLst>
        </xdr:cNvPr>
        <xdr:cNvSpPr txBox="1"/>
      </xdr:nvSpPr>
      <xdr:spPr>
        <a:xfrm>
          <a:off x="1258062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180" name="TextBox 6179">
          <a:extLst>
            <a:ext uri="{FF2B5EF4-FFF2-40B4-BE49-F238E27FC236}">
              <a16:creationId xmlns:a16="http://schemas.microsoft.com/office/drawing/2014/main" id="{00000000-0008-0000-0000-0000E9000000}"/>
            </a:ext>
          </a:extLst>
        </xdr:cNvPr>
        <xdr:cNvSpPr txBox="1"/>
      </xdr:nvSpPr>
      <xdr:spPr>
        <a:xfrm>
          <a:off x="1258062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181" name="TextBox 6180">
          <a:extLst>
            <a:ext uri="{FF2B5EF4-FFF2-40B4-BE49-F238E27FC236}">
              <a16:creationId xmlns:a16="http://schemas.microsoft.com/office/drawing/2014/main" id="{00000000-0008-0000-0000-0000EA000000}"/>
            </a:ext>
          </a:extLst>
        </xdr:cNvPr>
        <xdr:cNvSpPr txBox="1"/>
      </xdr:nvSpPr>
      <xdr:spPr>
        <a:xfrm>
          <a:off x="1258062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182" name="TextBox 6181">
          <a:extLst>
            <a:ext uri="{FF2B5EF4-FFF2-40B4-BE49-F238E27FC236}">
              <a16:creationId xmlns:a16="http://schemas.microsoft.com/office/drawing/2014/main" id="{00000000-0008-0000-0000-0000EB000000}"/>
            </a:ext>
          </a:extLst>
        </xdr:cNvPr>
        <xdr:cNvSpPr txBox="1"/>
      </xdr:nvSpPr>
      <xdr:spPr>
        <a:xfrm>
          <a:off x="1258062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183" name="TextBox 6182">
          <a:extLst>
            <a:ext uri="{FF2B5EF4-FFF2-40B4-BE49-F238E27FC236}">
              <a16:creationId xmlns:a16="http://schemas.microsoft.com/office/drawing/2014/main" id="{00000000-0008-0000-0000-0000EC000000}"/>
            </a:ext>
          </a:extLst>
        </xdr:cNvPr>
        <xdr:cNvSpPr txBox="1"/>
      </xdr:nvSpPr>
      <xdr:spPr>
        <a:xfrm>
          <a:off x="1258062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184" name="TextBox 6183">
          <a:extLst>
            <a:ext uri="{FF2B5EF4-FFF2-40B4-BE49-F238E27FC236}">
              <a16:creationId xmlns:a16="http://schemas.microsoft.com/office/drawing/2014/main" id="{00000000-0008-0000-0000-0000ED000000}"/>
            </a:ext>
          </a:extLst>
        </xdr:cNvPr>
        <xdr:cNvSpPr txBox="1"/>
      </xdr:nvSpPr>
      <xdr:spPr>
        <a:xfrm>
          <a:off x="1258062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185" name="TextBox 6184">
          <a:extLst>
            <a:ext uri="{FF2B5EF4-FFF2-40B4-BE49-F238E27FC236}">
              <a16:creationId xmlns:a16="http://schemas.microsoft.com/office/drawing/2014/main" id="{00000000-0008-0000-0000-0000EE000000}"/>
            </a:ext>
          </a:extLst>
        </xdr:cNvPr>
        <xdr:cNvSpPr txBox="1"/>
      </xdr:nvSpPr>
      <xdr:spPr>
        <a:xfrm>
          <a:off x="1258062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186" name="TextBox 6185">
          <a:extLst>
            <a:ext uri="{FF2B5EF4-FFF2-40B4-BE49-F238E27FC236}">
              <a16:creationId xmlns:a16="http://schemas.microsoft.com/office/drawing/2014/main" id="{00000000-0008-0000-0000-0000EF000000}"/>
            </a:ext>
          </a:extLst>
        </xdr:cNvPr>
        <xdr:cNvSpPr txBox="1"/>
      </xdr:nvSpPr>
      <xdr:spPr>
        <a:xfrm>
          <a:off x="1258062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187" name="TextBox 6186">
          <a:extLst>
            <a:ext uri="{FF2B5EF4-FFF2-40B4-BE49-F238E27FC236}">
              <a16:creationId xmlns:a16="http://schemas.microsoft.com/office/drawing/2014/main" id="{00000000-0008-0000-0000-0000F0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188" name="TextBox 6187">
          <a:extLst>
            <a:ext uri="{FF2B5EF4-FFF2-40B4-BE49-F238E27FC236}">
              <a16:creationId xmlns:a16="http://schemas.microsoft.com/office/drawing/2014/main" id="{00000000-0008-0000-0000-0000F1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189" name="TextBox 6188">
          <a:extLst>
            <a:ext uri="{FF2B5EF4-FFF2-40B4-BE49-F238E27FC236}">
              <a16:creationId xmlns:a16="http://schemas.microsoft.com/office/drawing/2014/main" id="{00000000-0008-0000-0000-0000F2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190" name="TextBox 6189">
          <a:extLst>
            <a:ext uri="{FF2B5EF4-FFF2-40B4-BE49-F238E27FC236}">
              <a16:creationId xmlns:a16="http://schemas.microsoft.com/office/drawing/2014/main" id="{00000000-0008-0000-0000-0000F3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191" name="TextBox 6190">
          <a:extLst>
            <a:ext uri="{FF2B5EF4-FFF2-40B4-BE49-F238E27FC236}">
              <a16:creationId xmlns:a16="http://schemas.microsoft.com/office/drawing/2014/main" id="{00000000-0008-0000-0000-0000F4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192" name="TextBox 6191">
          <a:extLst>
            <a:ext uri="{FF2B5EF4-FFF2-40B4-BE49-F238E27FC236}">
              <a16:creationId xmlns:a16="http://schemas.microsoft.com/office/drawing/2014/main" id="{00000000-0008-0000-0000-0000F5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193" name="TextBox 6192">
          <a:extLst>
            <a:ext uri="{FF2B5EF4-FFF2-40B4-BE49-F238E27FC236}">
              <a16:creationId xmlns:a16="http://schemas.microsoft.com/office/drawing/2014/main" id="{00000000-0008-0000-0000-0000F6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194" name="TextBox 6193">
          <a:extLst>
            <a:ext uri="{FF2B5EF4-FFF2-40B4-BE49-F238E27FC236}">
              <a16:creationId xmlns:a16="http://schemas.microsoft.com/office/drawing/2014/main" id="{00000000-0008-0000-0000-0000F7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195" name="TextBox 6194">
          <a:extLst>
            <a:ext uri="{FF2B5EF4-FFF2-40B4-BE49-F238E27FC236}">
              <a16:creationId xmlns:a16="http://schemas.microsoft.com/office/drawing/2014/main" id="{00000000-0008-0000-0000-0000F8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196" name="TextBox 6195">
          <a:extLst>
            <a:ext uri="{FF2B5EF4-FFF2-40B4-BE49-F238E27FC236}">
              <a16:creationId xmlns:a16="http://schemas.microsoft.com/office/drawing/2014/main" id="{00000000-0008-0000-0000-0000F9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197" name="TextBox 6196">
          <a:extLst>
            <a:ext uri="{FF2B5EF4-FFF2-40B4-BE49-F238E27FC236}">
              <a16:creationId xmlns:a16="http://schemas.microsoft.com/office/drawing/2014/main" id="{00000000-0008-0000-0000-0000FA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198" name="TextBox 6197">
          <a:extLst>
            <a:ext uri="{FF2B5EF4-FFF2-40B4-BE49-F238E27FC236}">
              <a16:creationId xmlns:a16="http://schemas.microsoft.com/office/drawing/2014/main" id="{00000000-0008-0000-0000-0000FB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199" name="TextBox 6198">
          <a:extLst>
            <a:ext uri="{FF2B5EF4-FFF2-40B4-BE49-F238E27FC236}">
              <a16:creationId xmlns:a16="http://schemas.microsoft.com/office/drawing/2014/main" id="{00000000-0008-0000-0000-0000FC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200" name="TextBox 6199">
          <a:extLst>
            <a:ext uri="{FF2B5EF4-FFF2-40B4-BE49-F238E27FC236}">
              <a16:creationId xmlns:a16="http://schemas.microsoft.com/office/drawing/2014/main" id="{00000000-0008-0000-0000-0000FD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201" name="TextBox 6200">
          <a:extLst>
            <a:ext uri="{FF2B5EF4-FFF2-40B4-BE49-F238E27FC236}">
              <a16:creationId xmlns:a16="http://schemas.microsoft.com/office/drawing/2014/main" id="{00000000-0008-0000-0000-0000FE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202" name="TextBox 6201">
          <a:extLst>
            <a:ext uri="{FF2B5EF4-FFF2-40B4-BE49-F238E27FC236}">
              <a16:creationId xmlns:a16="http://schemas.microsoft.com/office/drawing/2014/main" id="{00000000-0008-0000-0000-0000FF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203" name="TextBox 6202">
          <a:extLst>
            <a:ext uri="{FF2B5EF4-FFF2-40B4-BE49-F238E27FC236}">
              <a16:creationId xmlns:a16="http://schemas.microsoft.com/office/drawing/2014/main" id="{00000000-0008-0000-0000-00000001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204" name="TextBox 6203">
          <a:extLst>
            <a:ext uri="{FF2B5EF4-FFF2-40B4-BE49-F238E27FC236}">
              <a16:creationId xmlns:a16="http://schemas.microsoft.com/office/drawing/2014/main" id="{00000000-0008-0000-0000-00000101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205" name="TextBox 6204">
          <a:extLst>
            <a:ext uri="{FF2B5EF4-FFF2-40B4-BE49-F238E27FC236}">
              <a16:creationId xmlns:a16="http://schemas.microsoft.com/office/drawing/2014/main" id="{00000000-0008-0000-0000-00000201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206" name="TextBox 6205">
          <a:extLst>
            <a:ext uri="{FF2B5EF4-FFF2-40B4-BE49-F238E27FC236}">
              <a16:creationId xmlns:a16="http://schemas.microsoft.com/office/drawing/2014/main" id="{00000000-0008-0000-0000-00000301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207" name="TextBox 6206">
          <a:extLst>
            <a:ext uri="{FF2B5EF4-FFF2-40B4-BE49-F238E27FC236}">
              <a16:creationId xmlns:a16="http://schemas.microsoft.com/office/drawing/2014/main" id="{00000000-0008-0000-0000-00000401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208" name="TextBox 6207">
          <a:extLst>
            <a:ext uri="{FF2B5EF4-FFF2-40B4-BE49-F238E27FC236}">
              <a16:creationId xmlns:a16="http://schemas.microsoft.com/office/drawing/2014/main" id="{00000000-0008-0000-0000-00000501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209" name="TextBox 6208">
          <a:extLst>
            <a:ext uri="{FF2B5EF4-FFF2-40B4-BE49-F238E27FC236}">
              <a16:creationId xmlns:a16="http://schemas.microsoft.com/office/drawing/2014/main" id="{00000000-0008-0000-0000-00000601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210" name="TextBox 6209">
          <a:extLst>
            <a:ext uri="{FF2B5EF4-FFF2-40B4-BE49-F238E27FC236}">
              <a16:creationId xmlns:a16="http://schemas.microsoft.com/office/drawing/2014/main" id="{00000000-0008-0000-0000-00000701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211" name="TextBox 6210">
          <a:extLst>
            <a:ext uri="{FF2B5EF4-FFF2-40B4-BE49-F238E27FC236}">
              <a16:creationId xmlns:a16="http://schemas.microsoft.com/office/drawing/2014/main" id="{00000000-0008-0000-0000-00000801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212" name="TextBox 6211">
          <a:extLst>
            <a:ext uri="{FF2B5EF4-FFF2-40B4-BE49-F238E27FC236}">
              <a16:creationId xmlns:a16="http://schemas.microsoft.com/office/drawing/2014/main" id="{00000000-0008-0000-0000-00000901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213" name="TextBox 6212">
          <a:extLst>
            <a:ext uri="{FF2B5EF4-FFF2-40B4-BE49-F238E27FC236}">
              <a16:creationId xmlns:a16="http://schemas.microsoft.com/office/drawing/2014/main" id="{00000000-0008-0000-0000-00000A01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214" name="TextBox 6213">
          <a:extLst>
            <a:ext uri="{FF2B5EF4-FFF2-40B4-BE49-F238E27FC236}">
              <a16:creationId xmlns:a16="http://schemas.microsoft.com/office/drawing/2014/main" id="{00000000-0008-0000-0000-00000B01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215" name="TextBox 6214">
          <a:extLst>
            <a:ext uri="{FF2B5EF4-FFF2-40B4-BE49-F238E27FC236}">
              <a16:creationId xmlns:a16="http://schemas.microsoft.com/office/drawing/2014/main" id="{00000000-0008-0000-0000-00000C01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216" name="TextBox 6215">
          <a:extLst>
            <a:ext uri="{FF2B5EF4-FFF2-40B4-BE49-F238E27FC236}">
              <a16:creationId xmlns:a16="http://schemas.microsoft.com/office/drawing/2014/main" id="{00000000-0008-0000-0000-00000D01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217" name="TextBox 6216">
          <a:extLst>
            <a:ext uri="{FF2B5EF4-FFF2-40B4-BE49-F238E27FC236}">
              <a16:creationId xmlns:a16="http://schemas.microsoft.com/office/drawing/2014/main" id="{00000000-0008-0000-0000-00000E01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218" name="TextBox 6217">
          <a:extLst>
            <a:ext uri="{FF2B5EF4-FFF2-40B4-BE49-F238E27FC236}">
              <a16:creationId xmlns:a16="http://schemas.microsoft.com/office/drawing/2014/main" id="{00000000-0008-0000-0000-00000F01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219" name="TextBox 6218">
          <a:extLst>
            <a:ext uri="{FF2B5EF4-FFF2-40B4-BE49-F238E27FC236}">
              <a16:creationId xmlns:a16="http://schemas.microsoft.com/office/drawing/2014/main" id="{00000000-0008-0000-0000-00001001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220" name="TextBox 6219">
          <a:extLst>
            <a:ext uri="{FF2B5EF4-FFF2-40B4-BE49-F238E27FC236}">
              <a16:creationId xmlns:a16="http://schemas.microsoft.com/office/drawing/2014/main" id="{00000000-0008-0000-0000-00001101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221" name="TextBox 6220">
          <a:extLst>
            <a:ext uri="{FF2B5EF4-FFF2-40B4-BE49-F238E27FC236}">
              <a16:creationId xmlns:a16="http://schemas.microsoft.com/office/drawing/2014/main" id="{00000000-0008-0000-0000-00001201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222" name="TextBox 6221">
          <a:extLst>
            <a:ext uri="{FF2B5EF4-FFF2-40B4-BE49-F238E27FC236}">
              <a16:creationId xmlns:a16="http://schemas.microsoft.com/office/drawing/2014/main" id="{00000000-0008-0000-0000-00001301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223" name="TextBox 6222">
          <a:extLst>
            <a:ext uri="{FF2B5EF4-FFF2-40B4-BE49-F238E27FC236}">
              <a16:creationId xmlns:a16="http://schemas.microsoft.com/office/drawing/2014/main" id="{00000000-0008-0000-0000-00001401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224" name="TextBox 6223">
          <a:extLst>
            <a:ext uri="{FF2B5EF4-FFF2-40B4-BE49-F238E27FC236}">
              <a16:creationId xmlns:a16="http://schemas.microsoft.com/office/drawing/2014/main" id="{00000000-0008-0000-0000-00001501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225" name="TextBox 6224">
          <a:extLst>
            <a:ext uri="{FF2B5EF4-FFF2-40B4-BE49-F238E27FC236}">
              <a16:creationId xmlns:a16="http://schemas.microsoft.com/office/drawing/2014/main" id="{00000000-0008-0000-0000-00001601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226" name="TextBox 6225">
          <a:extLst>
            <a:ext uri="{FF2B5EF4-FFF2-40B4-BE49-F238E27FC236}">
              <a16:creationId xmlns:a16="http://schemas.microsoft.com/office/drawing/2014/main" id="{00000000-0008-0000-0000-00001701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227" name="TextBox 6226">
          <a:extLst>
            <a:ext uri="{FF2B5EF4-FFF2-40B4-BE49-F238E27FC236}">
              <a16:creationId xmlns:a16="http://schemas.microsoft.com/office/drawing/2014/main" id="{00000000-0008-0000-0000-00001801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228" name="TextBox 6227">
          <a:extLst>
            <a:ext uri="{FF2B5EF4-FFF2-40B4-BE49-F238E27FC236}">
              <a16:creationId xmlns:a16="http://schemas.microsoft.com/office/drawing/2014/main" id="{00000000-0008-0000-0000-00001901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229" name="TextBox 6228">
          <a:extLst>
            <a:ext uri="{FF2B5EF4-FFF2-40B4-BE49-F238E27FC236}">
              <a16:creationId xmlns:a16="http://schemas.microsoft.com/office/drawing/2014/main" id="{00000000-0008-0000-0000-00001A01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230" name="TextBox 6229">
          <a:extLst>
            <a:ext uri="{FF2B5EF4-FFF2-40B4-BE49-F238E27FC236}">
              <a16:creationId xmlns:a16="http://schemas.microsoft.com/office/drawing/2014/main" id="{00000000-0008-0000-0000-00001B01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231" name="TextBox 6230">
          <a:extLst>
            <a:ext uri="{FF2B5EF4-FFF2-40B4-BE49-F238E27FC236}">
              <a16:creationId xmlns:a16="http://schemas.microsoft.com/office/drawing/2014/main" id="{00000000-0008-0000-0000-00001C01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232" name="TextBox 6231">
          <a:extLst>
            <a:ext uri="{FF2B5EF4-FFF2-40B4-BE49-F238E27FC236}">
              <a16:creationId xmlns:a16="http://schemas.microsoft.com/office/drawing/2014/main" id="{00000000-0008-0000-0000-00001D01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233" name="TextBox 6232">
          <a:extLst>
            <a:ext uri="{FF2B5EF4-FFF2-40B4-BE49-F238E27FC236}">
              <a16:creationId xmlns:a16="http://schemas.microsoft.com/office/drawing/2014/main" id="{00000000-0008-0000-0000-00001E01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234" name="TextBox 6233">
          <a:extLst>
            <a:ext uri="{FF2B5EF4-FFF2-40B4-BE49-F238E27FC236}">
              <a16:creationId xmlns:a16="http://schemas.microsoft.com/office/drawing/2014/main" id="{00000000-0008-0000-0000-00001F01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235" name="TextBox 6234">
          <a:extLst>
            <a:ext uri="{FF2B5EF4-FFF2-40B4-BE49-F238E27FC236}">
              <a16:creationId xmlns:a16="http://schemas.microsoft.com/office/drawing/2014/main" id="{00000000-0008-0000-0000-00002001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236" name="TextBox 6235">
          <a:extLst>
            <a:ext uri="{FF2B5EF4-FFF2-40B4-BE49-F238E27FC236}">
              <a16:creationId xmlns:a16="http://schemas.microsoft.com/office/drawing/2014/main" id="{00000000-0008-0000-0000-00002101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237" name="TextBox 6236">
          <a:extLst>
            <a:ext uri="{FF2B5EF4-FFF2-40B4-BE49-F238E27FC236}">
              <a16:creationId xmlns:a16="http://schemas.microsoft.com/office/drawing/2014/main" id="{00000000-0008-0000-0000-00002201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238" name="TextBox 6237">
          <a:extLst>
            <a:ext uri="{FF2B5EF4-FFF2-40B4-BE49-F238E27FC236}">
              <a16:creationId xmlns:a16="http://schemas.microsoft.com/office/drawing/2014/main" id="{00000000-0008-0000-0000-00002301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239" name="TextBox 6238">
          <a:extLst>
            <a:ext uri="{FF2B5EF4-FFF2-40B4-BE49-F238E27FC236}">
              <a16:creationId xmlns:a16="http://schemas.microsoft.com/office/drawing/2014/main" id="{00000000-0008-0000-0000-00002401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240" name="TextBox 6239">
          <a:extLst>
            <a:ext uri="{FF2B5EF4-FFF2-40B4-BE49-F238E27FC236}">
              <a16:creationId xmlns:a16="http://schemas.microsoft.com/office/drawing/2014/main" id="{00000000-0008-0000-0000-00002501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241" name="TextBox 6240">
          <a:extLst>
            <a:ext uri="{FF2B5EF4-FFF2-40B4-BE49-F238E27FC236}">
              <a16:creationId xmlns:a16="http://schemas.microsoft.com/office/drawing/2014/main" id="{00000000-0008-0000-0000-000026010000}"/>
            </a:ext>
          </a:extLst>
        </xdr:cNvPr>
        <xdr:cNvSpPr txBox="1"/>
      </xdr:nvSpPr>
      <xdr:spPr>
        <a:xfrm>
          <a:off x="1258062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242" name="TextBox 6241">
          <a:extLst>
            <a:ext uri="{FF2B5EF4-FFF2-40B4-BE49-F238E27FC236}">
              <a16:creationId xmlns:a16="http://schemas.microsoft.com/office/drawing/2014/main" id="{00000000-0008-0000-0000-000027010000}"/>
            </a:ext>
          </a:extLst>
        </xdr:cNvPr>
        <xdr:cNvSpPr txBox="1"/>
      </xdr:nvSpPr>
      <xdr:spPr>
        <a:xfrm>
          <a:off x="1258062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243" name="TextBox 6242">
          <a:extLst>
            <a:ext uri="{FF2B5EF4-FFF2-40B4-BE49-F238E27FC236}">
              <a16:creationId xmlns:a16="http://schemas.microsoft.com/office/drawing/2014/main" id="{00000000-0008-0000-0000-000028010000}"/>
            </a:ext>
          </a:extLst>
        </xdr:cNvPr>
        <xdr:cNvSpPr txBox="1"/>
      </xdr:nvSpPr>
      <xdr:spPr>
        <a:xfrm>
          <a:off x="1258062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244" name="TextBox 6243">
          <a:extLst>
            <a:ext uri="{FF2B5EF4-FFF2-40B4-BE49-F238E27FC236}">
              <a16:creationId xmlns:a16="http://schemas.microsoft.com/office/drawing/2014/main" id="{00000000-0008-0000-0000-000029010000}"/>
            </a:ext>
          </a:extLst>
        </xdr:cNvPr>
        <xdr:cNvSpPr txBox="1"/>
      </xdr:nvSpPr>
      <xdr:spPr>
        <a:xfrm>
          <a:off x="1258062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245" name="TextBox 6244">
          <a:extLst>
            <a:ext uri="{FF2B5EF4-FFF2-40B4-BE49-F238E27FC236}">
              <a16:creationId xmlns:a16="http://schemas.microsoft.com/office/drawing/2014/main" id="{00000000-0008-0000-0000-00002A010000}"/>
            </a:ext>
          </a:extLst>
        </xdr:cNvPr>
        <xdr:cNvSpPr txBox="1"/>
      </xdr:nvSpPr>
      <xdr:spPr>
        <a:xfrm>
          <a:off x="1258062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246" name="TextBox 6245">
          <a:extLst>
            <a:ext uri="{FF2B5EF4-FFF2-40B4-BE49-F238E27FC236}">
              <a16:creationId xmlns:a16="http://schemas.microsoft.com/office/drawing/2014/main" id="{00000000-0008-0000-0000-00002B010000}"/>
            </a:ext>
          </a:extLst>
        </xdr:cNvPr>
        <xdr:cNvSpPr txBox="1"/>
      </xdr:nvSpPr>
      <xdr:spPr>
        <a:xfrm>
          <a:off x="1258062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247" name="TextBox 6246">
          <a:extLst>
            <a:ext uri="{FF2B5EF4-FFF2-40B4-BE49-F238E27FC236}">
              <a16:creationId xmlns:a16="http://schemas.microsoft.com/office/drawing/2014/main" id="{00000000-0008-0000-0000-00002C010000}"/>
            </a:ext>
          </a:extLst>
        </xdr:cNvPr>
        <xdr:cNvSpPr txBox="1"/>
      </xdr:nvSpPr>
      <xdr:spPr>
        <a:xfrm>
          <a:off x="1258062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248" name="TextBox 6247">
          <a:extLst>
            <a:ext uri="{FF2B5EF4-FFF2-40B4-BE49-F238E27FC236}">
              <a16:creationId xmlns:a16="http://schemas.microsoft.com/office/drawing/2014/main" id="{00000000-0008-0000-0000-00002D010000}"/>
            </a:ext>
          </a:extLst>
        </xdr:cNvPr>
        <xdr:cNvSpPr txBox="1"/>
      </xdr:nvSpPr>
      <xdr:spPr>
        <a:xfrm>
          <a:off x="1258062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249" name="TextBox 6248">
          <a:extLst>
            <a:ext uri="{FF2B5EF4-FFF2-40B4-BE49-F238E27FC236}">
              <a16:creationId xmlns:a16="http://schemas.microsoft.com/office/drawing/2014/main" id="{00000000-0008-0000-0000-00002E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250" name="TextBox 6249">
          <a:extLst>
            <a:ext uri="{FF2B5EF4-FFF2-40B4-BE49-F238E27FC236}">
              <a16:creationId xmlns:a16="http://schemas.microsoft.com/office/drawing/2014/main" id="{00000000-0008-0000-0000-00002F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251" name="TextBox 6250">
          <a:extLst>
            <a:ext uri="{FF2B5EF4-FFF2-40B4-BE49-F238E27FC236}">
              <a16:creationId xmlns:a16="http://schemas.microsoft.com/office/drawing/2014/main" id="{00000000-0008-0000-0000-000030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252" name="TextBox 6251">
          <a:extLst>
            <a:ext uri="{FF2B5EF4-FFF2-40B4-BE49-F238E27FC236}">
              <a16:creationId xmlns:a16="http://schemas.microsoft.com/office/drawing/2014/main" id="{00000000-0008-0000-0000-000031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253" name="TextBox 6252">
          <a:extLst>
            <a:ext uri="{FF2B5EF4-FFF2-40B4-BE49-F238E27FC236}">
              <a16:creationId xmlns:a16="http://schemas.microsoft.com/office/drawing/2014/main" id="{00000000-0008-0000-0000-000032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254" name="TextBox 6253">
          <a:extLst>
            <a:ext uri="{FF2B5EF4-FFF2-40B4-BE49-F238E27FC236}">
              <a16:creationId xmlns:a16="http://schemas.microsoft.com/office/drawing/2014/main" id="{00000000-0008-0000-0000-000033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255" name="TextBox 6254">
          <a:extLst>
            <a:ext uri="{FF2B5EF4-FFF2-40B4-BE49-F238E27FC236}">
              <a16:creationId xmlns:a16="http://schemas.microsoft.com/office/drawing/2014/main" id="{00000000-0008-0000-0000-000034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256" name="TextBox 6255">
          <a:extLst>
            <a:ext uri="{FF2B5EF4-FFF2-40B4-BE49-F238E27FC236}">
              <a16:creationId xmlns:a16="http://schemas.microsoft.com/office/drawing/2014/main" id="{00000000-0008-0000-0000-000035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257" name="TextBox 6256">
          <a:extLst>
            <a:ext uri="{FF2B5EF4-FFF2-40B4-BE49-F238E27FC236}">
              <a16:creationId xmlns:a16="http://schemas.microsoft.com/office/drawing/2014/main" id="{00000000-0008-0000-0000-000036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258" name="TextBox 6257">
          <a:extLst>
            <a:ext uri="{FF2B5EF4-FFF2-40B4-BE49-F238E27FC236}">
              <a16:creationId xmlns:a16="http://schemas.microsoft.com/office/drawing/2014/main" id="{00000000-0008-0000-0000-000037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259" name="TextBox 6258">
          <a:extLst>
            <a:ext uri="{FF2B5EF4-FFF2-40B4-BE49-F238E27FC236}">
              <a16:creationId xmlns:a16="http://schemas.microsoft.com/office/drawing/2014/main" id="{00000000-0008-0000-0000-000038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260" name="TextBox 6259">
          <a:extLst>
            <a:ext uri="{FF2B5EF4-FFF2-40B4-BE49-F238E27FC236}">
              <a16:creationId xmlns:a16="http://schemas.microsoft.com/office/drawing/2014/main" id="{00000000-0008-0000-0000-000039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261" name="TextBox 6260">
          <a:extLst>
            <a:ext uri="{FF2B5EF4-FFF2-40B4-BE49-F238E27FC236}">
              <a16:creationId xmlns:a16="http://schemas.microsoft.com/office/drawing/2014/main" id="{00000000-0008-0000-0000-00003A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262" name="TextBox 6261">
          <a:extLst>
            <a:ext uri="{FF2B5EF4-FFF2-40B4-BE49-F238E27FC236}">
              <a16:creationId xmlns:a16="http://schemas.microsoft.com/office/drawing/2014/main" id="{00000000-0008-0000-0000-00003B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263" name="TextBox 6262">
          <a:extLst>
            <a:ext uri="{FF2B5EF4-FFF2-40B4-BE49-F238E27FC236}">
              <a16:creationId xmlns:a16="http://schemas.microsoft.com/office/drawing/2014/main" id="{00000000-0008-0000-0000-00003C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264" name="TextBox 6263">
          <a:extLst>
            <a:ext uri="{FF2B5EF4-FFF2-40B4-BE49-F238E27FC236}">
              <a16:creationId xmlns:a16="http://schemas.microsoft.com/office/drawing/2014/main" id="{00000000-0008-0000-0000-00003D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265" name="TextBox 6264">
          <a:extLst>
            <a:ext uri="{FF2B5EF4-FFF2-40B4-BE49-F238E27FC236}">
              <a16:creationId xmlns:a16="http://schemas.microsoft.com/office/drawing/2014/main" id="{00000000-0008-0000-0000-00003E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266" name="TextBox 6265">
          <a:extLst>
            <a:ext uri="{FF2B5EF4-FFF2-40B4-BE49-F238E27FC236}">
              <a16:creationId xmlns:a16="http://schemas.microsoft.com/office/drawing/2014/main" id="{00000000-0008-0000-0000-00003F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267" name="TextBox 6266">
          <a:extLst>
            <a:ext uri="{FF2B5EF4-FFF2-40B4-BE49-F238E27FC236}">
              <a16:creationId xmlns:a16="http://schemas.microsoft.com/office/drawing/2014/main" id="{00000000-0008-0000-0000-000040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268" name="TextBox 6267">
          <a:extLst>
            <a:ext uri="{FF2B5EF4-FFF2-40B4-BE49-F238E27FC236}">
              <a16:creationId xmlns:a16="http://schemas.microsoft.com/office/drawing/2014/main" id="{00000000-0008-0000-0000-000041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269" name="TextBox 6268">
          <a:extLst>
            <a:ext uri="{FF2B5EF4-FFF2-40B4-BE49-F238E27FC236}">
              <a16:creationId xmlns:a16="http://schemas.microsoft.com/office/drawing/2014/main" id="{00000000-0008-0000-0000-000042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270" name="TextBox 6269">
          <a:extLst>
            <a:ext uri="{FF2B5EF4-FFF2-40B4-BE49-F238E27FC236}">
              <a16:creationId xmlns:a16="http://schemas.microsoft.com/office/drawing/2014/main" id="{00000000-0008-0000-0000-000043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271" name="TextBox 6270">
          <a:extLst>
            <a:ext uri="{FF2B5EF4-FFF2-40B4-BE49-F238E27FC236}">
              <a16:creationId xmlns:a16="http://schemas.microsoft.com/office/drawing/2014/main" id="{00000000-0008-0000-0000-000044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272" name="TextBox 6271">
          <a:extLst>
            <a:ext uri="{FF2B5EF4-FFF2-40B4-BE49-F238E27FC236}">
              <a16:creationId xmlns:a16="http://schemas.microsoft.com/office/drawing/2014/main" id="{00000000-0008-0000-0000-000045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273" name="TextBox 6272">
          <a:extLst>
            <a:ext uri="{FF2B5EF4-FFF2-40B4-BE49-F238E27FC236}">
              <a16:creationId xmlns:a16="http://schemas.microsoft.com/office/drawing/2014/main" id="{00000000-0008-0000-0000-000046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274" name="TextBox 6273">
          <a:extLst>
            <a:ext uri="{FF2B5EF4-FFF2-40B4-BE49-F238E27FC236}">
              <a16:creationId xmlns:a16="http://schemas.microsoft.com/office/drawing/2014/main" id="{00000000-0008-0000-0000-000047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275" name="TextBox 6274">
          <a:extLst>
            <a:ext uri="{FF2B5EF4-FFF2-40B4-BE49-F238E27FC236}">
              <a16:creationId xmlns:a16="http://schemas.microsoft.com/office/drawing/2014/main" id="{00000000-0008-0000-0000-000048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276" name="TextBox 6275">
          <a:extLst>
            <a:ext uri="{FF2B5EF4-FFF2-40B4-BE49-F238E27FC236}">
              <a16:creationId xmlns:a16="http://schemas.microsoft.com/office/drawing/2014/main" id="{00000000-0008-0000-0000-000049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277" name="TextBox 6276">
          <a:extLst>
            <a:ext uri="{FF2B5EF4-FFF2-40B4-BE49-F238E27FC236}">
              <a16:creationId xmlns:a16="http://schemas.microsoft.com/office/drawing/2014/main" id="{00000000-0008-0000-0000-00004A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278" name="TextBox 6277">
          <a:extLst>
            <a:ext uri="{FF2B5EF4-FFF2-40B4-BE49-F238E27FC236}">
              <a16:creationId xmlns:a16="http://schemas.microsoft.com/office/drawing/2014/main" id="{00000000-0008-0000-0000-00004B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279" name="TextBox 6278">
          <a:extLst>
            <a:ext uri="{FF2B5EF4-FFF2-40B4-BE49-F238E27FC236}">
              <a16:creationId xmlns:a16="http://schemas.microsoft.com/office/drawing/2014/main" id="{00000000-0008-0000-0000-00004C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280" name="TextBox 6279">
          <a:extLst>
            <a:ext uri="{FF2B5EF4-FFF2-40B4-BE49-F238E27FC236}">
              <a16:creationId xmlns:a16="http://schemas.microsoft.com/office/drawing/2014/main" id="{00000000-0008-0000-0000-00004D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281" name="TextBox 6280">
          <a:extLst>
            <a:ext uri="{FF2B5EF4-FFF2-40B4-BE49-F238E27FC236}">
              <a16:creationId xmlns:a16="http://schemas.microsoft.com/office/drawing/2014/main" id="{00000000-0008-0000-0000-00004E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282" name="TextBox 6281">
          <a:extLst>
            <a:ext uri="{FF2B5EF4-FFF2-40B4-BE49-F238E27FC236}">
              <a16:creationId xmlns:a16="http://schemas.microsoft.com/office/drawing/2014/main" id="{00000000-0008-0000-0000-00004F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283" name="TextBox 6282">
          <a:extLst>
            <a:ext uri="{FF2B5EF4-FFF2-40B4-BE49-F238E27FC236}">
              <a16:creationId xmlns:a16="http://schemas.microsoft.com/office/drawing/2014/main" id="{00000000-0008-0000-0000-000050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284" name="TextBox 6283">
          <a:extLst>
            <a:ext uri="{FF2B5EF4-FFF2-40B4-BE49-F238E27FC236}">
              <a16:creationId xmlns:a16="http://schemas.microsoft.com/office/drawing/2014/main" id="{00000000-0008-0000-0000-000051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285" name="TextBox 6284">
          <a:extLst>
            <a:ext uri="{FF2B5EF4-FFF2-40B4-BE49-F238E27FC236}">
              <a16:creationId xmlns:a16="http://schemas.microsoft.com/office/drawing/2014/main" id="{00000000-0008-0000-0000-000052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286" name="TextBox 6285">
          <a:extLst>
            <a:ext uri="{FF2B5EF4-FFF2-40B4-BE49-F238E27FC236}">
              <a16:creationId xmlns:a16="http://schemas.microsoft.com/office/drawing/2014/main" id="{00000000-0008-0000-0000-000053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287" name="TextBox 6286">
          <a:extLst>
            <a:ext uri="{FF2B5EF4-FFF2-40B4-BE49-F238E27FC236}">
              <a16:creationId xmlns:a16="http://schemas.microsoft.com/office/drawing/2014/main" id="{00000000-0008-0000-0000-000054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288" name="TextBox 6287">
          <a:extLst>
            <a:ext uri="{FF2B5EF4-FFF2-40B4-BE49-F238E27FC236}">
              <a16:creationId xmlns:a16="http://schemas.microsoft.com/office/drawing/2014/main" id="{00000000-0008-0000-0000-000055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289" name="TextBox 6288">
          <a:extLst>
            <a:ext uri="{FF2B5EF4-FFF2-40B4-BE49-F238E27FC236}">
              <a16:creationId xmlns:a16="http://schemas.microsoft.com/office/drawing/2014/main" id="{00000000-0008-0000-0000-000056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290" name="TextBox 6289">
          <a:extLst>
            <a:ext uri="{FF2B5EF4-FFF2-40B4-BE49-F238E27FC236}">
              <a16:creationId xmlns:a16="http://schemas.microsoft.com/office/drawing/2014/main" id="{00000000-0008-0000-0000-000057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291" name="TextBox 6290">
          <a:extLst>
            <a:ext uri="{FF2B5EF4-FFF2-40B4-BE49-F238E27FC236}">
              <a16:creationId xmlns:a16="http://schemas.microsoft.com/office/drawing/2014/main" id="{00000000-0008-0000-0000-000058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292" name="TextBox 6291">
          <a:extLst>
            <a:ext uri="{FF2B5EF4-FFF2-40B4-BE49-F238E27FC236}">
              <a16:creationId xmlns:a16="http://schemas.microsoft.com/office/drawing/2014/main" id="{00000000-0008-0000-0000-000059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293" name="TextBox 6292">
          <a:extLst>
            <a:ext uri="{FF2B5EF4-FFF2-40B4-BE49-F238E27FC236}">
              <a16:creationId xmlns:a16="http://schemas.microsoft.com/office/drawing/2014/main" id="{00000000-0008-0000-0000-00005A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294" name="TextBox 6293">
          <a:extLst>
            <a:ext uri="{FF2B5EF4-FFF2-40B4-BE49-F238E27FC236}">
              <a16:creationId xmlns:a16="http://schemas.microsoft.com/office/drawing/2014/main" id="{00000000-0008-0000-0000-00005B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295" name="TextBox 6294">
          <a:extLst>
            <a:ext uri="{FF2B5EF4-FFF2-40B4-BE49-F238E27FC236}">
              <a16:creationId xmlns:a16="http://schemas.microsoft.com/office/drawing/2014/main" id="{00000000-0008-0000-0000-00005C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296" name="TextBox 6295">
          <a:extLst>
            <a:ext uri="{FF2B5EF4-FFF2-40B4-BE49-F238E27FC236}">
              <a16:creationId xmlns:a16="http://schemas.microsoft.com/office/drawing/2014/main" id="{00000000-0008-0000-0000-00005D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297" name="TextBox 6296">
          <a:extLst>
            <a:ext uri="{FF2B5EF4-FFF2-40B4-BE49-F238E27FC236}">
              <a16:creationId xmlns:a16="http://schemas.microsoft.com/office/drawing/2014/main" id="{00000000-0008-0000-0000-00005E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298" name="TextBox 6297">
          <a:extLst>
            <a:ext uri="{FF2B5EF4-FFF2-40B4-BE49-F238E27FC236}">
              <a16:creationId xmlns:a16="http://schemas.microsoft.com/office/drawing/2014/main" id="{00000000-0008-0000-0000-00005F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299" name="TextBox 6298">
          <a:extLst>
            <a:ext uri="{FF2B5EF4-FFF2-40B4-BE49-F238E27FC236}">
              <a16:creationId xmlns:a16="http://schemas.microsoft.com/office/drawing/2014/main" id="{00000000-0008-0000-0000-000060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300" name="TextBox 6299">
          <a:extLst>
            <a:ext uri="{FF2B5EF4-FFF2-40B4-BE49-F238E27FC236}">
              <a16:creationId xmlns:a16="http://schemas.microsoft.com/office/drawing/2014/main" id="{00000000-0008-0000-0000-000061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301" name="TextBox 6300">
          <a:extLst>
            <a:ext uri="{FF2B5EF4-FFF2-40B4-BE49-F238E27FC236}">
              <a16:creationId xmlns:a16="http://schemas.microsoft.com/office/drawing/2014/main" id="{00000000-0008-0000-0000-000062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302" name="TextBox 6301">
          <a:extLst>
            <a:ext uri="{FF2B5EF4-FFF2-40B4-BE49-F238E27FC236}">
              <a16:creationId xmlns:a16="http://schemas.microsoft.com/office/drawing/2014/main" id="{00000000-0008-0000-0000-000063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303" name="TextBox 6302">
          <a:extLst>
            <a:ext uri="{FF2B5EF4-FFF2-40B4-BE49-F238E27FC236}">
              <a16:creationId xmlns:a16="http://schemas.microsoft.com/office/drawing/2014/main" id="{00000000-0008-0000-0000-000064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304" name="TextBox 6303">
          <a:extLst>
            <a:ext uri="{FF2B5EF4-FFF2-40B4-BE49-F238E27FC236}">
              <a16:creationId xmlns:a16="http://schemas.microsoft.com/office/drawing/2014/main" id="{00000000-0008-0000-0000-000065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305" name="TextBox 6304">
          <a:extLst>
            <a:ext uri="{FF2B5EF4-FFF2-40B4-BE49-F238E27FC236}">
              <a16:creationId xmlns:a16="http://schemas.microsoft.com/office/drawing/2014/main" id="{00000000-0008-0000-0000-000066010000}"/>
            </a:ext>
          </a:extLst>
        </xdr:cNvPr>
        <xdr:cNvSpPr txBox="1"/>
      </xdr:nvSpPr>
      <xdr:spPr>
        <a:xfrm>
          <a:off x="1258062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306" name="TextBox 6305">
          <a:extLst>
            <a:ext uri="{FF2B5EF4-FFF2-40B4-BE49-F238E27FC236}">
              <a16:creationId xmlns:a16="http://schemas.microsoft.com/office/drawing/2014/main" id="{00000000-0008-0000-0000-000067010000}"/>
            </a:ext>
          </a:extLst>
        </xdr:cNvPr>
        <xdr:cNvSpPr txBox="1"/>
      </xdr:nvSpPr>
      <xdr:spPr>
        <a:xfrm>
          <a:off x="1258062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307" name="TextBox 6306">
          <a:extLst>
            <a:ext uri="{FF2B5EF4-FFF2-40B4-BE49-F238E27FC236}">
              <a16:creationId xmlns:a16="http://schemas.microsoft.com/office/drawing/2014/main" id="{00000000-0008-0000-0000-000068010000}"/>
            </a:ext>
          </a:extLst>
        </xdr:cNvPr>
        <xdr:cNvSpPr txBox="1"/>
      </xdr:nvSpPr>
      <xdr:spPr>
        <a:xfrm>
          <a:off x="1258062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308" name="TextBox 6307">
          <a:extLst>
            <a:ext uri="{FF2B5EF4-FFF2-40B4-BE49-F238E27FC236}">
              <a16:creationId xmlns:a16="http://schemas.microsoft.com/office/drawing/2014/main" id="{00000000-0008-0000-0000-000069010000}"/>
            </a:ext>
          </a:extLst>
        </xdr:cNvPr>
        <xdr:cNvSpPr txBox="1"/>
      </xdr:nvSpPr>
      <xdr:spPr>
        <a:xfrm>
          <a:off x="1258062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309" name="TextBox 6308">
          <a:extLst>
            <a:ext uri="{FF2B5EF4-FFF2-40B4-BE49-F238E27FC236}">
              <a16:creationId xmlns:a16="http://schemas.microsoft.com/office/drawing/2014/main" id="{00000000-0008-0000-0000-00006A010000}"/>
            </a:ext>
          </a:extLst>
        </xdr:cNvPr>
        <xdr:cNvSpPr txBox="1"/>
      </xdr:nvSpPr>
      <xdr:spPr>
        <a:xfrm>
          <a:off x="1258062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310" name="TextBox 6309">
          <a:extLst>
            <a:ext uri="{FF2B5EF4-FFF2-40B4-BE49-F238E27FC236}">
              <a16:creationId xmlns:a16="http://schemas.microsoft.com/office/drawing/2014/main" id="{00000000-0008-0000-0000-00006B010000}"/>
            </a:ext>
          </a:extLst>
        </xdr:cNvPr>
        <xdr:cNvSpPr txBox="1"/>
      </xdr:nvSpPr>
      <xdr:spPr>
        <a:xfrm>
          <a:off x="1258062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311" name="TextBox 6310">
          <a:extLst>
            <a:ext uri="{FF2B5EF4-FFF2-40B4-BE49-F238E27FC236}">
              <a16:creationId xmlns:a16="http://schemas.microsoft.com/office/drawing/2014/main" id="{00000000-0008-0000-0000-00006C010000}"/>
            </a:ext>
          </a:extLst>
        </xdr:cNvPr>
        <xdr:cNvSpPr txBox="1"/>
      </xdr:nvSpPr>
      <xdr:spPr>
        <a:xfrm>
          <a:off x="1258062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312" name="TextBox 6311">
          <a:extLst>
            <a:ext uri="{FF2B5EF4-FFF2-40B4-BE49-F238E27FC236}">
              <a16:creationId xmlns:a16="http://schemas.microsoft.com/office/drawing/2014/main" id="{00000000-0008-0000-0000-00006D010000}"/>
            </a:ext>
          </a:extLst>
        </xdr:cNvPr>
        <xdr:cNvSpPr txBox="1"/>
      </xdr:nvSpPr>
      <xdr:spPr>
        <a:xfrm>
          <a:off x="1258062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313" name="TextBox 6312">
          <a:extLst>
            <a:ext uri="{FF2B5EF4-FFF2-40B4-BE49-F238E27FC236}">
              <a16:creationId xmlns:a16="http://schemas.microsoft.com/office/drawing/2014/main" id="{00000000-0008-0000-0000-00006E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314" name="TextBox 6313">
          <a:extLst>
            <a:ext uri="{FF2B5EF4-FFF2-40B4-BE49-F238E27FC236}">
              <a16:creationId xmlns:a16="http://schemas.microsoft.com/office/drawing/2014/main" id="{00000000-0008-0000-0000-00006F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315" name="TextBox 6314">
          <a:extLst>
            <a:ext uri="{FF2B5EF4-FFF2-40B4-BE49-F238E27FC236}">
              <a16:creationId xmlns:a16="http://schemas.microsoft.com/office/drawing/2014/main" id="{00000000-0008-0000-0000-000070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316" name="TextBox 6315">
          <a:extLst>
            <a:ext uri="{FF2B5EF4-FFF2-40B4-BE49-F238E27FC236}">
              <a16:creationId xmlns:a16="http://schemas.microsoft.com/office/drawing/2014/main" id="{00000000-0008-0000-0000-000071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317" name="TextBox 6316">
          <a:extLst>
            <a:ext uri="{FF2B5EF4-FFF2-40B4-BE49-F238E27FC236}">
              <a16:creationId xmlns:a16="http://schemas.microsoft.com/office/drawing/2014/main" id="{00000000-0008-0000-0000-000072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318" name="TextBox 6317">
          <a:extLst>
            <a:ext uri="{FF2B5EF4-FFF2-40B4-BE49-F238E27FC236}">
              <a16:creationId xmlns:a16="http://schemas.microsoft.com/office/drawing/2014/main" id="{00000000-0008-0000-0000-000073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319" name="TextBox 6318">
          <a:extLst>
            <a:ext uri="{FF2B5EF4-FFF2-40B4-BE49-F238E27FC236}">
              <a16:creationId xmlns:a16="http://schemas.microsoft.com/office/drawing/2014/main" id="{00000000-0008-0000-0000-000074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320" name="TextBox 6319">
          <a:extLst>
            <a:ext uri="{FF2B5EF4-FFF2-40B4-BE49-F238E27FC236}">
              <a16:creationId xmlns:a16="http://schemas.microsoft.com/office/drawing/2014/main" id="{00000000-0008-0000-0000-000075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321" name="TextBox 6320">
          <a:extLst>
            <a:ext uri="{FF2B5EF4-FFF2-40B4-BE49-F238E27FC236}">
              <a16:creationId xmlns:a16="http://schemas.microsoft.com/office/drawing/2014/main" id="{00000000-0008-0000-0000-000076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322" name="TextBox 6321">
          <a:extLst>
            <a:ext uri="{FF2B5EF4-FFF2-40B4-BE49-F238E27FC236}">
              <a16:creationId xmlns:a16="http://schemas.microsoft.com/office/drawing/2014/main" id="{00000000-0008-0000-0000-000077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323" name="TextBox 6322">
          <a:extLst>
            <a:ext uri="{FF2B5EF4-FFF2-40B4-BE49-F238E27FC236}">
              <a16:creationId xmlns:a16="http://schemas.microsoft.com/office/drawing/2014/main" id="{00000000-0008-0000-0000-000078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324" name="TextBox 6323">
          <a:extLst>
            <a:ext uri="{FF2B5EF4-FFF2-40B4-BE49-F238E27FC236}">
              <a16:creationId xmlns:a16="http://schemas.microsoft.com/office/drawing/2014/main" id="{00000000-0008-0000-0000-000079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325" name="TextBox 6324">
          <a:extLst>
            <a:ext uri="{FF2B5EF4-FFF2-40B4-BE49-F238E27FC236}">
              <a16:creationId xmlns:a16="http://schemas.microsoft.com/office/drawing/2014/main" id="{00000000-0008-0000-0000-00007A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326" name="TextBox 6325">
          <a:extLst>
            <a:ext uri="{FF2B5EF4-FFF2-40B4-BE49-F238E27FC236}">
              <a16:creationId xmlns:a16="http://schemas.microsoft.com/office/drawing/2014/main" id="{00000000-0008-0000-0000-00007B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327" name="TextBox 6326">
          <a:extLst>
            <a:ext uri="{FF2B5EF4-FFF2-40B4-BE49-F238E27FC236}">
              <a16:creationId xmlns:a16="http://schemas.microsoft.com/office/drawing/2014/main" id="{00000000-0008-0000-0000-00007C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328" name="TextBox 6327">
          <a:extLst>
            <a:ext uri="{FF2B5EF4-FFF2-40B4-BE49-F238E27FC236}">
              <a16:creationId xmlns:a16="http://schemas.microsoft.com/office/drawing/2014/main" id="{00000000-0008-0000-0000-00007D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329" name="TextBox 6328">
          <a:extLst>
            <a:ext uri="{FF2B5EF4-FFF2-40B4-BE49-F238E27FC236}">
              <a16:creationId xmlns:a16="http://schemas.microsoft.com/office/drawing/2014/main" id="{00000000-0008-0000-0000-00007E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330" name="TextBox 6329">
          <a:extLst>
            <a:ext uri="{FF2B5EF4-FFF2-40B4-BE49-F238E27FC236}">
              <a16:creationId xmlns:a16="http://schemas.microsoft.com/office/drawing/2014/main" id="{00000000-0008-0000-0000-00007F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331" name="TextBox 6330">
          <a:extLst>
            <a:ext uri="{FF2B5EF4-FFF2-40B4-BE49-F238E27FC236}">
              <a16:creationId xmlns:a16="http://schemas.microsoft.com/office/drawing/2014/main" id="{00000000-0008-0000-0000-000080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332" name="TextBox 6331">
          <a:extLst>
            <a:ext uri="{FF2B5EF4-FFF2-40B4-BE49-F238E27FC236}">
              <a16:creationId xmlns:a16="http://schemas.microsoft.com/office/drawing/2014/main" id="{00000000-0008-0000-0000-000081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333" name="TextBox 6332">
          <a:extLst>
            <a:ext uri="{FF2B5EF4-FFF2-40B4-BE49-F238E27FC236}">
              <a16:creationId xmlns:a16="http://schemas.microsoft.com/office/drawing/2014/main" id="{00000000-0008-0000-0000-000082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334" name="TextBox 6333">
          <a:extLst>
            <a:ext uri="{FF2B5EF4-FFF2-40B4-BE49-F238E27FC236}">
              <a16:creationId xmlns:a16="http://schemas.microsoft.com/office/drawing/2014/main" id="{00000000-0008-0000-0000-000083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335" name="TextBox 6334">
          <a:extLst>
            <a:ext uri="{FF2B5EF4-FFF2-40B4-BE49-F238E27FC236}">
              <a16:creationId xmlns:a16="http://schemas.microsoft.com/office/drawing/2014/main" id="{00000000-0008-0000-0000-000084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336" name="TextBox 6335">
          <a:extLst>
            <a:ext uri="{FF2B5EF4-FFF2-40B4-BE49-F238E27FC236}">
              <a16:creationId xmlns:a16="http://schemas.microsoft.com/office/drawing/2014/main" id="{00000000-0008-0000-0000-000085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337" name="TextBox 6336">
          <a:extLst>
            <a:ext uri="{FF2B5EF4-FFF2-40B4-BE49-F238E27FC236}">
              <a16:creationId xmlns:a16="http://schemas.microsoft.com/office/drawing/2014/main" id="{00000000-0008-0000-0000-000086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338" name="TextBox 6337">
          <a:extLst>
            <a:ext uri="{FF2B5EF4-FFF2-40B4-BE49-F238E27FC236}">
              <a16:creationId xmlns:a16="http://schemas.microsoft.com/office/drawing/2014/main" id="{00000000-0008-0000-0000-000087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339" name="TextBox 6338">
          <a:extLst>
            <a:ext uri="{FF2B5EF4-FFF2-40B4-BE49-F238E27FC236}">
              <a16:creationId xmlns:a16="http://schemas.microsoft.com/office/drawing/2014/main" id="{00000000-0008-0000-0000-000088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340" name="TextBox 6339">
          <a:extLst>
            <a:ext uri="{FF2B5EF4-FFF2-40B4-BE49-F238E27FC236}">
              <a16:creationId xmlns:a16="http://schemas.microsoft.com/office/drawing/2014/main" id="{00000000-0008-0000-0000-000089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341" name="TextBox 6340">
          <a:extLst>
            <a:ext uri="{FF2B5EF4-FFF2-40B4-BE49-F238E27FC236}">
              <a16:creationId xmlns:a16="http://schemas.microsoft.com/office/drawing/2014/main" id="{00000000-0008-0000-0000-00008A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342" name="TextBox 6341">
          <a:extLst>
            <a:ext uri="{FF2B5EF4-FFF2-40B4-BE49-F238E27FC236}">
              <a16:creationId xmlns:a16="http://schemas.microsoft.com/office/drawing/2014/main" id="{00000000-0008-0000-0000-00008B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343" name="TextBox 6342">
          <a:extLst>
            <a:ext uri="{FF2B5EF4-FFF2-40B4-BE49-F238E27FC236}">
              <a16:creationId xmlns:a16="http://schemas.microsoft.com/office/drawing/2014/main" id="{00000000-0008-0000-0000-00008C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344" name="TextBox 6343">
          <a:extLst>
            <a:ext uri="{FF2B5EF4-FFF2-40B4-BE49-F238E27FC236}">
              <a16:creationId xmlns:a16="http://schemas.microsoft.com/office/drawing/2014/main" id="{00000000-0008-0000-0000-00008D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345" name="TextBox 6344">
          <a:extLst>
            <a:ext uri="{FF2B5EF4-FFF2-40B4-BE49-F238E27FC236}">
              <a16:creationId xmlns:a16="http://schemas.microsoft.com/office/drawing/2014/main" id="{00000000-0008-0000-0000-00008E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346" name="TextBox 6345">
          <a:extLst>
            <a:ext uri="{FF2B5EF4-FFF2-40B4-BE49-F238E27FC236}">
              <a16:creationId xmlns:a16="http://schemas.microsoft.com/office/drawing/2014/main" id="{00000000-0008-0000-0000-00008F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347" name="TextBox 6346">
          <a:extLst>
            <a:ext uri="{FF2B5EF4-FFF2-40B4-BE49-F238E27FC236}">
              <a16:creationId xmlns:a16="http://schemas.microsoft.com/office/drawing/2014/main" id="{00000000-0008-0000-0000-000090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348" name="TextBox 6347">
          <a:extLst>
            <a:ext uri="{FF2B5EF4-FFF2-40B4-BE49-F238E27FC236}">
              <a16:creationId xmlns:a16="http://schemas.microsoft.com/office/drawing/2014/main" id="{00000000-0008-0000-0000-000091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349" name="TextBox 6348">
          <a:extLst>
            <a:ext uri="{FF2B5EF4-FFF2-40B4-BE49-F238E27FC236}">
              <a16:creationId xmlns:a16="http://schemas.microsoft.com/office/drawing/2014/main" id="{00000000-0008-0000-0000-000092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350" name="TextBox 6349">
          <a:extLst>
            <a:ext uri="{FF2B5EF4-FFF2-40B4-BE49-F238E27FC236}">
              <a16:creationId xmlns:a16="http://schemas.microsoft.com/office/drawing/2014/main" id="{00000000-0008-0000-0000-000093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351" name="TextBox 6350">
          <a:extLst>
            <a:ext uri="{FF2B5EF4-FFF2-40B4-BE49-F238E27FC236}">
              <a16:creationId xmlns:a16="http://schemas.microsoft.com/office/drawing/2014/main" id="{00000000-0008-0000-0000-000094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352" name="TextBox 6351">
          <a:extLst>
            <a:ext uri="{FF2B5EF4-FFF2-40B4-BE49-F238E27FC236}">
              <a16:creationId xmlns:a16="http://schemas.microsoft.com/office/drawing/2014/main" id="{00000000-0008-0000-0000-000095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353" name="TextBox 6352">
          <a:extLst>
            <a:ext uri="{FF2B5EF4-FFF2-40B4-BE49-F238E27FC236}">
              <a16:creationId xmlns:a16="http://schemas.microsoft.com/office/drawing/2014/main" id="{00000000-0008-0000-0000-000096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354" name="TextBox 6353">
          <a:extLst>
            <a:ext uri="{FF2B5EF4-FFF2-40B4-BE49-F238E27FC236}">
              <a16:creationId xmlns:a16="http://schemas.microsoft.com/office/drawing/2014/main" id="{00000000-0008-0000-0000-000097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355" name="TextBox 6354">
          <a:extLst>
            <a:ext uri="{FF2B5EF4-FFF2-40B4-BE49-F238E27FC236}">
              <a16:creationId xmlns:a16="http://schemas.microsoft.com/office/drawing/2014/main" id="{00000000-0008-0000-0000-000098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356" name="TextBox 6355">
          <a:extLst>
            <a:ext uri="{FF2B5EF4-FFF2-40B4-BE49-F238E27FC236}">
              <a16:creationId xmlns:a16="http://schemas.microsoft.com/office/drawing/2014/main" id="{00000000-0008-0000-0000-000099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357" name="TextBox 6356">
          <a:extLst>
            <a:ext uri="{FF2B5EF4-FFF2-40B4-BE49-F238E27FC236}">
              <a16:creationId xmlns:a16="http://schemas.microsoft.com/office/drawing/2014/main" id="{00000000-0008-0000-0000-00009A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358" name="TextBox 6357">
          <a:extLst>
            <a:ext uri="{FF2B5EF4-FFF2-40B4-BE49-F238E27FC236}">
              <a16:creationId xmlns:a16="http://schemas.microsoft.com/office/drawing/2014/main" id="{00000000-0008-0000-0000-00009B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359" name="TextBox 6358">
          <a:extLst>
            <a:ext uri="{FF2B5EF4-FFF2-40B4-BE49-F238E27FC236}">
              <a16:creationId xmlns:a16="http://schemas.microsoft.com/office/drawing/2014/main" id="{00000000-0008-0000-0000-00009C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360" name="TextBox 6359">
          <a:extLst>
            <a:ext uri="{FF2B5EF4-FFF2-40B4-BE49-F238E27FC236}">
              <a16:creationId xmlns:a16="http://schemas.microsoft.com/office/drawing/2014/main" id="{00000000-0008-0000-0000-00009D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361" name="TextBox 6360">
          <a:extLst>
            <a:ext uri="{FF2B5EF4-FFF2-40B4-BE49-F238E27FC236}">
              <a16:creationId xmlns:a16="http://schemas.microsoft.com/office/drawing/2014/main" id="{00000000-0008-0000-0000-00009E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362" name="TextBox 6361">
          <a:extLst>
            <a:ext uri="{FF2B5EF4-FFF2-40B4-BE49-F238E27FC236}">
              <a16:creationId xmlns:a16="http://schemas.microsoft.com/office/drawing/2014/main" id="{00000000-0008-0000-0000-00009F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363" name="TextBox 6362">
          <a:extLst>
            <a:ext uri="{FF2B5EF4-FFF2-40B4-BE49-F238E27FC236}">
              <a16:creationId xmlns:a16="http://schemas.microsoft.com/office/drawing/2014/main" id="{00000000-0008-0000-0000-0000A0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364" name="TextBox 6363">
          <a:extLst>
            <a:ext uri="{FF2B5EF4-FFF2-40B4-BE49-F238E27FC236}">
              <a16:creationId xmlns:a16="http://schemas.microsoft.com/office/drawing/2014/main" id="{00000000-0008-0000-0000-0000A1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365" name="TextBox 6364">
          <a:extLst>
            <a:ext uri="{FF2B5EF4-FFF2-40B4-BE49-F238E27FC236}">
              <a16:creationId xmlns:a16="http://schemas.microsoft.com/office/drawing/2014/main" id="{00000000-0008-0000-0000-0000A2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366" name="TextBox 6365">
          <a:extLst>
            <a:ext uri="{FF2B5EF4-FFF2-40B4-BE49-F238E27FC236}">
              <a16:creationId xmlns:a16="http://schemas.microsoft.com/office/drawing/2014/main" id="{00000000-0008-0000-0000-0000A3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367" name="TextBox 6366">
          <a:extLst>
            <a:ext uri="{FF2B5EF4-FFF2-40B4-BE49-F238E27FC236}">
              <a16:creationId xmlns:a16="http://schemas.microsoft.com/office/drawing/2014/main" id="{00000000-0008-0000-0000-0000A4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368" name="TextBox 6367">
          <a:extLst>
            <a:ext uri="{FF2B5EF4-FFF2-40B4-BE49-F238E27FC236}">
              <a16:creationId xmlns:a16="http://schemas.microsoft.com/office/drawing/2014/main" id="{00000000-0008-0000-0000-0000A5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369" name="TextBox 6368">
          <a:extLst>
            <a:ext uri="{FF2B5EF4-FFF2-40B4-BE49-F238E27FC236}">
              <a16:creationId xmlns:a16="http://schemas.microsoft.com/office/drawing/2014/main" id="{00000000-0008-0000-0000-0000A6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370" name="TextBox 6369">
          <a:extLst>
            <a:ext uri="{FF2B5EF4-FFF2-40B4-BE49-F238E27FC236}">
              <a16:creationId xmlns:a16="http://schemas.microsoft.com/office/drawing/2014/main" id="{00000000-0008-0000-0000-0000A7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371" name="TextBox 6370">
          <a:extLst>
            <a:ext uri="{FF2B5EF4-FFF2-40B4-BE49-F238E27FC236}">
              <a16:creationId xmlns:a16="http://schemas.microsoft.com/office/drawing/2014/main" id="{00000000-0008-0000-0000-0000A8010000}"/>
            </a:ext>
          </a:extLst>
        </xdr:cNvPr>
        <xdr:cNvSpPr txBox="1"/>
      </xdr:nvSpPr>
      <xdr:spPr>
        <a:xfrm>
          <a:off x="1258062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372" name="TextBox 6371">
          <a:extLst>
            <a:ext uri="{FF2B5EF4-FFF2-40B4-BE49-F238E27FC236}">
              <a16:creationId xmlns:a16="http://schemas.microsoft.com/office/drawing/2014/main" id="{00000000-0008-0000-0000-0000A9010000}"/>
            </a:ext>
          </a:extLst>
        </xdr:cNvPr>
        <xdr:cNvSpPr txBox="1"/>
      </xdr:nvSpPr>
      <xdr:spPr>
        <a:xfrm>
          <a:off x="1258062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373" name="TextBox 6372">
          <a:extLst>
            <a:ext uri="{FF2B5EF4-FFF2-40B4-BE49-F238E27FC236}">
              <a16:creationId xmlns:a16="http://schemas.microsoft.com/office/drawing/2014/main" id="{00000000-0008-0000-0000-0000AA010000}"/>
            </a:ext>
          </a:extLst>
        </xdr:cNvPr>
        <xdr:cNvSpPr txBox="1"/>
      </xdr:nvSpPr>
      <xdr:spPr>
        <a:xfrm>
          <a:off x="1258062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374" name="TextBox 6373">
          <a:extLst>
            <a:ext uri="{FF2B5EF4-FFF2-40B4-BE49-F238E27FC236}">
              <a16:creationId xmlns:a16="http://schemas.microsoft.com/office/drawing/2014/main" id="{00000000-0008-0000-0000-0000AB010000}"/>
            </a:ext>
          </a:extLst>
        </xdr:cNvPr>
        <xdr:cNvSpPr txBox="1"/>
      </xdr:nvSpPr>
      <xdr:spPr>
        <a:xfrm>
          <a:off x="1258062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375" name="TextBox 6374">
          <a:extLst>
            <a:ext uri="{FF2B5EF4-FFF2-40B4-BE49-F238E27FC236}">
              <a16:creationId xmlns:a16="http://schemas.microsoft.com/office/drawing/2014/main" id="{00000000-0008-0000-0000-0000AC010000}"/>
            </a:ext>
          </a:extLst>
        </xdr:cNvPr>
        <xdr:cNvSpPr txBox="1"/>
      </xdr:nvSpPr>
      <xdr:spPr>
        <a:xfrm>
          <a:off x="1258062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376" name="TextBox 6375">
          <a:extLst>
            <a:ext uri="{FF2B5EF4-FFF2-40B4-BE49-F238E27FC236}">
              <a16:creationId xmlns:a16="http://schemas.microsoft.com/office/drawing/2014/main" id="{00000000-0008-0000-0000-0000AD010000}"/>
            </a:ext>
          </a:extLst>
        </xdr:cNvPr>
        <xdr:cNvSpPr txBox="1"/>
      </xdr:nvSpPr>
      <xdr:spPr>
        <a:xfrm>
          <a:off x="1258062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377" name="TextBox 6376">
          <a:extLst>
            <a:ext uri="{FF2B5EF4-FFF2-40B4-BE49-F238E27FC236}">
              <a16:creationId xmlns:a16="http://schemas.microsoft.com/office/drawing/2014/main" id="{00000000-0008-0000-0000-0000AE010000}"/>
            </a:ext>
          </a:extLst>
        </xdr:cNvPr>
        <xdr:cNvSpPr txBox="1"/>
      </xdr:nvSpPr>
      <xdr:spPr>
        <a:xfrm>
          <a:off x="1258062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378" name="TextBox 6377">
          <a:extLst>
            <a:ext uri="{FF2B5EF4-FFF2-40B4-BE49-F238E27FC236}">
              <a16:creationId xmlns:a16="http://schemas.microsoft.com/office/drawing/2014/main" id="{00000000-0008-0000-0000-0000AF010000}"/>
            </a:ext>
          </a:extLst>
        </xdr:cNvPr>
        <xdr:cNvSpPr txBox="1"/>
      </xdr:nvSpPr>
      <xdr:spPr>
        <a:xfrm>
          <a:off x="1258062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6379" name="TextBox 6378">
          <a:extLst>
            <a:ext uri="{FF2B5EF4-FFF2-40B4-BE49-F238E27FC236}">
              <a16:creationId xmlns:a16="http://schemas.microsoft.com/office/drawing/2014/main" id="{00000000-0008-0000-0000-0000B001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6380" name="TextBox 6379">
          <a:extLst>
            <a:ext uri="{FF2B5EF4-FFF2-40B4-BE49-F238E27FC236}">
              <a16:creationId xmlns:a16="http://schemas.microsoft.com/office/drawing/2014/main" id="{00000000-0008-0000-0000-0000B101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381" name="TextBox 6380">
          <a:extLst>
            <a:ext uri="{FF2B5EF4-FFF2-40B4-BE49-F238E27FC236}">
              <a16:creationId xmlns:a16="http://schemas.microsoft.com/office/drawing/2014/main" id="{00000000-0008-0000-0000-0000B2010000}"/>
            </a:ext>
          </a:extLst>
        </xdr:cNvPr>
        <xdr:cNvSpPr txBox="1"/>
      </xdr:nvSpPr>
      <xdr:spPr>
        <a:xfrm>
          <a:off x="1258062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382" name="TextBox 6381">
          <a:extLst>
            <a:ext uri="{FF2B5EF4-FFF2-40B4-BE49-F238E27FC236}">
              <a16:creationId xmlns:a16="http://schemas.microsoft.com/office/drawing/2014/main" id="{00000000-0008-0000-0000-0000B3010000}"/>
            </a:ext>
          </a:extLst>
        </xdr:cNvPr>
        <xdr:cNvSpPr txBox="1"/>
      </xdr:nvSpPr>
      <xdr:spPr>
        <a:xfrm>
          <a:off x="1258062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383" name="TextBox 6382">
          <a:extLst>
            <a:ext uri="{FF2B5EF4-FFF2-40B4-BE49-F238E27FC236}">
              <a16:creationId xmlns:a16="http://schemas.microsoft.com/office/drawing/2014/main" id="{00000000-0008-0000-0000-0000B4010000}"/>
            </a:ext>
          </a:extLst>
        </xdr:cNvPr>
        <xdr:cNvSpPr txBox="1"/>
      </xdr:nvSpPr>
      <xdr:spPr>
        <a:xfrm>
          <a:off x="1258062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384" name="TextBox 6383">
          <a:extLst>
            <a:ext uri="{FF2B5EF4-FFF2-40B4-BE49-F238E27FC236}">
              <a16:creationId xmlns:a16="http://schemas.microsoft.com/office/drawing/2014/main" id="{00000000-0008-0000-0000-0000B5010000}"/>
            </a:ext>
          </a:extLst>
        </xdr:cNvPr>
        <xdr:cNvSpPr txBox="1"/>
      </xdr:nvSpPr>
      <xdr:spPr>
        <a:xfrm>
          <a:off x="1258062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385" name="TextBox 6384">
          <a:extLst>
            <a:ext uri="{FF2B5EF4-FFF2-40B4-BE49-F238E27FC236}">
              <a16:creationId xmlns:a16="http://schemas.microsoft.com/office/drawing/2014/main" id="{00000000-0008-0000-0000-0000B6010000}"/>
            </a:ext>
          </a:extLst>
        </xdr:cNvPr>
        <xdr:cNvSpPr txBox="1"/>
      </xdr:nvSpPr>
      <xdr:spPr>
        <a:xfrm>
          <a:off x="1258062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386" name="TextBox 6385">
          <a:extLst>
            <a:ext uri="{FF2B5EF4-FFF2-40B4-BE49-F238E27FC236}">
              <a16:creationId xmlns:a16="http://schemas.microsoft.com/office/drawing/2014/main" id="{00000000-0008-0000-0000-0000B7010000}"/>
            </a:ext>
          </a:extLst>
        </xdr:cNvPr>
        <xdr:cNvSpPr txBox="1"/>
      </xdr:nvSpPr>
      <xdr:spPr>
        <a:xfrm>
          <a:off x="1258062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387" name="TextBox 6386">
          <a:extLst>
            <a:ext uri="{FF2B5EF4-FFF2-40B4-BE49-F238E27FC236}">
              <a16:creationId xmlns:a16="http://schemas.microsoft.com/office/drawing/2014/main" id="{00000000-0008-0000-0000-0000B8010000}"/>
            </a:ext>
          </a:extLst>
        </xdr:cNvPr>
        <xdr:cNvSpPr txBox="1"/>
      </xdr:nvSpPr>
      <xdr:spPr>
        <a:xfrm>
          <a:off x="1258062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388" name="TextBox 6387">
          <a:extLst>
            <a:ext uri="{FF2B5EF4-FFF2-40B4-BE49-F238E27FC236}">
              <a16:creationId xmlns:a16="http://schemas.microsoft.com/office/drawing/2014/main" id="{00000000-0008-0000-0000-0000B9010000}"/>
            </a:ext>
          </a:extLst>
        </xdr:cNvPr>
        <xdr:cNvSpPr txBox="1"/>
      </xdr:nvSpPr>
      <xdr:spPr>
        <a:xfrm>
          <a:off x="1258062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389" name="TextBox 6388">
          <a:extLst>
            <a:ext uri="{FF2B5EF4-FFF2-40B4-BE49-F238E27FC236}">
              <a16:creationId xmlns:a16="http://schemas.microsoft.com/office/drawing/2014/main" id="{00000000-0008-0000-0000-0000BA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390" name="TextBox 6389">
          <a:extLst>
            <a:ext uri="{FF2B5EF4-FFF2-40B4-BE49-F238E27FC236}">
              <a16:creationId xmlns:a16="http://schemas.microsoft.com/office/drawing/2014/main" id="{00000000-0008-0000-0000-0000BB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391" name="TextBox 6390">
          <a:extLst>
            <a:ext uri="{FF2B5EF4-FFF2-40B4-BE49-F238E27FC236}">
              <a16:creationId xmlns:a16="http://schemas.microsoft.com/office/drawing/2014/main" id="{00000000-0008-0000-0000-0000BC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392" name="TextBox 6391">
          <a:extLst>
            <a:ext uri="{FF2B5EF4-FFF2-40B4-BE49-F238E27FC236}">
              <a16:creationId xmlns:a16="http://schemas.microsoft.com/office/drawing/2014/main" id="{00000000-0008-0000-0000-0000BD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393" name="TextBox 6392">
          <a:extLst>
            <a:ext uri="{FF2B5EF4-FFF2-40B4-BE49-F238E27FC236}">
              <a16:creationId xmlns:a16="http://schemas.microsoft.com/office/drawing/2014/main" id="{00000000-0008-0000-0000-0000BE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394" name="TextBox 6393">
          <a:extLst>
            <a:ext uri="{FF2B5EF4-FFF2-40B4-BE49-F238E27FC236}">
              <a16:creationId xmlns:a16="http://schemas.microsoft.com/office/drawing/2014/main" id="{00000000-0008-0000-0000-0000BF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395" name="TextBox 6394">
          <a:extLst>
            <a:ext uri="{FF2B5EF4-FFF2-40B4-BE49-F238E27FC236}">
              <a16:creationId xmlns:a16="http://schemas.microsoft.com/office/drawing/2014/main" id="{00000000-0008-0000-0000-0000C0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396" name="TextBox 6395">
          <a:extLst>
            <a:ext uri="{FF2B5EF4-FFF2-40B4-BE49-F238E27FC236}">
              <a16:creationId xmlns:a16="http://schemas.microsoft.com/office/drawing/2014/main" id="{00000000-0008-0000-0000-0000C1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397" name="TextBox 6396">
          <a:extLst>
            <a:ext uri="{FF2B5EF4-FFF2-40B4-BE49-F238E27FC236}">
              <a16:creationId xmlns:a16="http://schemas.microsoft.com/office/drawing/2014/main" id="{00000000-0008-0000-0000-0000C2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398" name="TextBox 6397">
          <a:extLst>
            <a:ext uri="{FF2B5EF4-FFF2-40B4-BE49-F238E27FC236}">
              <a16:creationId xmlns:a16="http://schemas.microsoft.com/office/drawing/2014/main" id="{00000000-0008-0000-0000-0000C3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399" name="TextBox 6398">
          <a:extLst>
            <a:ext uri="{FF2B5EF4-FFF2-40B4-BE49-F238E27FC236}">
              <a16:creationId xmlns:a16="http://schemas.microsoft.com/office/drawing/2014/main" id="{00000000-0008-0000-0000-0000C4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400" name="TextBox 6399">
          <a:extLst>
            <a:ext uri="{FF2B5EF4-FFF2-40B4-BE49-F238E27FC236}">
              <a16:creationId xmlns:a16="http://schemas.microsoft.com/office/drawing/2014/main" id="{00000000-0008-0000-0000-0000C5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401" name="TextBox 6400">
          <a:extLst>
            <a:ext uri="{FF2B5EF4-FFF2-40B4-BE49-F238E27FC236}">
              <a16:creationId xmlns:a16="http://schemas.microsoft.com/office/drawing/2014/main" id="{00000000-0008-0000-0000-0000C6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402" name="TextBox 6401">
          <a:extLst>
            <a:ext uri="{FF2B5EF4-FFF2-40B4-BE49-F238E27FC236}">
              <a16:creationId xmlns:a16="http://schemas.microsoft.com/office/drawing/2014/main" id="{00000000-0008-0000-0000-0000C7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403" name="TextBox 6402">
          <a:extLst>
            <a:ext uri="{FF2B5EF4-FFF2-40B4-BE49-F238E27FC236}">
              <a16:creationId xmlns:a16="http://schemas.microsoft.com/office/drawing/2014/main" id="{00000000-0008-0000-0000-0000C8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404" name="TextBox 6403">
          <a:extLst>
            <a:ext uri="{FF2B5EF4-FFF2-40B4-BE49-F238E27FC236}">
              <a16:creationId xmlns:a16="http://schemas.microsoft.com/office/drawing/2014/main" id="{00000000-0008-0000-0000-0000C9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405" name="TextBox 6404">
          <a:extLst>
            <a:ext uri="{FF2B5EF4-FFF2-40B4-BE49-F238E27FC236}">
              <a16:creationId xmlns:a16="http://schemas.microsoft.com/office/drawing/2014/main" id="{00000000-0008-0000-0000-0000CA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406" name="TextBox 6405">
          <a:extLst>
            <a:ext uri="{FF2B5EF4-FFF2-40B4-BE49-F238E27FC236}">
              <a16:creationId xmlns:a16="http://schemas.microsoft.com/office/drawing/2014/main" id="{00000000-0008-0000-0000-0000CB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407" name="TextBox 6406">
          <a:extLst>
            <a:ext uri="{FF2B5EF4-FFF2-40B4-BE49-F238E27FC236}">
              <a16:creationId xmlns:a16="http://schemas.microsoft.com/office/drawing/2014/main" id="{00000000-0008-0000-0000-0000CC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408" name="TextBox 6407">
          <a:extLst>
            <a:ext uri="{FF2B5EF4-FFF2-40B4-BE49-F238E27FC236}">
              <a16:creationId xmlns:a16="http://schemas.microsoft.com/office/drawing/2014/main" id="{00000000-0008-0000-0000-0000CD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409" name="TextBox 6408">
          <a:extLst>
            <a:ext uri="{FF2B5EF4-FFF2-40B4-BE49-F238E27FC236}">
              <a16:creationId xmlns:a16="http://schemas.microsoft.com/office/drawing/2014/main" id="{00000000-0008-0000-0000-0000CE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410" name="TextBox 6409">
          <a:extLst>
            <a:ext uri="{FF2B5EF4-FFF2-40B4-BE49-F238E27FC236}">
              <a16:creationId xmlns:a16="http://schemas.microsoft.com/office/drawing/2014/main" id="{00000000-0008-0000-0000-0000CF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411" name="TextBox 6410">
          <a:extLst>
            <a:ext uri="{FF2B5EF4-FFF2-40B4-BE49-F238E27FC236}">
              <a16:creationId xmlns:a16="http://schemas.microsoft.com/office/drawing/2014/main" id="{00000000-0008-0000-0000-0000D0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412" name="TextBox 6411">
          <a:extLst>
            <a:ext uri="{FF2B5EF4-FFF2-40B4-BE49-F238E27FC236}">
              <a16:creationId xmlns:a16="http://schemas.microsoft.com/office/drawing/2014/main" id="{00000000-0008-0000-0000-0000D1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413" name="TextBox 6412">
          <a:extLst>
            <a:ext uri="{FF2B5EF4-FFF2-40B4-BE49-F238E27FC236}">
              <a16:creationId xmlns:a16="http://schemas.microsoft.com/office/drawing/2014/main" id="{00000000-0008-0000-0000-0000D2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414" name="TextBox 6413">
          <a:extLst>
            <a:ext uri="{FF2B5EF4-FFF2-40B4-BE49-F238E27FC236}">
              <a16:creationId xmlns:a16="http://schemas.microsoft.com/office/drawing/2014/main" id="{00000000-0008-0000-0000-0000D3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415" name="TextBox 6414">
          <a:extLst>
            <a:ext uri="{FF2B5EF4-FFF2-40B4-BE49-F238E27FC236}">
              <a16:creationId xmlns:a16="http://schemas.microsoft.com/office/drawing/2014/main" id="{00000000-0008-0000-0000-0000D4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416" name="TextBox 6415">
          <a:extLst>
            <a:ext uri="{FF2B5EF4-FFF2-40B4-BE49-F238E27FC236}">
              <a16:creationId xmlns:a16="http://schemas.microsoft.com/office/drawing/2014/main" id="{00000000-0008-0000-0000-0000D5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417" name="TextBox 6416">
          <a:extLst>
            <a:ext uri="{FF2B5EF4-FFF2-40B4-BE49-F238E27FC236}">
              <a16:creationId xmlns:a16="http://schemas.microsoft.com/office/drawing/2014/main" id="{00000000-0008-0000-0000-0000D6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418" name="TextBox 6417">
          <a:extLst>
            <a:ext uri="{FF2B5EF4-FFF2-40B4-BE49-F238E27FC236}">
              <a16:creationId xmlns:a16="http://schemas.microsoft.com/office/drawing/2014/main" id="{00000000-0008-0000-0000-0000D7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419" name="TextBox 6418">
          <a:extLst>
            <a:ext uri="{FF2B5EF4-FFF2-40B4-BE49-F238E27FC236}">
              <a16:creationId xmlns:a16="http://schemas.microsoft.com/office/drawing/2014/main" id="{00000000-0008-0000-0000-0000D8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420" name="TextBox 6419">
          <a:extLst>
            <a:ext uri="{FF2B5EF4-FFF2-40B4-BE49-F238E27FC236}">
              <a16:creationId xmlns:a16="http://schemas.microsoft.com/office/drawing/2014/main" id="{00000000-0008-0000-0000-0000D9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421" name="TextBox 6420">
          <a:extLst>
            <a:ext uri="{FF2B5EF4-FFF2-40B4-BE49-F238E27FC236}">
              <a16:creationId xmlns:a16="http://schemas.microsoft.com/office/drawing/2014/main" id="{00000000-0008-0000-0000-0000DA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422" name="TextBox 6421">
          <a:extLst>
            <a:ext uri="{FF2B5EF4-FFF2-40B4-BE49-F238E27FC236}">
              <a16:creationId xmlns:a16="http://schemas.microsoft.com/office/drawing/2014/main" id="{00000000-0008-0000-0000-0000DB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423" name="TextBox 6422">
          <a:extLst>
            <a:ext uri="{FF2B5EF4-FFF2-40B4-BE49-F238E27FC236}">
              <a16:creationId xmlns:a16="http://schemas.microsoft.com/office/drawing/2014/main" id="{00000000-0008-0000-0000-0000DC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424" name="TextBox 6423">
          <a:extLst>
            <a:ext uri="{FF2B5EF4-FFF2-40B4-BE49-F238E27FC236}">
              <a16:creationId xmlns:a16="http://schemas.microsoft.com/office/drawing/2014/main" id="{00000000-0008-0000-0000-0000DD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425" name="TextBox 6424">
          <a:extLst>
            <a:ext uri="{FF2B5EF4-FFF2-40B4-BE49-F238E27FC236}">
              <a16:creationId xmlns:a16="http://schemas.microsoft.com/office/drawing/2014/main" id="{00000000-0008-0000-0000-0000DE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426" name="TextBox 6425">
          <a:extLst>
            <a:ext uri="{FF2B5EF4-FFF2-40B4-BE49-F238E27FC236}">
              <a16:creationId xmlns:a16="http://schemas.microsoft.com/office/drawing/2014/main" id="{00000000-0008-0000-0000-0000DF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427" name="TextBox 6426">
          <a:extLst>
            <a:ext uri="{FF2B5EF4-FFF2-40B4-BE49-F238E27FC236}">
              <a16:creationId xmlns:a16="http://schemas.microsoft.com/office/drawing/2014/main" id="{00000000-0008-0000-0000-0000E0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428" name="TextBox 6427">
          <a:extLst>
            <a:ext uri="{FF2B5EF4-FFF2-40B4-BE49-F238E27FC236}">
              <a16:creationId xmlns:a16="http://schemas.microsoft.com/office/drawing/2014/main" id="{00000000-0008-0000-0000-0000E1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429" name="TextBox 6428">
          <a:extLst>
            <a:ext uri="{FF2B5EF4-FFF2-40B4-BE49-F238E27FC236}">
              <a16:creationId xmlns:a16="http://schemas.microsoft.com/office/drawing/2014/main" id="{00000000-0008-0000-0000-0000E2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430" name="TextBox 6429">
          <a:extLst>
            <a:ext uri="{FF2B5EF4-FFF2-40B4-BE49-F238E27FC236}">
              <a16:creationId xmlns:a16="http://schemas.microsoft.com/office/drawing/2014/main" id="{00000000-0008-0000-0000-0000E3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431" name="TextBox 6430">
          <a:extLst>
            <a:ext uri="{FF2B5EF4-FFF2-40B4-BE49-F238E27FC236}">
              <a16:creationId xmlns:a16="http://schemas.microsoft.com/office/drawing/2014/main" id="{00000000-0008-0000-0000-0000E4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432" name="TextBox 6431">
          <a:extLst>
            <a:ext uri="{FF2B5EF4-FFF2-40B4-BE49-F238E27FC236}">
              <a16:creationId xmlns:a16="http://schemas.microsoft.com/office/drawing/2014/main" id="{00000000-0008-0000-0000-0000E5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433" name="TextBox 6432">
          <a:extLst>
            <a:ext uri="{FF2B5EF4-FFF2-40B4-BE49-F238E27FC236}">
              <a16:creationId xmlns:a16="http://schemas.microsoft.com/office/drawing/2014/main" id="{00000000-0008-0000-0000-0000E6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434" name="TextBox 6433">
          <a:extLst>
            <a:ext uri="{FF2B5EF4-FFF2-40B4-BE49-F238E27FC236}">
              <a16:creationId xmlns:a16="http://schemas.microsoft.com/office/drawing/2014/main" id="{00000000-0008-0000-0000-0000E7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435" name="TextBox 6434">
          <a:extLst>
            <a:ext uri="{FF2B5EF4-FFF2-40B4-BE49-F238E27FC236}">
              <a16:creationId xmlns:a16="http://schemas.microsoft.com/office/drawing/2014/main" id="{00000000-0008-0000-0000-0000E8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436" name="TextBox 6435">
          <a:extLst>
            <a:ext uri="{FF2B5EF4-FFF2-40B4-BE49-F238E27FC236}">
              <a16:creationId xmlns:a16="http://schemas.microsoft.com/office/drawing/2014/main" id="{00000000-0008-0000-0000-0000E9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437" name="TextBox 6436">
          <a:extLst>
            <a:ext uri="{FF2B5EF4-FFF2-40B4-BE49-F238E27FC236}">
              <a16:creationId xmlns:a16="http://schemas.microsoft.com/office/drawing/2014/main" id="{00000000-0008-0000-0000-0000EA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438" name="TextBox 6437">
          <a:extLst>
            <a:ext uri="{FF2B5EF4-FFF2-40B4-BE49-F238E27FC236}">
              <a16:creationId xmlns:a16="http://schemas.microsoft.com/office/drawing/2014/main" id="{00000000-0008-0000-0000-0000EB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439" name="TextBox 6438">
          <a:extLst>
            <a:ext uri="{FF2B5EF4-FFF2-40B4-BE49-F238E27FC236}">
              <a16:creationId xmlns:a16="http://schemas.microsoft.com/office/drawing/2014/main" id="{00000000-0008-0000-0000-0000EC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440" name="TextBox 6439">
          <a:extLst>
            <a:ext uri="{FF2B5EF4-FFF2-40B4-BE49-F238E27FC236}">
              <a16:creationId xmlns:a16="http://schemas.microsoft.com/office/drawing/2014/main" id="{00000000-0008-0000-0000-0000ED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441" name="TextBox 6440">
          <a:extLst>
            <a:ext uri="{FF2B5EF4-FFF2-40B4-BE49-F238E27FC236}">
              <a16:creationId xmlns:a16="http://schemas.microsoft.com/office/drawing/2014/main" id="{00000000-0008-0000-0000-0000EE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442" name="TextBox 6441">
          <a:extLst>
            <a:ext uri="{FF2B5EF4-FFF2-40B4-BE49-F238E27FC236}">
              <a16:creationId xmlns:a16="http://schemas.microsoft.com/office/drawing/2014/main" id="{00000000-0008-0000-0000-0000EF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443" name="TextBox 6442">
          <a:extLst>
            <a:ext uri="{FF2B5EF4-FFF2-40B4-BE49-F238E27FC236}">
              <a16:creationId xmlns:a16="http://schemas.microsoft.com/office/drawing/2014/main" id="{00000000-0008-0000-0000-0000F0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444" name="TextBox 6443">
          <a:extLst>
            <a:ext uri="{FF2B5EF4-FFF2-40B4-BE49-F238E27FC236}">
              <a16:creationId xmlns:a16="http://schemas.microsoft.com/office/drawing/2014/main" id="{00000000-0008-0000-0000-0000F1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445" name="TextBox 6444">
          <a:extLst>
            <a:ext uri="{FF2B5EF4-FFF2-40B4-BE49-F238E27FC236}">
              <a16:creationId xmlns:a16="http://schemas.microsoft.com/office/drawing/2014/main" id="{00000000-0008-0000-0000-0000F2010000}"/>
            </a:ext>
          </a:extLst>
        </xdr:cNvPr>
        <xdr:cNvSpPr txBox="1"/>
      </xdr:nvSpPr>
      <xdr:spPr>
        <a:xfrm>
          <a:off x="1258062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446" name="TextBox 6445">
          <a:extLst>
            <a:ext uri="{FF2B5EF4-FFF2-40B4-BE49-F238E27FC236}">
              <a16:creationId xmlns:a16="http://schemas.microsoft.com/office/drawing/2014/main" id="{00000000-0008-0000-0000-0000F3010000}"/>
            </a:ext>
          </a:extLst>
        </xdr:cNvPr>
        <xdr:cNvSpPr txBox="1"/>
      </xdr:nvSpPr>
      <xdr:spPr>
        <a:xfrm>
          <a:off x="1258062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447" name="TextBox 6446">
          <a:extLst>
            <a:ext uri="{FF2B5EF4-FFF2-40B4-BE49-F238E27FC236}">
              <a16:creationId xmlns:a16="http://schemas.microsoft.com/office/drawing/2014/main" id="{00000000-0008-0000-0000-0000F4010000}"/>
            </a:ext>
          </a:extLst>
        </xdr:cNvPr>
        <xdr:cNvSpPr txBox="1"/>
      </xdr:nvSpPr>
      <xdr:spPr>
        <a:xfrm>
          <a:off x="1258062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448" name="TextBox 6447">
          <a:extLst>
            <a:ext uri="{FF2B5EF4-FFF2-40B4-BE49-F238E27FC236}">
              <a16:creationId xmlns:a16="http://schemas.microsoft.com/office/drawing/2014/main" id="{00000000-0008-0000-0000-0000F5010000}"/>
            </a:ext>
          </a:extLst>
        </xdr:cNvPr>
        <xdr:cNvSpPr txBox="1"/>
      </xdr:nvSpPr>
      <xdr:spPr>
        <a:xfrm>
          <a:off x="1258062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449" name="TextBox 6448">
          <a:extLst>
            <a:ext uri="{FF2B5EF4-FFF2-40B4-BE49-F238E27FC236}">
              <a16:creationId xmlns:a16="http://schemas.microsoft.com/office/drawing/2014/main" id="{00000000-0008-0000-0000-0000F6010000}"/>
            </a:ext>
          </a:extLst>
        </xdr:cNvPr>
        <xdr:cNvSpPr txBox="1"/>
      </xdr:nvSpPr>
      <xdr:spPr>
        <a:xfrm>
          <a:off x="1258062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450" name="TextBox 6449">
          <a:extLst>
            <a:ext uri="{FF2B5EF4-FFF2-40B4-BE49-F238E27FC236}">
              <a16:creationId xmlns:a16="http://schemas.microsoft.com/office/drawing/2014/main" id="{00000000-0008-0000-0000-0000F7010000}"/>
            </a:ext>
          </a:extLst>
        </xdr:cNvPr>
        <xdr:cNvSpPr txBox="1"/>
      </xdr:nvSpPr>
      <xdr:spPr>
        <a:xfrm>
          <a:off x="1258062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451" name="TextBox 6450">
          <a:extLst>
            <a:ext uri="{FF2B5EF4-FFF2-40B4-BE49-F238E27FC236}">
              <a16:creationId xmlns:a16="http://schemas.microsoft.com/office/drawing/2014/main" id="{00000000-0008-0000-0000-0000F8010000}"/>
            </a:ext>
          </a:extLst>
        </xdr:cNvPr>
        <xdr:cNvSpPr txBox="1"/>
      </xdr:nvSpPr>
      <xdr:spPr>
        <a:xfrm>
          <a:off x="1258062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452" name="TextBox 6451">
          <a:extLst>
            <a:ext uri="{FF2B5EF4-FFF2-40B4-BE49-F238E27FC236}">
              <a16:creationId xmlns:a16="http://schemas.microsoft.com/office/drawing/2014/main" id="{00000000-0008-0000-0000-0000F9010000}"/>
            </a:ext>
          </a:extLst>
        </xdr:cNvPr>
        <xdr:cNvSpPr txBox="1"/>
      </xdr:nvSpPr>
      <xdr:spPr>
        <a:xfrm>
          <a:off x="1258062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6453" name="TextBox 6452">
          <a:extLst>
            <a:ext uri="{FF2B5EF4-FFF2-40B4-BE49-F238E27FC236}">
              <a16:creationId xmlns:a16="http://schemas.microsoft.com/office/drawing/2014/main" id="{D790F7C5-4FB4-4169-AECB-29A162C3B4E0}"/>
            </a:ext>
          </a:extLst>
        </xdr:cNvPr>
        <xdr:cNvSpPr txBox="1"/>
      </xdr:nvSpPr>
      <xdr:spPr>
        <a:xfrm>
          <a:off x="1258062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6454" name="TextBox 6453">
          <a:extLst>
            <a:ext uri="{FF2B5EF4-FFF2-40B4-BE49-F238E27FC236}">
              <a16:creationId xmlns:a16="http://schemas.microsoft.com/office/drawing/2014/main" id="{4B3266CB-1924-4B0B-A63A-F668BBA86148}"/>
            </a:ext>
          </a:extLst>
        </xdr:cNvPr>
        <xdr:cNvSpPr txBox="1"/>
      </xdr:nvSpPr>
      <xdr:spPr>
        <a:xfrm>
          <a:off x="1258062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6455" name="TextBox 6454">
          <a:extLst>
            <a:ext uri="{FF2B5EF4-FFF2-40B4-BE49-F238E27FC236}">
              <a16:creationId xmlns:a16="http://schemas.microsoft.com/office/drawing/2014/main" id="{CBC7410D-7C3A-41C0-B6C7-F75F0212AE33}"/>
            </a:ext>
          </a:extLst>
        </xdr:cNvPr>
        <xdr:cNvSpPr txBox="1"/>
      </xdr:nvSpPr>
      <xdr:spPr>
        <a:xfrm>
          <a:off x="1258062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6456" name="TextBox 6455">
          <a:extLst>
            <a:ext uri="{FF2B5EF4-FFF2-40B4-BE49-F238E27FC236}">
              <a16:creationId xmlns:a16="http://schemas.microsoft.com/office/drawing/2014/main" id="{50BBF757-870F-4C5F-8A6D-BB01D20FB785}"/>
            </a:ext>
          </a:extLst>
        </xdr:cNvPr>
        <xdr:cNvSpPr txBox="1"/>
      </xdr:nvSpPr>
      <xdr:spPr>
        <a:xfrm>
          <a:off x="1258062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6457" name="TextBox 6456">
          <a:extLst>
            <a:ext uri="{FF2B5EF4-FFF2-40B4-BE49-F238E27FC236}">
              <a16:creationId xmlns:a16="http://schemas.microsoft.com/office/drawing/2014/main" id="{924A6A0B-67A0-4D39-98DD-B4890EA7059F}"/>
            </a:ext>
          </a:extLst>
        </xdr:cNvPr>
        <xdr:cNvSpPr txBox="1"/>
      </xdr:nvSpPr>
      <xdr:spPr>
        <a:xfrm>
          <a:off x="1258062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6458" name="TextBox 6457">
          <a:extLst>
            <a:ext uri="{FF2B5EF4-FFF2-40B4-BE49-F238E27FC236}">
              <a16:creationId xmlns:a16="http://schemas.microsoft.com/office/drawing/2014/main" id="{418D698A-7CAD-4873-9383-980E4B117409}"/>
            </a:ext>
          </a:extLst>
        </xdr:cNvPr>
        <xdr:cNvSpPr txBox="1"/>
      </xdr:nvSpPr>
      <xdr:spPr>
        <a:xfrm>
          <a:off x="1258062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6459" name="TextBox 6458">
          <a:extLst>
            <a:ext uri="{FF2B5EF4-FFF2-40B4-BE49-F238E27FC236}">
              <a16:creationId xmlns:a16="http://schemas.microsoft.com/office/drawing/2014/main" id="{D4576B78-2AC7-4FA0-B5A6-410991F126C0}"/>
            </a:ext>
          </a:extLst>
        </xdr:cNvPr>
        <xdr:cNvSpPr txBox="1"/>
      </xdr:nvSpPr>
      <xdr:spPr>
        <a:xfrm>
          <a:off x="1258062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6460" name="TextBox 6459">
          <a:extLst>
            <a:ext uri="{FF2B5EF4-FFF2-40B4-BE49-F238E27FC236}">
              <a16:creationId xmlns:a16="http://schemas.microsoft.com/office/drawing/2014/main" id="{3F70C200-9F35-47B9-A6A0-8BD020BFA9F5}"/>
            </a:ext>
          </a:extLst>
        </xdr:cNvPr>
        <xdr:cNvSpPr txBox="1"/>
      </xdr:nvSpPr>
      <xdr:spPr>
        <a:xfrm>
          <a:off x="1258062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6461" name="TextBox 6460">
          <a:extLst>
            <a:ext uri="{FF2B5EF4-FFF2-40B4-BE49-F238E27FC236}">
              <a16:creationId xmlns:a16="http://schemas.microsoft.com/office/drawing/2014/main" id="{B21B1052-165D-406E-ACA9-FA2B1238ADAA}"/>
            </a:ext>
          </a:extLst>
        </xdr:cNvPr>
        <xdr:cNvSpPr txBox="1"/>
      </xdr:nvSpPr>
      <xdr:spPr>
        <a:xfrm>
          <a:off x="1258062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6462" name="TextBox 6461">
          <a:extLst>
            <a:ext uri="{FF2B5EF4-FFF2-40B4-BE49-F238E27FC236}">
              <a16:creationId xmlns:a16="http://schemas.microsoft.com/office/drawing/2014/main" id="{65417AB6-2889-49DD-9AEF-7149F5D9B7B2}"/>
            </a:ext>
          </a:extLst>
        </xdr:cNvPr>
        <xdr:cNvSpPr txBox="1"/>
      </xdr:nvSpPr>
      <xdr:spPr>
        <a:xfrm>
          <a:off x="1258062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6463" name="TextBox 6462">
          <a:extLst>
            <a:ext uri="{FF2B5EF4-FFF2-40B4-BE49-F238E27FC236}">
              <a16:creationId xmlns:a16="http://schemas.microsoft.com/office/drawing/2014/main" id="{7BF692BA-8340-4141-BC82-F9CF78D79873}"/>
            </a:ext>
          </a:extLst>
        </xdr:cNvPr>
        <xdr:cNvSpPr txBox="1"/>
      </xdr:nvSpPr>
      <xdr:spPr>
        <a:xfrm>
          <a:off x="1258062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6464" name="TextBox 6463">
          <a:extLst>
            <a:ext uri="{FF2B5EF4-FFF2-40B4-BE49-F238E27FC236}">
              <a16:creationId xmlns:a16="http://schemas.microsoft.com/office/drawing/2014/main" id="{79127C80-C540-411B-B139-200EBBA5DA66}"/>
            </a:ext>
          </a:extLst>
        </xdr:cNvPr>
        <xdr:cNvSpPr txBox="1"/>
      </xdr:nvSpPr>
      <xdr:spPr>
        <a:xfrm>
          <a:off x="1258062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6465" name="TextBox 6464">
          <a:extLst>
            <a:ext uri="{FF2B5EF4-FFF2-40B4-BE49-F238E27FC236}">
              <a16:creationId xmlns:a16="http://schemas.microsoft.com/office/drawing/2014/main" id="{B67D3F3D-F87A-4ACF-91FC-9A53D5A2D4D3}"/>
            </a:ext>
          </a:extLst>
        </xdr:cNvPr>
        <xdr:cNvSpPr txBox="1"/>
      </xdr:nvSpPr>
      <xdr:spPr>
        <a:xfrm>
          <a:off x="1258062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6466" name="TextBox 6465">
          <a:extLst>
            <a:ext uri="{FF2B5EF4-FFF2-40B4-BE49-F238E27FC236}">
              <a16:creationId xmlns:a16="http://schemas.microsoft.com/office/drawing/2014/main" id="{58EC8DC8-71FC-42BE-93DA-79FE716E2108}"/>
            </a:ext>
          </a:extLst>
        </xdr:cNvPr>
        <xdr:cNvSpPr txBox="1"/>
      </xdr:nvSpPr>
      <xdr:spPr>
        <a:xfrm>
          <a:off x="1258062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467" name="TextBox 6466">
          <a:extLst>
            <a:ext uri="{FF2B5EF4-FFF2-40B4-BE49-F238E27FC236}">
              <a16:creationId xmlns:a16="http://schemas.microsoft.com/office/drawing/2014/main" id="{7B7B12E6-3D6A-411C-8750-B2D904ED71B9}"/>
            </a:ext>
          </a:extLst>
        </xdr:cNvPr>
        <xdr:cNvSpPr txBox="1"/>
      </xdr:nvSpPr>
      <xdr:spPr>
        <a:xfrm>
          <a:off x="1258062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468" name="TextBox 6467">
          <a:extLst>
            <a:ext uri="{FF2B5EF4-FFF2-40B4-BE49-F238E27FC236}">
              <a16:creationId xmlns:a16="http://schemas.microsoft.com/office/drawing/2014/main" id="{F482887C-F492-4307-823C-4E10D7821CC6}"/>
            </a:ext>
          </a:extLst>
        </xdr:cNvPr>
        <xdr:cNvSpPr txBox="1"/>
      </xdr:nvSpPr>
      <xdr:spPr>
        <a:xfrm>
          <a:off x="1258062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469" name="TextBox 6468">
          <a:extLst>
            <a:ext uri="{FF2B5EF4-FFF2-40B4-BE49-F238E27FC236}">
              <a16:creationId xmlns:a16="http://schemas.microsoft.com/office/drawing/2014/main" id="{0949CA64-0CC0-4B53-A59D-24AD43506153}"/>
            </a:ext>
          </a:extLst>
        </xdr:cNvPr>
        <xdr:cNvSpPr txBox="1"/>
      </xdr:nvSpPr>
      <xdr:spPr>
        <a:xfrm>
          <a:off x="1258062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470" name="TextBox 6469">
          <a:extLst>
            <a:ext uri="{FF2B5EF4-FFF2-40B4-BE49-F238E27FC236}">
              <a16:creationId xmlns:a16="http://schemas.microsoft.com/office/drawing/2014/main" id="{AF47DE7E-DEEE-4D8F-BEA0-B678FC4108A0}"/>
            </a:ext>
          </a:extLst>
        </xdr:cNvPr>
        <xdr:cNvSpPr txBox="1"/>
      </xdr:nvSpPr>
      <xdr:spPr>
        <a:xfrm>
          <a:off x="1258062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471" name="TextBox 6470">
          <a:extLst>
            <a:ext uri="{FF2B5EF4-FFF2-40B4-BE49-F238E27FC236}">
              <a16:creationId xmlns:a16="http://schemas.microsoft.com/office/drawing/2014/main" id="{50B7B56B-3E53-478E-BD2A-1CB44BB0EE30}"/>
            </a:ext>
          </a:extLst>
        </xdr:cNvPr>
        <xdr:cNvSpPr txBox="1"/>
      </xdr:nvSpPr>
      <xdr:spPr>
        <a:xfrm>
          <a:off x="1258062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472" name="TextBox 6471">
          <a:extLst>
            <a:ext uri="{FF2B5EF4-FFF2-40B4-BE49-F238E27FC236}">
              <a16:creationId xmlns:a16="http://schemas.microsoft.com/office/drawing/2014/main" id="{9A76D97E-F211-4995-A860-8787CD5178FF}"/>
            </a:ext>
          </a:extLst>
        </xdr:cNvPr>
        <xdr:cNvSpPr txBox="1"/>
      </xdr:nvSpPr>
      <xdr:spPr>
        <a:xfrm>
          <a:off x="1258062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473" name="TextBox 6472">
          <a:extLst>
            <a:ext uri="{FF2B5EF4-FFF2-40B4-BE49-F238E27FC236}">
              <a16:creationId xmlns:a16="http://schemas.microsoft.com/office/drawing/2014/main" id="{9FC70A70-D526-4203-8E11-372D840B6103}"/>
            </a:ext>
          </a:extLst>
        </xdr:cNvPr>
        <xdr:cNvSpPr txBox="1"/>
      </xdr:nvSpPr>
      <xdr:spPr>
        <a:xfrm>
          <a:off x="1258062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474" name="TextBox 6473">
          <a:extLst>
            <a:ext uri="{FF2B5EF4-FFF2-40B4-BE49-F238E27FC236}">
              <a16:creationId xmlns:a16="http://schemas.microsoft.com/office/drawing/2014/main" id="{4F6B1A49-C9DC-473C-8ECD-E788E907B701}"/>
            </a:ext>
          </a:extLst>
        </xdr:cNvPr>
        <xdr:cNvSpPr txBox="1"/>
      </xdr:nvSpPr>
      <xdr:spPr>
        <a:xfrm>
          <a:off x="1258062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475" name="TextBox 6474">
          <a:extLst>
            <a:ext uri="{FF2B5EF4-FFF2-40B4-BE49-F238E27FC236}">
              <a16:creationId xmlns:a16="http://schemas.microsoft.com/office/drawing/2014/main" id="{7249EAE9-2088-4834-9241-A764E60A6F18}"/>
            </a:ext>
          </a:extLst>
        </xdr:cNvPr>
        <xdr:cNvSpPr txBox="1"/>
      </xdr:nvSpPr>
      <xdr:spPr>
        <a:xfrm>
          <a:off x="1258062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476" name="TextBox 6475">
          <a:extLst>
            <a:ext uri="{FF2B5EF4-FFF2-40B4-BE49-F238E27FC236}">
              <a16:creationId xmlns:a16="http://schemas.microsoft.com/office/drawing/2014/main" id="{CEEDDCB2-23A2-47B2-AA3F-37312ED4C714}"/>
            </a:ext>
          </a:extLst>
        </xdr:cNvPr>
        <xdr:cNvSpPr txBox="1"/>
      </xdr:nvSpPr>
      <xdr:spPr>
        <a:xfrm>
          <a:off x="1258062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477" name="TextBox 6476">
          <a:extLst>
            <a:ext uri="{FF2B5EF4-FFF2-40B4-BE49-F238E27FC236}">
              <a16:creationId xmlns:a16="http://schemas.microsoft.com/office/drawing/2014/main" id="{C53CCEBA-D398-4C3C-8E47-107C27B759C1}"/>
            </a:ext>
          </a:extLst>
        </xdr:cNvPr>
        <xdr:cNvSpPr txBox="1"/>
      </xdr:nvSpPr>
      <xdr:spPr>
        <a:xfrm>
          <a:off x="1258062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478" name="TextBox 6477">
          <a:extLst>
            <a:ext uri="{FF2B5EF4-FFF2-40B4-BE49-F238E27FC236}">
              <a16:creationId xmlns:a16="http://schemas.microsoft.com/office/drawing/2014/main" id="{C8C855ED-970E-43B8-A5B1-6F6ADBB998A9}"/>
            </a:ext>
          </a:extLst>
        </xdr:cNvPr>
        <xdr:cNvSpPr txBox="1"/>
      </xdr:nvSpPr>
      <xdr:spPr>
        <a:xfrm>
          <a:off x="1258062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479" name="TextBox 6478">
          <a:extLst>
            <a:ext uri="{FF2B5EF4-FFF2-40B4-BE49-F238E27FC236}">
              <a16:creationId xmlns:a16="http://schemas.microsoft.com/office/drawing/2014/main" id="{E705C099-0DDB-4CBB-91AA-6BD578E38D4C}"/>
            </a:ext>
          </a:extLst>
        </xdr:cNvPr>
        <xdr:cNvSpPr txBox="1"/>
      </xdr:nvSpPr>
      <xdr:spPr>
        <a:xfrm>
          <a:off x="1258062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480" name="TextBox 6479">
          <a:extLst>
            <a:ext uri="{FF2B5EF4-FFF2-40B4-BE49-F238E27FC236}">
              <a16:creationId xmlns:a16="http://schemas.microsoft.com/office/drawing/2014/main" id="{ADA9DEB9-F0D8-4AB1-B42C-8371D735EDB0}"/>
            </a:ext>
          </a:extLst>
        </xdr:cNvPr>
        <xdr:cNvSpPr txBox="1"/>
      </xdr:nvSpPr>
      <xdr:spPr>
        <a:xfrm>
          <a:off x="1258062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481" name="TextBox 6480">
          <a:extLst>
            <a:ext uri="{FF2B5EF4-FFF2-40B4-BE49-F238E27FC236}">
              <a16:creationId xmlns:a16="http://schemas.microsoft.com/office/drawing/2014/main" id="{709CBE26-A551-4C7C-A384-D56B48045E68}"/>
            </a:ext>
          </a:extLst>
        </xdr:cNvPr>
        <xdr:cNvSpPr txBox="1"/>
      </xdr:nvSpPr>
      <xdr:spPr>
        <a:xfrm>
          <a:off x="1258062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482" name="TextBox 6481">
          <a:extLst>
            <a:ext uri="{FF2B5EF4-FFF2-40B4-BE49-F238E27FC236}">
              <a16:creationId xmlns:a16="http://schemas.microsoft.com/office/drawing/2014/main" id="{FCF004D5-83CC-4601-BE3C-2D350D291279}"/>
            </a:ext>
          </a:extLst>
        </xdr:cNvPr>
        <xdr:cNvSpPr txBox="1"/>
      </xdr:nvSpPr>
      <xdr:spPr>
        <a:xfrm>
          <a:off x="1258062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483" name="TextBox 6482">
          <a:extLst>
            <a:ext uri="{FF2B5EF4-FFF2-40B4-BE49-F238E27FC236}">
              <a16:creationId xmlns:a16="http://schemas.microsoft.com/office/drawing/2014/main" id="{27CE9EF6-2DFA-4778-9205-D83560524403}"/>
            </a:ext>
          </a:extLst>
        </xdr:cNvPr>
        <xdr:cNvSpPr txBox="1"/>
      </xdr:nvSpPr>
      <xdr:spPr>
        <a:xfrm>
          <a:off x="1258062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484" name="TextBox 6483">
          <a:extLst>
            <a:ext uri="{FF2B5EF4-FFF2-40B4-BE49-F238E27FC236}">
              <a16:creationId xmlns:a16="http://schemas.microsoft.com/office/drawing/2014/main" id="{AEF2C205-301C-4560-BC83-375E974BCEAF}"/>
            </a:ext>
          </a:extLst>
        </xdr:cNvPr>
        <xdr:cNvSpPr txBox="1"/>
      </xdr:nvSpPr>
      <xdr:spPr>
        <a:xfrm>
          <a:off x="1258062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485" name="TextBox 6484">
          <a:extLst>
            <a:ext uri="{FF2B5EF4-FFF2-40B4-BE49-F238E27FC236}">
              <a16:creationId xmlns:a16="http://schemas.microsoft.com/office/drawing/2014/main" id="{3DCCF9ED-9B1F-4DC7-B839-6E3EB677417B}"/>
            </a:ext>
          </a:extLst>
        </xdr:cNvPr>
        <xdr:cNvSpPr txBox="1"/>
      </xdr:nvSpPr>
      <xdr:spPr>
        <a:xfrm>
          <a:off x="1258062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486" name="TextBox 6485">
          <a:extLst>
            <a:ext uri="{FF2B5EF4-FFF2-40B4-BE49-F238E27FC236}">
              <a16:creationId xmlns:a16="http://schemas.microsoft.com/office/drawing/2014/main" id="{3D9466B2-EB98-463C-88EA-A326C523B5D8}"/>
            </a:ext>
          </a:extLst>
        </xdr:cNvPr>
        <xdr:cNvSpPr txBox="1"/>
      </xdr:nvSpPr>
      <xdr:spPr>
        <a:xfrm>
          <a:off x="1258062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487" name="TextBox 6486">
          <a:extLst>
            <a:ext uri="{FF2B5EF4-FFF2-40B4-BE49-F238E27FC236}">
              <a16:creationId xmlns:a16="http://schemas.microsoft.com/office/drawing/2014/main" id="{0F2E4FBC-6F9D-49D8-B320-D21C3287204C}"/>
            </a:ext>
          </a:extLst>
        </xdr:cNvPr>
        <xdr:cNvSpPr txBox="1"/>
      </xdr:nvSpPr>
      <xdr:spPr>
        <a:xfrm>
          <a:off x="1258062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488" name="TextBox 6487">
          <a:extLst>
            <a:ext uri="{FF2B5EF4-FFF2-40B4-BE49-F238E27FC236}">
              <a16:creationId xmlns:a16="http://schemas.microsoft.com/office/drawing/2014/main" id="{9EE8A67A-FC51-41CC-B6A6-507074A0155B}"/>
            </a:ext>
          </a:extLst>
        </xdr:cNvPr>
        <xdr:cNvSpPr txBox="1"/>
      </xdr:nvSpPr>
      <xdr:spPr>
        <a:xfrm>
          <a:off x="1258062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489" name="TextBox 6488">
          <a:extLst>
            <a:ext uri="{FF2B5EF4-FFF2-40B4-BE49-F238E27FC236}">
              <a16:creationId xmlns:a16="http://schemas.microsoft.com/office/drawing/2014/main" id="{E3EE1ED8-1246-4E13-86A2-D686D3F3CFAC}"/>
            </a:ext>
          </a:extLst>
        </xdr:cNvPr>
        <xdr:cNvSpPr txBox="1"/>
      </xdr:nvSpPr>
      <xdr:spPr>
        <a:xfrm>
          <a:off x="1258062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490" name="TextBox 6489">
          <a:extLst>
            <a:ext uri="{FF2B5EF4-FFF2-40B4-BE49-F238E27FC236}">
              <a16:creationId xmlns:a16="http://schemas.microsoft.com/office/drawing/2014/main" id="{112F0F0B-ABFD-4DDD-BCB9-10FEAFDB5AD9}"/>
            </a:ext>
          </a:extLst>
        </xdr:cNvPr>
        <xdr:cNvSpPr txBox="1"/>
      </xdr:nvSpPr>
      <xdr:spPr>
        <a:xfrm>
          <a:off x="1258062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491" name="TextBox 6490">
          <a:extLst>
            <a:ext uri="{FF2B5EF4-FFF2-40B4-BE49-F238E27FC236}">
              <a16:creationId xmlns:a16="http://schemas.microsoft.com/office/drawing/2014/main" id="{12EDF718-BDAC-48A4-BBFB-24DCD5C1D4FC}"/>
            </a:ext>
          </a:extLst>
        </xdr:cNvPr>
        <xdr:cNvSpPr txBox="1"/>
      </xdr:nvSpPr>
      <xdr:spPr>
        <a:xfrm>
          <a:off x="1258062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492" name="TextBox 6491">
          <a:extLst>
            <a:ext uri="{FF2B5EF4-FFF2-40B4-BE49-F238E27FC236}">
              <a16:creationId xmlns:a16="http://schemas.microsoft.com/office/drawing/2014/main" id="{B3B85458-8D8F-4F12-B7C0-DC92B39A1F35}"/>
            </a:ext>
          </a:extLst>
        </xdr:cNvPr>
        <xdr:cNvSpPr txBox="1"/>
      </xdr:nvSpPr>
      <xdr:spPr>
        <a:xfrm>
          <a:off x="1258062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493" name="TextBox 6492">
          <a:extLst>
            <a:ext uri="{FF2B5EF4-FFF2-40B4-BE49-F238E27FC236}">
              <a16:creationId xmlns:a16="http://schemas.microsoft.com/office/drawing/2014/main" id="{BF066412-0AC2-4C2B-9E92-DFE86D6A185E}"/>
            </a:ext>
          </a:extLst>
        </xdr:cNvPr>
        <xdr:cNvSpPr txBox="1"/>
      </xdr:nvSpPr>
      <xdr:spPr>
        <a:xfrm>
          <a:off x="1258062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494" name="TextBox 6493">
          <a:extLst>
            <a:ext uri="{FF2B5EF4-FFF2-40B4-BE49-F238E27FC236}">
              <a16:creationId xmlns:a16="http://schemas.microsoft.com/office/drawing/2014/main" id="{F84E80ED-F217-41BA-9FA6-C1DBC25F3A17}"/>
            </a:ext>
          </a:extLst>
        </xdr:cNvPr>
        <xdr:cNvSpPr txBox="1"/>
      </xdr:nvSpPr>
      <xdr:spPr>
        <a:xfrm>
          <a:off x="1258062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164</xdr:row>
      <xdr:rowOff>0</xdr:rowOff>
    </xdr:from>
    <xdr:ext cx="65" cy="172227"/>
    <xdr:sp macro="" textlink="">
      <xdr:nvSpPr>
        <xdr:cNvPr id="6497" name="TextBox 6496">
          <a:extLst>
            <a:ext uri="{FF2B5EF4-FFF2-40B4-BE49-F238E27FC236}">
              <a16:creationId xmlns:a16="http://schemas.microsoft.com/office/drawing/2014/main" id="{00000000-0008-0000-0000-000007000000}"/>
            </a:ext>
          </a:extLst>
        </xdr:cNvPr>
        <xdr:cNvSpPr txBox="1"/>
      </xdr:nvSpPr>
      <xdr:spPr>
        <a:xfrm>
          <a:off x="8267700" y="35394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164</xdr:row>
      <xdr:rowOff>0</xdr:rowOff>
    </xdr:from>
    <xdr:ext cx="65" cy="172227"/>
    <xdr:sp macro="" textlink="">
      <xdr:nvSpPr>
        <xdr:cNvPr id="6501" name="TextBox 6500">
          <a:extLst>
            <a:ext uri="{FF2B5EF4-FFF2-40B4-BE49-F238E27FC236}">
              <a16:creationId xmlns:a16="http://schemas.microsoft.com/office/drawing/2014/main" id="{00000000-0008-0000-0000-00000B000000}"/>
            </a:ext>
          </a:extLst>
        </xdr:cNvPr>
        <xdr:cNvSpPr txBox="1"/>
      </xdr:nvSpPr>
      <xdr:spPr>
        <a:xfrm>
          <a:off x="8267700" y="35394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6502" name="TextBox 6501">
          <a:extLst>
            <a:ext uri="{FF2B5EF4-FFF2-40B4-BE49-F238E27FC236}">
              <a16:creationId xmlns:a16="http://schemas.microsoft.com/office/drawing/2014/main" id="{00000000-0008-0000-0000-00000C000000}"/>
            </a:ext>
          </a:extLst>
        </xdr:cNvPr>
        <xdr:cNvSpPr txBox="1"/>
      </xdr:nvSpPr>
      <xdr:spPr>
        <a:xfrm>
          <a:off x="8267700" y="35593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6503" name="TextBox 6502">
          <a:extLst>
            <a:ext uri="{FF2B5EF4-FFF2-40B4-BE49-F238E27FC236}">
              <a16:creationId xmlns:a16="http://schemas.microsoft.com/office/drawing/2014/main" id="{00000000-0008-0000-0000-00000D000000}"/>
            </a:ext>
          </a:extLst>
        </xdr:cNvPr>
        <xdr:cNvSpPr txBox="1"/>
      </xdr:nvSpPr>
      <xdr:spPr>
        <a:xfrm>
          <a:off x="8267700" y="35593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504" name="TextBox 6503">
          <a:extLst>
            <a:ext uri="{FF2B5EF4-FFF2-40B4-BE49-F238E27FC236}">
              <a16:creationId xmlns:a16="http://schemas.microsoft.com/office/drawing/2014/main" id="{00000000-0008-0000-0000-00000E000000}"/>
            </a:ext>
          </a:extLst>
        </xdr:cNvPr>
        <xdr:cNvSpPr txBox="1"/>
      </xdr:nvSpPr>
      <xdr:spPr>
        <a:xfrm>
          <a:off x="826770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505" name="TextBox 6504">
          <a:extLst>
            <a:ext uri="{FF2B5EF4-FFF2-40B4-BE49-F238E27FC236}">
              <a16:creationId xmlns:a16="http://schemas.microsoft.com/office/drawing/2014/main" id="{00000000-0008-0000-0000-00000F000000}"/>
            </a:ext>
          </a:extLst>
        </xdr:cNvPr>
        <xdr:cNvSpPr txBox="1"/>
      </xdr:nvSpPr>
      <xdr:spPr>
        <a:xfrm>
          <a:off x="826770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506" name="TextBox 6505">
          <a:extLst>
            <a:ext uri="{FF2B5EF4-FFF2-40B4-BE49-F238E27FC236}">
              <a16:creationId xmlns:a16="http://schemas.microsoft.com/office/drawing/2014/main" id="{00000000-0008-0000-0000-000010000000}"/>
            </a:ext>
          </a:extLst>
        </xdr:cNvPr>
        <xdr:cNvSpPr txBox="1"/>
      </xdr:nvSpPr>
      <xdr:spPr>
        <a:xfrm>
          <a:off x="826770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507" name="TextBox 6506">
          <a:extLst>
            <a:ext uri="{FF2B5EF4-FFF2-40B4-BE49-F238E27FC236}">
              <a16:creationId xmlns:a16="http://schemas.microsoft.com/office/drawing/2014/main" id="{00000000-0008-0000-0000-000011000000}"/>
            </a:ext>
          </a:extLst>
        </xdr:cNvPr>
        <xdr:cNvSpPr txBox="1"/>
      </xdr:nvSpPr>
      <xdr:spPr>
        <a:xfrm>
          <a:off x="826770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508" name="TextBox 6507">
          <a:extLst>
            <a:ext uri="{FF2B5EF4-FFF2-40B4-BE49-F238E27FC236}">
              <a16:creationId xmlns:a16="http://schemas.microsoft.com/office/drawing/2014/main" id="{00000000-0008-0000-0000-000012000000}"/>
            </a:ext>
          </a:extLst>
        </xdr:cNvPr>
        <xdr:cNvSpPr txBox="1"/>
      </xdr:nvSpPr>
      <xdr:spPr>
        <a:xfrm>
          <a:off x="826770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509" name="TextBox 6508">
          <a:extLst>
            <a:ext uri="{FF2B5EF4-FFF2-40B4-BE49-F238E27FC236}">
              <a16:creationId xmlns:a16="http://schemas.microsoft.com/office/drawing/2014/main" id="{00000000-0008-0000-0000-000013000000}"/>
            </a:ext>
          </a:extLst>
        </xdr:cNvPr>
        <xdr:cNvSpPr txBox="1"/>
      </xdr:nvSpPr>
      <xdr:spPr>
        <a:xfrm>
          <a:off x="826770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510" name="TextBox 6509">
          <a:extLst>
            <a:ext uri="{FF2B5EF4-FFF2-40B4-BE49-F238E27FC236}">
              <a16:creationId xmlns:a16="http://schemas.microsoft.com/office/drawing/2014/main" id="{00000000-0008-0000-0000-000014000000}"/>
            </a:ext>
          </a:extLst>
        </xdr:cNvPr>
        <xdr:cNvSpPr txBox="1"/>
      </xdr:nvSpPr>
      <xdr:spPr>
        <a:xfrm>
          <a:off x="826770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511" name="TextBox 6510">
          <a:extLst>
            <a:ext uri="{FF2B5EF4-FFF2-40B4-BE49-F238E27FC236}">
              <a16:creationId xmlns:a16="http://schemas.microsoft.com/office/drawing/2014/main" id="{00000000-0008-0000-0000-000015000000}"/>
            </a:ext>
          </a:extLst>
        </xdr:cNvPr>
        <xdr:cNvSpPr txBox="1"/>
      </xdr:nvSpPr>
      <xdr:spPr>
        <a:xfrm>
          <a:off x="826770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512" name="TextBox 6511">
          <a:extLst>
            <a:ext uri="{FF2B5EF4-FFF2-40B4-BE49-F238E27FC236}">
              <a16:creationId xmlns:a16="http://schemas.microsoft.com/office/drawing/2014/main" id="{00000000-0008-0000-0000-00001600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513" name="TextBox 6512">
          <a:extLst>
            <a:ext uri="{FF2B5EF4-FFF2-40B4-BE49-F238E27FC236}">
              <a16:creationId xmlns:a16="http://schemas.microsoft.com/office/drawing/2014/main" id="{00000000-0008-0000-0000-00001700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514" name="TextBox 6513">
          <a:extLst>
            <a:ext uri="{FF2B5EF4-FFF2-40B4-BE49-F238E27FC236}">
              <a16:creationId xmlns:a16="http://schemas.microsoft.com/office/drawing/2014/main" id="{00000000-0008-0000-0000-000018000000}"/>
            </a:ext>
          </a:extLst>
        </xdr:cNvPr>
        <xdr:cNvSpPr txBox="1"/>
      </xdr:nvSpPr>
      <xdr:spPr>
        <a:xfrm>
          <a:off x="8267700" y="36781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515" name="TextBox 6514">
          <a:extLst>
            <a:ext uri="{FF2B5EF4-FFF2-40B4-BE49-F238E27FC236}">
              <a16:creationId xmlns:a16="http://schemas.microsoft.com/office/drawing/2014/main" id="{00000000-0008-0000-0000-000019000000}"/>
            </a:ext>
          </a:extLst>
        </xdr:cNvPr>
        <xdr:cNvSpPr txBox="1"/>
      </xdr:nvSpPr>
      <xdr:spPr>
        <a:xfrm>
          <a:off x="8267700" y="36781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172</xdr:row>
      <xdr:rowOff>0</xdr:rowOff>
    </xdr:from>
    <xdr:ext cx="65" cy="172227"/>
    <xdr:sp macro="" textlink="">
      <xdr:nvSpPr>
        <xdr:cNvPr id="6516" name="TextBox 6515">
          <a:extLst>
            <a:ext uri="{FF2B5EF4-FFF2-40B4-BE49-F238E27FC236}">
              <a16:creationId xmlns:a16="http://schemas.microsoft.com/office/drawing/2014/main" id="{00000000-0008-0000-0000-00001A000000}"/>
            </a:ext>
          </a:extLst>
        </xdr:cNvPr>
        <xdr:cNvSpPr txBox="1"/>
      </xdr:nvSpPr>
      <xdr:spPr>
        <a:xfrm>
          <a:off x="8267700" y="36964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172</xdr:row>
      <xdr:rowOff>0</xdr:rowOff>
    </xdr:from>
    <xdr:ext cx="65" cy="172227"/>
    <xdr:sp macro="" textlink="">
      <xdr:nvSpPr>
        <xdr:cNvPr id="6517" name="TextBox 6516">
          <a:extLst>
            <a:ext uri="{FF2B5EF4-FFF2-40B4-BE49-F238E27FC236}">
              <a16:creationId xmlns:a16="http://schemas.microsoft.com/office/drawing/2014/main" id="{00000000-0008-0000-0000-00001B000000}"/>
            </a:ext>
          </a:extLst>
        </xdr:cNvPr>
        <xdr:cNvSpPr txBox="1"/>
      </xdr:nvSpPr>
      <xdr:spPr>
        <a:xfrm>
          <a:off x="8267700" y="36964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173</xdr:row>
      <xdr:rowOff>0</xdr:rowOff>
    </xdr:from>
    <xdr:ext cx="65" cy="172227"/>
    <xdr:sp macro="" textlink="">
      <xdr:nvSpPr>
        <xdr:cNvPr id="6518" name="TextBox 6517">
          <a:extLst>
            <a:ext uri="{FF2B5EF4-FFF2-40B4-BE49-F238E27FC236}">
              <a16:creationId xmlns:a16="http://schemas.microsoft.com/office/drawing/2014/main" id="{00000000-0008-0000-0000-00001C000000}"/>
            </a:ext>
          </a:extLst>
        </xdr:cNvPr>
        <xdr:cNvSpPr txBox="1"/>
      </xdr:nvSpPr>
      <xdr:spPr>
        <a:xfrm>
          <a:off x="8267700" y="37147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173</xdr:row>
      <xdr:rowOff>0</xdr:rowOff>
    </xdr:from>
    <xdr:ext cx="65" cy="172227"/>
    <xdr:sp macro="" textlink="">
      <xdr:nvSpPr>
        <xdr:cNvPr id="6519" name="TextBox 6518">
          <a:extLst>
            <a:ext uri="{FF2B5EF4-FFF2-40B4-BE49-F238E27FC236}">
              <a16:creationId xmlns:a16="http://schemas.microsoft.com/office/drawing/2014/main" id="{00000000-0008-0000-0000-00001D000000}"/>
            </a:ext>
          </a:extLst>
        </xdr:cNvPr>
        <xdr:cNvSpPr txBox="1"/>
      </xdr:nvSpPr>
      <xdr:spPr>
        <a:xfrm>
          <a:off x="8267700" y="37147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179</xdr:row>
      <xdr:rowOff>0</xdr:rowOff>
    </xdr:from>
    <xdr:ext cx="65" cy="172227"/>
    <xdr:sp macro="" textlink="">
      <xdr:nvSpPr>
        <xdr:cNvPr id="6520" name="TextBox 6519">
          <a:extLst>
            <a:ext uri="{FF2B5EF4-FFF2-40B4-BE49-F238E27FC236}">
              <a16:creationId xmlns:a16="http://schemas.microsoft.com/office/drawing/2014/main" id="{00000000-0008-0000-0000-00001E000000}"/>
            </a:ext>
          </a:extLst>
        </xdr:cNvPr>
        <xdr:cNvSpPr txBox="1"/>
      </xdr:nvSpPr>
      <xdr:spPr>
        <a:xfrm>
          <a:off x="8267700" y="38244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179</xdr:row>
      <xdr:rowOff>0</xdr:rowOff>
    </xdr:from>
    <xdr:ext cx="65" cy="172227"/>
    <xdr:sp macro="" textlink="">
      <xdr:nvSpPr>
        <xdr:cNvPr id="6521" name="TextBox 6520">
          <a:extLst>
            <a:ext uri="{FF2B5EF4-FFF2-40B4-BE49-F238E27FC236}">
              <a16:creationId xmlns:a16="http://schemas.microsoft.com/office/drawing/2014/main" id="{00000000-0008-0000-0000-00001F000000}"/>
            </a:ext>
          </a:extLst>
        </xdr:cNvPr>
        <xdr:cNvSpPr txBox="1"/>
      </xdr:nvSpPr>
      <xdr:spPr>
        <a:xfrm>
          <a:off x="8267700" y="38244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180</xdr:row>
      <xdr:rowOff>0</xdr:rowOff>
    </xdr:from>
    <xdr:ext cx="65" cy="172227"/>
    <xdr:sp macro="" textlink="">
      <xdr:nvSpPr>
        <xdr:cNvPr id="6522" name="TextBox 6521">
          <a:extLst>
            <a:ext uri="{FF2B5EF4-FFF2-40B4-BE49-F238E27FC236}">
              <a16:creationId xmlns:a16="http://schemas.microsoft.com/office/drawing/2014/main" id="{00000000-0008-0000-0000-000020000000}"/>
            </a:ext>
          </a:extLst>
        </xdr:cNvPr>
        <xdr:cNvSpPr txBox="1"/>
      </xdr:nvSpPr>
      <xdr:spPr>
        <a:xfrm>
          <a:off x="8267700" y="38427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180</xdr:row>
      <xdr:rowOff>0</xdr:rowOff>
    </xdr:from>
    <xdr:ext cx="65" cy="172227"/>
    <xdr:sp macro="" textlink="">
      <xdr:nvSpPr>
        <xdr:cNvPr id="6523" name="TextBox 6522">
          <a:extLst>
            <a:ext uri="{FF2B5EF4-FFF2-40B4-BE49-F238E27FC236}">
              <a16:creationId xmlns:a16="http://schemas.microsoft.com/office/drawing/2014/main" id="{00000000-0008-0000-0000-000021000000}"/>
            </a:ext>
          </a:extLst>
        </xdr:cNvPr>
        <xdr:cNvSpPr txBox="1"/>
      </xdr:nvSpPr>
      <xdr:spPr>
        <a:xfrm>
          <a:off x="8267700" y="38427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181</xdr:row>
      <xdr:rowOff>0</xdr:rowOff>
    </xdr:from>
    <xdr:ext cx="65" cy="172227"/>
    <xdr:sp macro="" textlink="">
      <xdr:nvSpPr>
        <xdr:cNvPr id="6524" name="TextBox 6523">
          <a:extLst>
            <a:ext uri="{FF2B5EF4-FFF2-40B4-BE49-F238E27FC236}">
              <a16:creationId xmlns:a16="http://schemas.microsoft.com/office/drawing/2014/main" id="{00000000-0008-0000-0000-000022000000}"/>
            </a:ext>
          </a:extLst>
        </xdr:cNvPr>
        <xdr:cNvSpPr txBox="1"/>
      </xdr:nvSpPr>
      <xdr:spPr>
        <a:xfrm>
          <a:off x="8267700" y="38610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181</xdr:row>
      <xdr:rowOff>0</xdr:rowOff>
    </xdr:from>
    <xdr:ext cx="65" cy="172227"/>
    <xdr:sp macro="" textlink="">
      <xdr:nvSpPr>
        <xdr:cNvPr id="6525" name="TextBox 6524">
          <a:extLst>
            <a:ext uri="{FF2B5EF4-FFF2-40B4-BE49-F238E27FC236}">
              <a16:creationId xmlns:a16="http://schemas.microsoft.com/office/drawing/2014/main" id="{00000000-0008-0000-0000-000023000000}"/>
            </a:ext>
          </a:extLst>
        </xdr:cNvPr>
        <xdr:cNvSpPr txBox="1"/>
      </xdr:nvSpPr>
      <xdr:spPr>
        <a:xfrm>
          <a:off x="8267700" y="38610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182</xdr:row>
      <xdr:rowOff>0</xdr:rowOff>
    </xdr:from>
    <xdr:ext cx="65" cy="172227"/>
    <xdr:sp macro="" textlink="">
      <xdr:nvSpPr>
        <xdr:cNvPr id="6526" name="TextBox 6525">
          <a:extLst>
            <a:ext uri="{FF2B5EF4-FFF2-40B4-BE49-F238E27FC236}">
              <a16:creationId xmlns:a16="http://schemas.microsoft.com/office/drawing/2014/main" id="{00000000-0008-0000-0000-000024000000}"/>
            </a:ext>
          </a:extLst>
        </xdr:cNvPr>
        <xdr:cNvSpPr txBox="1"/>
      </xdr:nvSpPr>
      <xdr:spPr>
        <a:xfrm>
          <a:off x="826770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182</xdr:row>
      <xdr:rowOff>0</xdr:rowOff>
    </xdr:from>
    <xdr:ext cx="65" cy="172227"/>
    <xdr:sp macro="" textlink="">
      <xdr:nvSpPr>
        <xdr:cNvPr id="6527" name="TextBox 6526">
          <a:extLst>
            <a:ext uri="{FF2B5EF4-FFF2-40B4-BE49-F238E27FC236}">
              <a16:creationId xmlns:a16="http://schemas.microsoft.com/office/drawing/2014/main" id="{00000000-0008-0000-0000-000025000000}"/>
            </a:ext>
          </a:extLst>
        </xdr:cNvPr>
        <xdr:cNvSpPr txBox="1"/>
      </xdr:nvSpPr>
      <xdr:spPr>
        <a:xfrm>
          <a:off x="826770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183</xdr:row>
      <xdr:rowOff>0</xdr:rowOff>
    </xdr:from>
    <xdr:ext cx="65" cy="172227"/>
    <xdr:sp macro="" textlink="">
      <xdr:nvSpPr>
        <xdr:cNvPr id="6528" name="TextBox 6527">
          <a:extLst>
            <a:ext uri="{FF2B5EF4-FFF2-40B4-BE49-F238E27FC236}">
              <a16:creationId xmlns:a16="http://schemas.microsoft.com/office/drawing/2014/main" id="{00000000-0008-0000-0000-000026000000}"/>
            </a:ext>
          </a:extLst>
        </xdr:cNvPr>
        <xdr:cNvSpPr txBox="1"/>
      </xdr:nvSpPr>
      <xdr:spPr>
        <a:xfrm>
          <a:off x="8267700" y="38976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183</xdr:row>
      <xdr:rowOff>0</xdr:rowOff>
    </xdr:from>
    <xdr:ext cx="65" cy="172227"/>
    <xdr:sp macro="" textlink="">
      <xdr:nvSpPr>
        <xdr:cNvPr id="6529" name="TextBox 6528">
          <a:extLst>
            <a:ext uri="{FF2B5EF4-FFF2-40B4-BE49-F238E27FC236}">
              <a16:creationId xmlns:a16="http://schemas.microsoft.com/office/drawing/2014/main" id="{00000000-0008-0000-0000-000027000000}"/>
            </a:ext>
          </a:extLst>
        </xdr:cNvPr>
        <xdr:cNvSpPr txBox="1"/>
      </xdr:nvSpPr>
      <xdr:spPr>
        <a:xfrm>
          <a:off x="8267700" y="38976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189</xdr:row>
      <xdr:rowOff>0</xdr:rowOff>
    </xdr:from>
    <xdr:ext cx="65" cy="172227"/>
    <xdr:sp macro="" textlink="">
      <xdr:nvSpPr>
        <xdr:cNvPr id="6530" name="TextBox 6529">
          <a:extLst>
            <a:ext uri="{FF2B5EF4-FFF2-40B4-BE49-F238E27FC236}">
              <a16:creationId xmlns:a16="http://schemas.microsoft.com/office/drawing/2014/main" id="{00000000-0008-0000-0000-000028000000}"/>
            </a:ext>
          </a:extLst>
        </xdr:cNvPr>
        <xdr:cNvSpPr txBox="1"/>
      </xdr:nvSpPr>
      <xdr:spPr>
        <a:xfrm>
          <a:off x="8267700" y="40073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189</xdr:row>
      <xdr:rowOff>0</xdr:rowOff>
    </xdr:from>
    <xdr:ext cx="65" cy="172227"/>
    <xdr:sp macro="" textlink="">
      <xdr:nvSpPr>
        <xdr:cNvPr id="6531" name="TextBox 6530">
          <a:extLst>
            <a:ext uri="{FF2B5EF4-FFF2-40B4-BE49-F238E27FC236}">
              <a16:creationId xmlns:a16="http://schemas.microsoft.com/office/drawing/2014/main" id="{00000000-0008-0000-0000-000029000000}"/>
            </a:ext>
          </a:extLst>
        </xdr:cNvPr>
        <xdr:cNvSpPr txBox="1"/>
      </xdr:nvSpPr>
      <xdr:spPr>
        <a:xfrm>
          <a:off x="8267700" y="40073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190</xdr:row>
      <xdr:rowOff>0</xdr:rowOff>
    </xdr:from>
    <xdr:ext cx="65" cy="172227"/>
    <xdr:sp macro="" textlink="">
      <xdr:nvSpPr>
        <xdr:cNvPr id="6532" name="TextBox 6531">
          <a:extLst>
            <a:ext uri="{FF2B5EF4-FFF2-40B4-BE49-F238E27FC236}">
              <a16:creationId xmlns:a16="http://schemas.microsoft.com/office/drawing/2014/main" id="{00000000-0008-0000-0000-00002A000000}"/>
            </a:ext>
          </a:extLst>
        </xdr:cNvPr>
        <xdr:cNvSpPr txBox="1"/>
      </xdr:nvSpPr>
      <xdr:spPr>
        <a:xfrm>
          <a:off x="8267700" y="40256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190</xdr:row>
      <xdr:rowOff>0</xdr:rowOff>
    </xdr:from>
    <xdr:ext cx="65" cy="172227"/>
    <xdr:sp macro="" textlink="">
      <xdr:nvSpPr>
        <xdr:cNvPr id="6533" name="TextBox 6532">
          <a:extLst>
            <a:ext uri="{FF2B5EF4-FFF2-40B4-BE49-F238E27FC236}">
              <a16:creationId xmlns:a16="http://schemas.microsoft.com/office/drawing/2014/main" id="{00000000-0008-0000-0000-00002B000000}"/>
            </a:ext>
          </a:extLst>
        </xdr:cNvPr>
        <xdr:cNvSpPr txBox="1"/>
      </xdr:nvSpPr>
      <xdr:spPr>
        <a:xfrm>
          <a:off x="8267700" y="40256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191</xdr:row>
      <xdr:rowOff>0</xdr:rowOff>
    </xdr:from>
    <xdr:ext cx="65" cy="172227"/>
    <xdr:sp macro="" textlink="">
      <xdr:nvSpPr>
        <xdr:cNvPr id="6534" name="TextBox 6533">
          <a:extLst>
            <a:ext uri="{FF2B5EF4-FFF2-40B4-BE49-F238E27FC236}">
              <a16:creationId xmlns:a16="http://schemas.microsoft.com/office/drawing/2014/main" id="{00000000-0008-0000-0000-00002C000000}"/>
            </a:ext>
          </a:extLst>
        </xdr:cNvPr>
        <xdr:cNvSpPr txBox="1"/>
      </xdr:nvSpPr>
      <xdr:spPr>
        <a:xfrm>
          <a:off x="8267700" y="40439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191</xdr:row>
      <xdr:rowOff>0</xdr:rowOff>
    </xdr:from>
    <xdr:ext cx="65" cy="172227"/>
    <xdr:sp macro="" textlink="">
      <xdr:nvSpPr>
        <xdr:cNvPr id="6535" name="TextBox 6534">
          <a:extLst>
            <a:ext uri="{FF2B5EF4-FFF2-40B4-BE49-F238E27FC236}">
              <a16:creationId xmlns:a16="http://schemas.microsoft.com/office/drawing/2014/main" id="{00000000-0008-0000-0000-00002D000000}"/>
            </a:ext>
          </a:extLst>
        </xdr:cNvPr>
        <xdr:cNvSpPr txBox="1"/>
      </xdr:nvSpPr>
      <xdr:spPr>
        <a:xfrm>
          <a:off x="8267700" y="40439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192</xdr:row>
      <xdr:rowOff>0</xdr:rowOff>
    </xdr:from>
    <xdr:ext cx="65" cy="172227"/>
    <xdr:sp macro="" textlink="">
      <xdr:nvSpPr>
        <xdr:cNvPr id="6536" name="TextBox 6535">
          <a:extLst>
            <a:ext uri="{FF2B5EF4-FFF2-40B4-BE49-F238E27FC236}">
              <a16:creationId xmlns:a16="http://schemas.microsoft.com/office/drawing/2014/main" id="{00000000-0008-0000-0000-00002E000000}"/>
            </a:ext>
          </a:extLst>
        </xdr:cNvPr>
        <xdr:cNvSpPr txBox="1"/>
      </xdr:nvSpPr>
      <xdr:spPr>
        <a:xfrm>
          <a:off x="8267700" y="40622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192</xdr:row>
      <xdr:rowOff>0</xdr:rowOff>
    </xdr:from>
    <xdr:ext cx="65" cy="172227"/>
    <xdr:sp macro="" textlink="">
      <xdr:nvSpPr>
        <xdr:cNvPr id="6537" name="TextBox 6536">
          <a:extLst>
            <a:ext uri="{FF2B5EF4-FFF2-40B4-BE49-F238E27FC236}">
              <a16:creationId xmlns:a16="http://schemas.microsoft.com/office/drawing/2014/main" id="{00000000-0008-0000-0000-00002F000000}"/>
            </a:ext>
          </a:extLst>
        </xdr:cNvPr>
        <xdr:cNvSpPr txBox="1"/>
      </xdr:nvSpPr>
      <xdr:spPr>
        <a:xfrm>
          <a:off x="8267700" y="40622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193</xdr:row>
      <xdr:rowOff>0</xdr:rowOff>
    </xdr:from>
    <xdr:ext cx="65" cy="172227"/>
    <xdr:sp macro="" textlink="">
      <xdr:nvSpPr>
        <xdr:cNvPr id="6538" name="TextBox 6537">
          <a:extLst>
            <a:ext uri="{FF2B5EF4-FFF2-40B4-BE49-F238E27FC236}">
              <a16:creationId xmlns:a16="http://schemas.microsoft.com/office/drawing/2014/main" id="{00000000-0008-0000-0000-000030000000}"/>
            </a:ext>
          </a:extLst>
        </xdr:cNvPr>
        <xdr:cNvSpPr txBox="1"/>
      </xdr:nvSpPr>
      <xdr:spPr>
        <a:xfrm>
          <a:off x="8267700" y="40805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193</xdr:row>
      <xdr:rowOff>0</xdr:rowOff>
    </xdr:from>
    <xdr:ext cx="65" cy="172227"/>
    <xdr:sp macro="" textlink="">
      <xdr:nvSpPr>
        <xdr:cNvPr id="6539" name="TextBox 6538">
          <a:extLst>
            <a:ext uri="{FF2B5EF4-FFF2-40B4-BE49-F238E27FC236}">
              <a16:creationId xmlns:a16="http://schemas.microsoft.com/office/drawing/2014/main" id="{00000000-0008-0000-0000-000031000000}"/>
            </a:ext>
          </a:extLst>
        </xdr:cNvPr>
        <xdr:cNvSpPr txBox="1"/>
      </xdr:nvSpPr>
      <xdr:spPr>
        <a:xfrm>
          <a:off x="8267700" y="40805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6540" name="TextBox 6539">
          <a:extLst>
            <a:ext uri="{FF2B5EF4-FFF2-40B4-BE49-F238E27FC236}">
              <a16:creationId xmlns:a16="http://schemas.microsoft.com/office/drawing/2014/main" id="{00000000-0008-0000-0000-000032000000}"/>
            </a:ext>
          </a:extLst>
        </xdr:cNvPr>
        <xdr:cNvSpPr txBox="1"/>
      </xdr:nvSpPr>
      <xdr:spPr>
        <a:xfrm>
          <a:off x="8267700" y="4153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6541" name="TextBox 6540">
          <a:extLst>
            <a:ext uri="{FF2B5EF4-FFF2-40B4-BE49-F238E27FC236}">
              <a16:creationId xmlns:a16="http://schemas.microsoft.com/office/drawing/2014/main" id="{00000000-0008-0000-0000-000033000000}"/>
            </a:ext>
          </a:extLst>
        </xdr:cNvPr>
        <xdr:cNvSpPr txBox="1"/>
      </xdr:nvSpPr>
      <xdr:spPr>
        <a:xfrm>
          <a:off x="8267700" y="4153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6542" name="TextBox 6541">
          <a:extLst>
            <a:ext uri="{FF2B5EF4-FFF2-40B4-BE49-F238E27FC236}">
              <a16:creationId xmlns:a16="http://schemas.microsoft.com/office/drawing/2014/main" id="{00000000-0008-0000-0000-000034000000}"/>
            </a:ext>
          </a:extLst>
        </xdr:cNvPr>
        <xdr:cNvSpPr txBox="1"/>
      </xdr:nvSpPr>
      <xdr:spPr>
        <a:xfrm>
          <a:off x="8267700" y="4153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6543" name="TextBox 6542">
          <a:extLst>
            <a:ext uri="{FF2B5EF4-FFF2-40B4-BE49-F238E27FC236}">
              <a16:creationId xmlns:a16="http://schemas.microsoft.com/office/drawing/2014/main" id="{00000000-0008-0000-0000-000035000000}"/>
            </a:ext>
          </a:extLst>
        </xdr:cNvPr>
        <xdr:cNvSpPr txBox="1"/>
      </xdr:nvSpPr>
      <xdr:spPr>
        <a:xfrm>
          <a:off x="8267700" y="4153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6544" name="TextBox 6543">
          <a:extLst>
            <a:ext uri="{FF2B5EF4-FFF2-40B4-BE49-F238E27FC236}">
              <a16:creationId xmlns:a16="http://schemas.microsoft.com/office/drawing/2014/main" id="{00000000-0008-0000-0000-000036000000}"/>
            </a:ext>
          </a:extLst>
        </xdr:cNvPr>
        <xdr:cNvSpPr txBox="1"/>
      </xdr:nvSpPr>
      <xdr:spPr>
        <a:xfrm>
          <a:off x="8267700" y="4153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6545" name="TextBox 6544">
          <a:extLst>
            <a:ext uri="{FF2B5EF4-FFF2-40B4-BE49-F238E27FC236}">
              <a16:creationId xmlns:a16="http://schemas.microsoft.com/office/drawing/2014/main" id="{00000000-0008-0000-0000-000037000000}"/>
            </a:ext>
          </a:extLst>
        </xdr:cNvPr>
        <xdr:cNvSpPr txBox="1"/>
      </xdr:nvSpPr>
      <xdr:spPr>
        <a:xfrm>
          <a:off x="8267700" y="4153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6546" name="TextBox 6545">
          <a:extLst>
            <a:ext uri="{FF2B5EF4-FFF2-40B4-BE49-F238E27FC236}">
              <a16:creationId xmlns:a16="http://schemas.microsoft.com/office/drawing/2014/main" id="{00000000-0008-0000-0000-000038000000}"/>
            </a:ext>
          </a:extLst>
        </xdr:cNvPr>
        <xdr:cNvSpPr txBox="1"/>
      </xdr:nvSpPr>
      <xdr:spPr>
        <a:xfrm>
          <a:off x="8267700" y="4153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6547" name="TextBox 6546">
          <a:extLst>
            <a:ext uri="{FF2B5EF4-FFF2-40B4-BE49-F238E27FC236}">
              <a16:creationId xmlns:a16="http://schemas.microsoft.com/office/drawing/2014/main" id="{00000000-0008-0000-0000-000039000000}"/>
            </a:ext>
          </a:extLst>
        </xdr:cNvPr>
        <xdr:cNvSpPr txBox="1"/>
      </xdr:nvSpPr>
      <xdr:spPr>
        <a:xfrm>
          <a:off x="8267700" y="4153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6548" name="TextBox 6547">
          <a:extLst>
            <a:ext uri="{FF2B5EF4-FFF2-40B4-BE49-F238E27FC236}">
              <a16:creationId xmlns:a16="http://schemas.microsoft.com/office/drawing/2014/main" id="{00000000-0008-0000-0000-00003A000000}"/>
            </a:ext>
          </a:extLst>
        </xdr:cNvPr>
        <xdr:cNvSpPr txBox="1"/>
      </xdr:nvSpPr>
      <xdr:spPr>
        <a:xfrm>
          <a:off x="8267700" y="4153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6549" name="TextBox 6548">
          <a:extLst>
            <a:ext uri="{FF2B5EF4-FFF2-40B4-BE49-F238E27FC236}">
              <a16:creationId xmlns:a16="http://schemas.microsoft.com/office/drawing/2014/main" id="{00000000-0008-0000-0000-00003B000000}"/>
            </a:ext>
          </a:extLst>
        </xdr:cNvPr>
        <xdr:cNvSpPr txBox="1"/>
      </xdr:nvSpPr>
      <xdr:spPr>
        <a:xfrm>
          <a:off x="8267700" y="4153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6550" name="TextBox 6549">
          <a:extLst>
            <a:ext uri="{FF2B5EF4-FFF2-40B4-BE49-F238E27FC236}">
              <a16:creationId xmlns:a16="http://schemas.microsoft.com/office/drawing/2014/main" id="{00000000-0008-0000-0000-00003C000000}"/>
            </a:ext>
          </a:extLst>
        </xdr:cNvPr>
        <xdr:cNvSpPr txBox="1"/>
      </xdr:nvSpPr>
      <xdr:spPr>
        <a:xfrm>
          <a:off x="8267700" y="4153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6551" name="TextBox 6550">
          <a:extLst>
            <a:ext uri="{FF2B5EF4-FFF2-40B4-BE49-F238E27FC236}">
              <a16:creationId xmlns:a16="http://schemas.microsoft.com/office/drawing/2014/main" id="{00000000-0008-0000-0000-00003D000000}"/>
            </a:ext>
          </a:extLst>
        </xdr:cNvPr>
        <xdr:cNvSpPr txBox="1"/>
      </xdr:nvSpPr>
      <xdr:spPr>
        <a:xfrm>
          <a:off x="8267700" y="4153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6552" name="TextBox 6551">
          <a:extLst>
            <a:ext uri="{FF2B5EF4-FFF2-40B4-BE49-F238E27FC236}">
              <a16:creationId xmlns:a16="http://schemas.microsoft.com/office/drawing/2014/main" id="{00000000-0008-0000-0000-00003E000000}"/>
            </a:ext>
          </a:extLst>
        </xdr:cNvPr>
        <xdr:cNvSpPr txBox="1"/>
      </xdr:nvSpPr>
      <xdr:spPr>
        <a:xfrm>
          <a:off x="8267700" y="4153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6553" name="TextBox 6552">
          <a:extLst>
            <a:ext uri="{FF2B5EF4-FFF2-40B4-BE49-F238E27FC236}">
              <a16:creationId xmlns:a16="http://schemas.microsoft.com/office/drawing/2014/main" id="{00000000-0008-0000-0000-00003F000000}"/>
            </a:ext>
          </a:extLst>
        </xdr:cNvPr>
        <xdr:cNvSpPr txBox="1"/>
      </xdr:nvSpPr>
      <xdr:spPr>
        <a:xfrm>
          <a:off x="8267700" y="4153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6554" name="TextBox 6553">
          <a:extLst>
            <a:ext uri="{FF2B5EF4-FFF2-40B4-BE49-F238E27FC236}">
              <a16:creationId xmlns:a16="http://schemas.microsoft.com/office/drawing/2014/main" id="{00000000-0008-0000-0000-000040000000}"/>
            </a:ext>
          </a:extLst>
        </xdr:cNvPr>
        <xdr:cNvSpPr txBox="1"/>
      </xdr:nvSpPr>
      <xdr:spPr>
        <a:xfrm>
          <a:off x="8267700" y="4153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6555" name="TextBox 6554">
          <a:extLst>
            <a:ext uri="{FF2B5EF4-FFF2-40B4-BE49-F238E27FC236}">
              <a16:creationId xmlns:a16="http://schemas.microsoft.com/office/drawing/2014/main" id="{00000000-0008-0000-0000-000041000000}"/>
            </a:ext>
          </a:extLst>
        </xdr:cNvPr>
        <xdr:cNvSpPr txBox="1"/>
      </xdr:nvSpPr>
      <xdr:spPr>
        <a:xfrm>
          <a:off x="8267700" y="4153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6556" name="TextBox 6555">
          <a:extLst>
            <a:ext uri="{FF2B5EF4-FFF2-40B4-BE49-F238E27FC236}">
              <a16:creationId xmlns:a16="http://schemas.microsoft.com/office/drawing/2014/main" id="{00000000-0008-0000-0000-000042000000}"/>
            </a:ext>
          </a:extLst>
        </xdr:cNvPr>
        <xdr:cNvSpPr txBox="1"/>
      </xdr:nvSpPr>
      <xdr:spPr>
        <a:xfrm>
          <a:off x="8267700" y="4153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6557" name="TextBox 6556">
          <a:extLst>
            <a:ext uri="{FF2B5EF4-FFF2-40B4-BE49-F238E27FC236}">
              <a16:creationId xmlns:a16="http://schemas.microsoft.com/office/drawing/2014/main" id="{00000000-0008-0000-0000-000043000000}"/>
            </a:ext>
          </a:extLst>
        </xdr:cNvPr>
        <xdr:cNvSpPr txBox="1"/>
      </xdr:nvSpPr>
      <xdr:spPr>
        <a:xfrm>
          <a:off x="8267700" y="4153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6558" name="TextBox 6557">
          <a:extLst>
            <a:ext uri="{FF2B5EF4-FFF2-40B4-BE49-F238E27FC236}">
              <a16:creationId xmlns:a16="http://schemas.microsoft.com/office/drawing/2014/main" id="{00000000-0008-0000-0000-000044000000}"/>
            </a:ext>
          </a:extLst>
        </xdr:cNvPr>
        <xdr:cNvSpPr txBox="1"/>
      </xdr:nvSpPr>
      <xdr:spPr>
        <a:xfrm>
          <a:off x="8267700" y="4153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6559" name="TextBox 6558">
          <a:extLst>
            <a:ext uri="{FF2B5EF4-FFF2-40B4-BE49-F238E27FC236}">
              <a16:creationId xmlns:a16="http://schemas.microsoft.com/office/drawing/2014/main" id="{00000000-0008-0000-0000-000045000000}"/>
            </a:ext>
          </a:extLst>
        </xdr:cNvPr>
        <xdr:cNvSpPr txBox="1"/>
      </xdr:nvSpPr>
      <xdr:spPr>
        <a:xfrm>
          <a:off x="8267700" y="4153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560" name="TextBox 6559">
          <a:extLst>
            <a:ext uri="{FF2B5EF4-FFF2-40B4-BE49-F238E27FC236}">
              <a16:creationId xmlns:a16="http://schemas.microsoft.com/office/drawing/2014/main" id="{00000000-0008-0000-0000-000048000000}"/>
            </a:ext>
          </a:extLst>
        </xdr:cNvPr>
        <xdr:cNvSpPr txBox="1"/>
      </xdr:nvSpPr>
      <xdr:spPr>
        <a:xfrm>
          <a:off x="826770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561" name="TextBox 6560">
          <a:extLst>
            <a:ext uri="{FF2B5EF4-FFF2-40B4-BE49-F238E27FC236}">
              <a16:creationId xmlns:a16="http://schemas.microsoft.com/office/drawing/2014/main" id="{00000000-0008-0000-0000-000049000000}"/>
            </a:ext>
          </a:extLst>
        </xdr:cNvPr>
        <xdr:cNvSpPr txBox="1"/>
      </xdr:nvSpPr>
      <xdr:spPr>
        <a:xfrm>
          <a:off x="826770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562" name="TextBox 6561">
          <a:extLst>
            <a:ext uri="{FF2B5EF4-FFF2-40B4-BE49-F238E27FC236}">
              <a16:creationId xmlns:a16="http://schemas.microsoft.com/office/drawing/2014/main" id="{00000000-0008-0000-0000-00004C000000}"/>
            </a:ext>
          </a:extLst>
        </xdr:cNvPr>
        <xdr:cNvSpPr txBox="1"/>
      </xdr:nvSpPr>
      <xdr:spPr>
        <a:xfrm>
          <a:off x="826770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563" name="TextBox 6562">
          <a:extLst>
            <a:ext uri="{FF2B5EF4-FFF2-40B4-BE49-F238E27FC236}">
              <a16:creationId xmlns:a16="http://schemas.microsoft.com/office/drawing/2014/main" id="{00000000-0008-0000-0000-00004D000000}"/>
            </a:ext>
          </a:extLst>
        </xdr:cNvPr>
        <xdr:cNvSpPr txBox="1"/>
      </xdr:nvSpPr>
      <xdr:spPr>
        <a:xfrm>
          <a:off x="826770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564" name="TextBox 6563">
          <a:extLst>
            <a:ext uri="{FF2B5EF4-FFF2-40B4-BE49-F238E27FC236}">
              <a16:creationId xmlns:a16="http://schemas.microsoft.com/office/drawing/2014/main" id="{00000000-0008-0000-0000-00004E000000}"/>
            </a:ext>
          </a:extLst>
        </xdr:cNvPr>
        <xdr:cNvSpPr txBox="1"/>
      </xdr:nvSpPr>
      <xdr:spPr>
        <a:xfrm>
          <a:off x="826770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565" name="TextBox 6564">
          <a:extLst>
            <a:ext uri="{FF2B5EF4-FFF2-40B4-BE49-F238E27FC236}">
              <a16:creationId xmlns:a16="http://schemas.microsoft.com/office/drawing/2014/main" id="{00000000-0008-0000-0000-00004F000000}"/>
            </a:ext>
          </a:extLst>
        </xdr:cNvPr>
        <xdr:cNvSpPr txBox="1"/>
      </xdr:nvSpPr>
      <xdr:spPr>
        <a:xfrm>
          <a:off x="826770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566" name="TextBox 6565">
          <a:extLst>
            <a:ext uri="{FF2B5EF4-FFF2-40B4-BE49-F238E27FC236}">
              <a16:creationId xmlns:a16="http://schemas.microsoft.com/office/drawing/2014/main" id="{00000000-0008-0000-0000-000050000000}"/>
            </a:ext>
          </a:extLst>
        </xdr:cNvPr>
        <xdr:cNvSpPr txBox="1"/>
      </xdr:nvSpPr>
      <xdr:spPr>
        <a:xfrm>
          <a:off x="826770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567" name="TextBox 6566">
          <a:extLst>
            <a:ext uri="{FF2B5EF4-FFF2-40B4-BE49-F238E27FC236}">
              <a16:creationId xmlns:a16="http://schemas.microsoft.com/office/drawing/2014/main" id="{00000000-0008-0000-0000-000051000000}"/>
            </a:ext>
          </a:extLst>
        </xdr:cNvPr>
        <xdr:cNvSpPr txBox="1"/>
      </xdr:nvSpPr>
      <xdr:spPr>
        <a:xfrm>
          <a:off x="826770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6568" name="TextBox 6567">
          <a:extLst>
            <a:ext uri="{FF2B5EF4-FFF2-40B4-BE49-F238E27FC236}">
              <a16:creationId xmlns:a16="http://schemas.microsoft.com/office/drawing/2014/main" id="{00000000-0008-0000-0000-000052000000}"/>
            </a:ext>
          </a:extLst>
        </xdr:cNvPr>
        <xdr:cNvSpPr txBox="1"/>
      </xdr:nvSpPr>
      <xdr:spPr>
        <a:xfrm>
          <a:off x="8267700" y="35593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6569" name="TextBox 6568">
          <a:extLst>
            <a:ext uri="{FF2B5EF4-FFF2-40B4-BE49-F238E27FC236}">
              <a16:creationId xmlns:a16="http://schemas.microsoft.com/office/drawing/2014/main" id="{00000000-0008-0000-0000-000053000000}"/>
            </a:ext>
          </a:extLst>
        </xdr:cNvPr>
        <xdr:cNvSpPr txBox="1"/>
      </xdr:nvSpPr>
      <xdr:spPr>
        <a:xfrm>
          <a:off x="8267700" y="35593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570" name="TextBox 6569">
          <a:extLst>
            <a:ext uri="{FF2B5EF4-FFF2-40B4-BE49-F238E27FC236}">
              <a16:creationId xmlns:a16="http://schemas.microsoft.com/office/drawing/2014/main" id="{00000000-0008-0000-0000-000054000000}"/>
            </a:ext>
          </a:extLst>
        </xdr:cNvPr>
        <xdr:cNvSpPr txBox="1"/>
      </xdr:nvSpPr>
      <xdr:spPr>
        <a:xfrm>
          <a:off x="826770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571" name="TextBox 6570">
          <a:extLst>
            <a:ext uri="{FF2B5EF4-FFF2-40B4-BE49-F238E27FC236}">
              <a16:creationId xmlns:a16="http://schemas.microsoft.com/office/drawing/2014/main" id="{00000000-0008-0000-0000-000055000000}"/>
            </a:ext>
          </a:extLst>
        </xdr:cNvPr>
        <xdr:cNvSpPr txBox="1"/>
      </xdr:nvSpPr>
      <xdr:spPr>
        <a:xfrm>
          <a:off x="826770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572" name="TextBox 6571">
          <a:extLst>
            <a:ext uri="{FF2B5EF4-FFF2-40B4-BE49-F238E27FC236}">
              <a16:creationId xmlns:a16="http://schemas.microsoft.com/office/drawing/2014/main" id="{00000000-0008-0000-0000-000056000000}"/>
            </a:ext>
          </a:extLst>
        </xdr:cNvPr>
        <xdr:cNvSpPr txBox="1"/>
      </xdr:nvSpPr>
      <xdr:spPr>
        <a:xfrm>
          <a:off x="826770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573" name="TextBox 6572">
          <a:extLst>
            <a:ext uri="{FF2B5EF4-FFF2-40B4-BE49-F238E27FC236}">
              <a16:creationId xmlns:a16="http://schemas.microsoft.com/office/drawing/2014/main" id="{00000000-0008-0000-0000-000057000000}"/>
            </a:ext>
          </a:extLst>
        </xdr:cNvPr>
        <xdr:cNvSpPr txBox="1"/>
      </xdr:nvSpPr>
      <xdr:spPr>
        <a:xfrm>
          <a:off x="826770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574" name="TextBox 6573">
          <a:extLst>
            <a:ext uri="{FF2B5EF4-FFF2-40B4-BE49-F238E27FC236}">
              <a16:creationId xmlns:a16="http://schemas.microsoft.com/office/drawing/2014/main" id="{00000000-0008-0000-0000-000058000000}"/>
            </a:ext>
          </a:extLst>
        </xdr:cNvPr>
        <xdr:cNvSpPr txBox="1"/>
      </xdr:nvSpPr>
      <xdr:spPr>
        <a:xfrm>
          <a:off x="826770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575" name="TextBox 6574">
          <a:extLst>
            <a:ext uri="{FF2B5EF4-FFF2-40B4-BE49-F238E27FC236}">
              <a16:creationId xmlns:a16="http://schemas.microsoft.com/office/drawing/2014/main" id="{00000000-0008-0000-0000-000059000000}"/>
            </a:ext>
          </a:extLst>
        </xdr:cNvPr>
        <xdr:cNvSpPr txBox="1"/>
      </xdr:nvSpPr>
      <xdr:spPr>
        <a:xfrm>
          <a:off x="826770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576" name="TextBox 6575">
          <a:extLst>
            <a:ext uri="{FF2B5EF4-FFF2-40B4-BE49-F238E27FC236}">
              <a16:creationId xmlns:a16="http://schemas.microsoft.com/office/drawing/2014/main" id="{00000000-0008-0000-0000-00005A000000}"/>
            </a:ext>
          </a:extLst>
        </xdr:cNvPr>
        <xdr:cNvSpPr txBox="1"/>
      </xdr:nvSpPr>
      <xdr:spPr>
        <a:xfrm>
          <a:off x="826770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577" name="TextBox 6576">
          <a:extLst>
            <a:ext uri="{FF2B5EF4-FFF2-40B4-BE49-F238E27FC236}">
              <a16:creationId xmlns:a16="http://schemas.microsoft.com/office/drawing/2014/main" id="{00000000-0008-0000-0000-00005B000000}"/>
            </a:ext>
          </a:extLst>
        </xdr:cNvPr>
        <xdr:cNvSpPr txBox="1"/>
      </xdr:nvSpPr>
      <xdr:spPr>
        <a:xfrm>
          <a:off x="826770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578" name="TextBox 6577">
          <a:extLst>
            <a:ext uri="{FF2B5EF4-FFF2-40B4-BE49-F238E27FC236}">
              <a16:creationId xmlns:a16="http://schemas.microsoft.com/office/drawing/2014/main" id="{00000000-0008-0000-0000-00005C000000}"/>
            </a:ext>
          </a:extLst>
        </xdr:cNvPr>
        <xdr:cNvSpPr txBox="1"/>
      </xdr:nvSpPr>
      <xdr:spPr>
        <a:xfrm>
          <a:off x="826770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579" name="TextBox 6578">
          <a:extLst>
            <a:ext uri="{FF2B5EF4-FFF2-40B4-BE49-F238E27FC236}">
              <a16:creationId xmlns:a16="http://schemas.microsoft.com/office/drawing/2014/main" id="{00000000-0008-0000-0000-00005D000000}"/>
            </a:ext>
          </a:extLst>
        </xdr:cNvPr>
        <xdr:cNvSpPr txBox="1"/>
      </xdr:nvSpPr>
      <xdr:spPr>
        <a:xfrm>
          <a:off x="826770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580" name="TextBox 6579">
          <a:extLst>
            <a:ext uri="{FF2B5EF4-FFF2-40B4-BE49-F238E27FC236}">
              <a16:creationId xmlns:a16="http://schemas.microsoft.com/office/drawing/2014/main" id="{00000000-0008-0000-0000-00005E000000}"/>
            </a:ext>
          </a:extLst>
        </xdr:cNvPr>
        <xdr:cNvSpPr txBox="1"/>
      </xdr:nvSpPr>
      <xdr:spPr>
        <a:xfrm>
          <a:off x="826770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581" name="TextBox 6580">
          <a:extLst>
            <a:ext uri="{FF2B5EF4-FFF2-40B4-BE49-F238E27FC236}">
              <a16:creationId xmlns:a16="http://schemas.microsoft.com/office/drawing/2014/main" id="{00000000-0008-0000-0000-00005F000000}"/>
            </a:ext>
          </a:extLst>
        </xdr:cNvPr>
        <xdr:cNvSpPr txBox="1"/>
      </xdr:nvSpPr>
      <xdr:spPr>
        <a:xfrm>
          <a:off x="826770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6582" name="TextBox 6581">
          <a:extLst>
            <a:ext uri="{FF2B5EF4-FFF2-40B4-BE49-F238E27FC236}">
              <a16:creationId xmlns:a16="http://schemas.microsoft.com/office/drawing/2014/main" id="{00000000-0008-0000-0000-000060000000}"/>
            </a:ext>
          </a:extLst>
        </xdr:cNvPr>
        <xdr:cNvSpPr txBox="1"/>
      </xdr:nvSpPr>
      <xdr:spPr>
        <a:xfrm>
          <a:off x="8267700" y="35593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6583" name="TextBox 6582">
          <a:extLst>
            <a:ext uri="{FF2B5EF4-FFF2-40B4-BE49-F238E27FC236}">
              <a16:creationId xmlns:a16="http://schemas.microsoft.com/office/drawing/2014/main" id="{00000000-0008-0000-0000-000061000000}"/>
            </a:ext>
          </a:extLst>
        </xdr:cNvPr>
        <xdr:cNvSpPr txBox="1"/>
      </xdr:nvSpPr>
      <xdr:spPr>
        <a:xfrm>
          <a:off x="8267700" y="35593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6584" name="TextBox 6583">
          <a:extLst>
            <a:ext uri="{FF2B5EF4-FFF2-40B4-BE49-F238E27FC236}">
              <a16:creationId xmlns:a16="http://schemas.microsoft.com/office/drawing/2014/main" id="{00000000-0008-0000-0000-000062000000}"/>
            </a:ext>
          </a:extLst>
        </xdr:cNvPr>
        <xdr:cNvSpPr txBox="1"/>
      </xdr:nvSpPr>
      <xdr:spPr>
        <a:xfrm>
          <a:off x="8267700" y="35593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6585" name="TextBox 6584">
          <a:extLst>
            <a:ext uri="{FF2B5EF4-FFF2-40B4-BE49-F238E27FC236}">
              <a16:creationId xmlns:a16="http://schemas.microsoft.com/office/drawing/2014/main" id="{00000000-0008-0000-0000-000063000000}"/>
            </a:ext>
          </a:extLst>
        </xdr:cNvPr>
        <xdr:cNvSpPr txBox="1"/>
      </xdr:nvSpPr>
      <xdr:spPr>
        <a:xfrm>
          <a:off x="8267700" y="35593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586" name="TextBox 6585">
          <a:extLst>
            <a:ext uri="{FF2B5EF4-FFF2-40B4-BE49-F238E27FC236}">
              <a16:creationId xmlns:a16="http://schemas.microsoft.com/office/drawing/2014/main" id="{00000000-0008-0000-0000-000064000000}"/>
            </a:ext>
          </a:extLst>
        </xdr:cNvPr>
        <xdr:cNvSpPr txBox="1"/>
      </xdr:nvSpPr>
      <xdr:spPr>
        <a:xfrm>
          <a:off x="826770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587" name="TextBox 6586">
          <a:extLst>
            <a:ext uri="{FF2B5EF4-FFF2-40B4-BE49-F238E27FC236}">
              <a16:creationId xmlns:a16="http://schemas.microsoft.com/office/drawing/2014/main" id="{00000000-0008-0000-0000-000065000000}"/>
            </a:ext>
          </a:extLst>
        </xdr:cNvPr>
        <xdr:cNvSpPr txBox="1"/>
      </xdr:nvSpPr>
      <xdr:spPr>
        <a:xfrm>
          <a:off x="826770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588" name="TextBox 6587">
          <a:extLst>
            <a:ext uri="{FF2B5EF4-FFF2-40B4-BE49-F238E27FC236}">
              <a16:creationId xmlns:a16="http://schemas.microsoft.com/office/drawing/2014/main" id="{00000000-0008-0000-0000-000066000000}"/>
            </a:ext>
          </a:extLst>
        </xdr:cNvPr>
        <xdr:cNvSpPr txBox="1"/>
      </xdr:nvSpPr>
      <xdr:spPr>
        <a:xfrm>
          <a:off x="826770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589" name="TextBox 6588">
          <a:extLst>
            <a:ext uri="{FF2B5EF4-FFF2-40B4-BE49-F238E27FC236}">
              <a16:creationId xmlns:a16="http://schemas.microsoft.com/office/drawing/2014/main" id="{00000000-0008-0000-0000-000067000000}"/>
            </a:ext>
          </a:extLst>
        </xdr:cNvPr>
        <xdr:cNvSpPr txBox="1"/>
      </xdr:nvSpPr>
      <xdr:spPr>
        <a:xfrm>
          <a:off x="826770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590" name="TextBox 6589">
          <a:extLst>
            <a:ext uri="{FF2B5EF4-FFF2-40B4-BE49-F238E27FC236}">
              <a16:creationId xmlns:a16="http://schemas.microsoft.com/office/drawing/2014/main" id="{00000000-0008-0000-0000-000068000000}"/>
            </a:ext>
          </a:extLst>
        </xdr:cNvPr>
        <xdr:cNvSpPr txBox="1"/>
      </xdr:nvSpPr>
      <xdr:spPr>
        <a:xfrm>
          <a:off x="826770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591" name="TextBox 6590">
          <a:extLst>
            <a:ext uri="{FF2B5EF4-FFF2-40B4-BE49-F238E27FC236}">
              <a16:creationId xmlns:a16="http://schemas.microsoft.com/office/drawing/2014/main" id="{00000000-0008-0000-0000-000069000000}"/>
            </a:ext>
          </a:extLst>
        </xdr:cNvPr>
        <xdr:cNvSpPr txBox="1"/>
      </xdr:nvSpPr>
      <xdr:spPr>
        <a:xfrm>
          <a:off x="826770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592" name="TextBox 6591">
          <a:extLst>
            <a:ext uri="{FF2B5EF4-FFF2-40B4-BE49-F238E27FC236}">
              <a16:creationId xmlns:a16="http://schemas.microsoft.com/office/drawing/2014/main" id="{00000000-0008-0000-0000-00006A000000}"/>
            </a:ext>
          </a:extLst>
        </xdr:cNvPr>
        <xdr:cNvSpPr txBox="1"/>
      </xdr:nvSpPr>
      <xdr:spPr>
        <a:xfrm>
          <a:off x="826770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593" name="TextBox 6592">
          <a:extLst>
            <a:ext uri="{FF2B5EF4-FFF2-40B4-BE49-F238E27FC236}">
              <a16:creationId xmlns:a16="http://schemas.microsoft.com/office/drawing/2014/main" id="{00000000-0008-0000-0000-00006B000000}"/>
            </a:ext>
          </a:extLst>
        </xdr:cNvPr>
        <xdr:cNvSpPr txBox="1"/>
      </xdr:nvSpPr>
      <xdr:spPr>
        <a:xfrm>
          <a:off x="826770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594" name="TextBox 6593">
          <a:extLst>
            <a:ext uri="{FF2B5EF4-FFF2-40B4-BE49-F238E27FC236}">
              <a16:creationId xmlns:a16="http://schemas.microsoft.com/office/drawing/2014/main" id="{00000000-0008-0000-0000-00006C000000}"/>
            </a:ext>
          </a:extLst>
        </xdr:cNvPr>
        <xdr:cNvSpPr txBox="1"/>
      </xdr:nvSpPr>
      <xdr:spPr>
        <a:xfrm>
          <a:off x="826770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595" name="TextBox 6594">
          <a:extLst>
            <a:ext uri="{FF2B5EF4-FFF2-40B4-BE49-F238E27FC236}">
              <a16:creationId xmlns:a16="http://schemas.microsoft.com/office/drawing/2014/main" id="{00000000-0008-0000-0000-00006D000000}"/>
            </a:ext>
          </a:extLst>
        </xdr:cNvPr>
        <xdr:cNvSpPr txBox="1"/>
      </xdr:nvSpPr>
      <xdr:spPr>
        <a:xfrm>
          <a:off x="826770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596" name="TextBox 6595">
          <a:extLst>
            <a:ext uri="{FF2B5EF4-FFF2-40B4-BE49-F238E27FC236}">
              <a16:creationId xmlns:a16="http://schemas.microsoft.com/office/drawing/2014/main" id="{00000000-0008-0000-0000-00006E000000}"/>
            </a:ext>
          </a:extLst>
        </xdr:cNvPr>
        <xdr:cNvSpPr txBox="1"/>
      </xdr:nvSpPr>
      <xdr:spPr>
        <a:xfrm>
          <a:off x="826770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597" name="TextBox 6596">
          <a:extLst>
            <a:ext uri="{FF2B5EF4-FFF2-40B4-BE49-F238E27FC236}">
              <a16:creationId xmlns:a16="http://schemas.microsoft.com/office/drawing/2014/main" id="{00000000-0008-0000-0000-00006F000000}"/>
            </a:ext>
          </a:extLst>
        </xdr:cNvPr>
        <xdr:cNvSpPr txBox="1"/>
      </xdr:nvSpPr>
      <xdr:spPr>
        <a:xfrm>
          <a:off x="826770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598" name="TextBox 6597">
          <a:extLst>
            <a:ext uri="{FF2B5EF4-FFF2-40B4-BE49-F238E27FC236}">
              <a16:creationId xmlns:a16="http://schemas.microsoft.com/office/drawing/2014/main" id="{00000000-0008-0000-0000-000070000000}"/>
            </a:ext>
          </a:extLst>
        </xdr:cNvPr>
        <xdr:cNvSpPr txBox="1"/>
      </xdr:nvSpPr>
      <xdr:spPr>
        <a:xfrm>
          <a:off x="826770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599" name="TextBox 6598">
          <a:extLst>
            <a:ext uri="{FF2B5EF4-FFF2-40B4-BE49-F238E27FC236}">
              <a16:creationId xmlns:a16="http://schemas.microsoft.com/office/drawing/2014/main" id="{00000000-0008-0000-0000-000071000000}"/>
            </a:ext>
          </a:extLst>
        </xdr:cNvPr>
        <xdr:cNvSpPr txBox="1"/>
      </xdr:nvSpPr>
      <xdr:spPr>
        <a:xfrm>
          <a:off x="826770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600" name="TextBox 6599">
          <a:extLst>
            <a:ext uri="{FF2B5EF4-FFF2-40B4-BE49-F238E27FC236}">
              <a16:creationId xmlns:a16="http://schemas.microsoft.com/office/drawing/2014/main" id="{00000000-0008-0000-0000-000072000000}"/>
            </a:ext>
          </a:extLst>
        </xdr:cNvPr>
        <xdr:cNvSpPr txBox="1"/>
      </xdr:nvSpPr>
      <xdr:spPr>
        <a:xfrm>
          <a:off x="826770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601" name="TextBox 6600">
          <a:extLst>
            <a:ext uri="{FF2B5EF4-FFF2-40B4-BE49-F238E27FC236}">
              <a16:creationId xmlns:a16="http://schemas.microsoft.com/office/drawing/2014/main" id="{00000000-0008-0000-0000-000073000000}"/>
            </a:ext>
          </a:extLst>
        </xdr:cNvPr>
        <xdr:cNvSpPr txBox="1"/>
      </xdr:nvSpPr>
      <xdr:spPr>
        <a:xfrm>
          <a:off x="826770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602" name="TextBox 6601">
          <a:extLst>
            <a:ext uri="{FF2B5EF4-FFF2-40B4-BE49-F238E27FC236}">
              <a16:creationId xmlns:a16="http://schemas.microsoft.com/office/drawing/2014/main" id="{00000000-0008-0000-0000-000074000000}"/>
            </a:ext>
          </a:extLst>
        </xdr:cNvPr>
        <xdr:cNvSpPr txBox="1"/>
      </xdr:nvSpPr>
      <xdr:spPr>
        <a:xfrm>
          <a:off x="1258062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603" name="TextBox 6602">
          <a:extLst>
            <a:ext uri="{FF2B5EF4-FFF2-40B4-BE49-F238E27FC236}">
              <a16:creationId xmlns:a16="http://schemas.microsoft.com/office/drawing/2014/main" id="{00000000-0008-0000-0000-000075000000}"/>
            </a:ext>
          </a:extLst>
        </xdr:cNvPr>
        <xdr:cNvSpPr txBox="1"/>
      </xdr:nvSpPr>
      <xdr:spPr>
        <a:xfrm>
          <a:off x="1258062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604" name="TextBox 6603">
          <a:extLst>
            <a:ext uri="{FF2B5EF4-FFF2-40B4-BE49-F238E27FC236}">
              <a16:creationId xmlns:a16="http://schemas.microsoft.com/office/drawing/2014/main" id="{00000000-0008-0000-0000-000076000000}"/>
            </a:ext>
          </a:extLst>
        </xdr:cNvPr>
        <xdr:cNvSpPr txBox="1"/>
      </xdr:nvSpPr>
      <xdr:spPr>
        <a:xfrm>
          <a:off x="1258062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605" name="TextBox 6604">
          <a:extLst>
            <a:ext uri="{FF2B5EF4-FFF2-40B4-BE49-F238E27FC236}">
              <a16:creationId xmlns:a16="http://schemas.microsoft.com/office/drawing/2014/main" id="{00000000-0008-0000-0000-000077000000}"/>
            </a:ext>
          </a:extLst>
        </xdr:cNvPr>
        <xdr:cNvSpPr txBox="1"/>
      </xdr:nvSpPr>
      <xdr:spPr>
        <a:xfrm>
          <a:off x="1258062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606" name="TextBox 6605">
          <a:extLst>
            <a:ext uri="{FF2B5EF4-FFF2-40B4-BE49-F238E27FC236}">
              <a16:creationId xmlns:a16="http://schemas.microsoft.com/office/drawing/2014/main" id="{00000000-0008-0000-0000-000078000000}"/>
            </a:ext>
          </a:extLst>
        </xdr:cNvPr>
        <xdr:cNvSpPr txBox="1"/>
      </xdr:nvSpPr>
      <xdr:spPr>
        <a:xfrm>
          <a:off x="1258062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607" name="TextBox 6606">
          <a:extLst>
            <a:ext uri="{FF2B5EF4-FFF2-40B4-BE49-F238E27FC236}">
              <a16:creationId xmlns:a16="http://schemas.microsoft.com/office/drawing/2014/main" id="{00000000-0008-0000-0000-000079000000}"/>
            </a:ext>
          </a:extLst>
        </xdr:cNvPr>
        <xdr:cNvSpPr txBox="1"/>
      </xdr:nvSpPr>
      <xdr:spPr>
        <a:xfrm>
          <a:off x="1258062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608" name="TextBox 6607">
          <a:extLst>
            <a:ext uri="{FF2B5EF4-FFF2-40B4-BE49-F238E27FC236}">
              <a16:creationId xmlns:a16="http://schemas.microsoft.com/office/drawing/2014/main" id="{00000000-0008-0000-0000-00007A000000}"/>
            </a:ext>
          </a:extLst>
        </xdr:cNvPr>
        <xdr:cNvSpPr txBox="1"/>
      </xdr:nvSpPr>
      <xdr:spPr>
        <a:xfrm>
          <a:off x="1258062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609" name="TextBox 6608">
          <a:extLst>
            <a:ext uri="{FF2B5EF4-FFF2-40B4-BE49-F238E27FC236}">
              <a16:creationId xmlns:a16="http://schemas.microsoft.com/office/drawing/2014/main" id="{00000000-0008-0000-0000-00007B000000}"/>
            </a:ext>
          </a:extLst>
        </xdr:cNvPr>
        <xdr:cNvSpPr txBox="1"/>
      </xdr:nvSpPr>
      <xdr:spPr>
        <a:xfrm>
          <a:off x="1258062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6610" name="TextBox 6609">
          <a:extLst>
            <a:ext uri="{FF2B5EF4-FFF2-40B4-BE49-F238E27FC236}">
              <a16:creationId xmlns:a16="http://schemas.microsoft.com/office/drawing/2014/main" id="{00000000-0008-0000-0000-00007C000000}"/>
            </a:ext>
          </a:extLst>
        </xdr:cNvPr>
        <xdr:cNvSpPr txBox="1"/>
      </xdr:nvSpPr>
      <xdr:spPr>
        <a:xfrm>
          <a:off x="8267700" y="35593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6611" name="TextBox 6610">
          <a:extLst>
            <a:ext uri="{FF2B5EF4-FFF2-40B4-BE49-F238E27FC236}">
              <a16:creationId xmlns:a16="http://schemas.microsoft.com/office/drawing/2014/main" id="{00000000-0008-0000-0000-00007D000000}"/>
            </a:ext>
          </a:extLst>
        </xdr:cNvPr>
        <xdr:cNvSpPr txBox="1"/>
      </xdr:nvSpPr>
      <xdr:spPr>
        <a:xfrm>
          <a:off x="8267700" y="35593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6612" name="TextBox 6611">
          <a:extLst>
            <a:ext uri="{FF2B5EF4-FFF2-40B4-BE49-F238E27FC236}">
              <a16:creationId xmlns:a16="http://schemas.microsoft.com/office/drawing/2014/main" id="{00000000-0008-0000-0000-00007E000000}"/>
            </a:ext>
          </a:extLst>
        </xdr:cNvPr>
        <xdr:cNvSpPr txBox="1"/>
      </xdr:nvSpPr>
      <xdr:spPr>
        <a:xfrm>
          <a:off x="8267700" y="35593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6613" name="TextBox 6612">
          <a:extLst>
            <a:ext uri="{FF2B5EF4-FFF2-40B4-BE49-F238E27FC236}">
              <a16:creationId xmlns:a16="http://schemas.microsoft.com/office/drawing/2014/main" id="{00000000-0008-0000-0000-00007F000000}"/>
            </a:ext>
          </a:extLst>
        </xdr:cNvPr>
        <xdr:cNvSpPr txBox="1"/>
      </xdr:nvSpPr>
      <xdr:spPr>
        <a:xfrm>
          <a:off x="8267700" y="35593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614" name="TextBox 6613">
          <a:extLst>
            <a:ext uri="{FF2B5EF4-FFF2-40B4-BE49-F238E27FC236}">
              <a16:creationId xmlns:a16="http://schemas.microsoft.com/office/drawing/2014/main" id="{00000000-0008-0000-0000-000080000000}"/>
            </a:ext>
          </a:extLst>
        </xdr:cNvPr>
        <xdr:cNvSpPr txBox="1"/>
      </xdr:nvSpPr>
      <xdr:spPr>
        <a:xfrm>
          <a:off x="826770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615" name="TextBox 6614">
          <a:extLst>
            <a:ext uri="{FF2B5EF4-FFF2-40B4-BE49-F238E27FC236}">
              <a16:creationId xmlns:a16="http://schemas.microsoft.com/office/drawing/2014/main" id="{00000000-0008-0000-0000-000081000000}"/>
            </a:ext>
          </a:extLst>
        </xdr:cNvPr>
        <xdr:cNvSpPr txBox="1"/>
      </xdr:nvSpPr>
      <xdr:spPr>
        <a:xfrm>
          <a:off x="826770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616" name="TextBox 6615">
          <a:extLst>
            <a:ext uri="{FF2B5EF4-FFF2-40B4-BE49-F238E27FC236}">
              <a16:creationId xmlns:a16="http://schemas.microsoft.com/office/drawing/2014/main" id="{00000000-0008-0000-0000-000082000000}"/>
            </a:ext>
          </a:extLst>
        </xdr:cNvPr>
        <xdr:cNvSpPr txBox="1"/>
      </xdr:nvSpPr>
      <xdr:spPr>
        <a:xfrm>
          <a:off x="826770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617" name="TextBox 6616">
          <a:extLst>
            <a:ext uri="{FF2B5EF4-FFF2-40B4-BE49-F238E27FC236}">
              <a16:creationId xmlns:a16="http://schemas.microsoft.com/office/drawing/2014/main" id="{00000000-0008-0000-0000-000083000000}"/>
            </a:ext>
          </a:extLst>
        </xdr:cNvPr>
        <xdr:cNvSpPr txBox="1"/>
      </xdr:nvSpPr>
      <xdr:spPr>
        <a:xfrm>
          <a:off x="826770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618" name="TextBox 6617">
          <a:extLst>
            <a:ext uri="{FF2B5EF4-FFF2-40B4-BE49-F238E27FC236}">
              <a16:creationId xmlns:a16="http://schemas.microsoft.com/office/drawing/2014/main" id="{00000000-0008-0000-0000-000084000000}"/>
            </a:ext>
          </a:extLst>
        </xdr:cNvPr>
        <xdr:cNvSpPr txBox="1"/>
      </xdr:nvSpPr>
      <xdr:spPr>
        <a:xfrm>
          <a:off x="826770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619" name="TextBox 6618">
          <a:extLst>
            <a:ext uri="{FF2B5EF4-FFF2-40B4-BE49-F238E27FC236}">
              <a16:creationId xmlns:a16="http://schemas.microsoft.com/office/drawing/2014/main" id="{00000000-0008-0000-0000-000085000000}"/>
            </a:ext>
          </a:extLst>
        </xdr:cNvPr>
        <xdr:cNvSpPr txBox="1"/>
      </xdr:nvSpPr>
      <xdr:spPr>
        <a:xfrm>
          <a:off x="826770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620" name="TextBox 6619">
          <a:extLst>
            <a:ext uri="{FF2B5EF4-FFF2-40B4-BE49-F238E27FC236}">
              <a16:creationId xmlns:a16="http://schemas.microsoft.com/office/drawing/2014/main" id="{00000000-0008-0000-0000-000086000000}"/>
            </a:ext>
          </a:extLst>
        </xdr:cNvPr>
        <xdr:cNvSpPr txBox="1"/>
      </xdr:nvSpPr>
      <xdr:spPr>
        <a:xfrm>
          <a:off x="826770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621" name="TextBox 6620">
          <a:extLst>
            <a:ext uri="{FF2B5EF4-FFF2-40B4-BE49-F238E27FC236}">
              <a16:creationId xmlns:a16="http://schemas.microsoft.com/office/drawing/2014/main" id="{00000000-0008-0000-0000-000087000000}"/>
            </a:ext>
          </a:extLst>
        </xdr:cNvPr>
        <xdr:cNvSpPr txBox="1"/>
      </xdr:nvSpPr>
      <xdr:spPr>
        <a:xfrm>
          <a:off x="826770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622" name="TextBox 6621">
          <a:extLst>
            <a:ext uri="{FF2B5EF4-FFF2-40B4-BE49-F238E27FC236}">
              <a16:creationId xmlns:a16="http://schemas.microsoft.com/office/drawing/2014/main" id="{00000000-0008-0000-0000-000088000000}"/>
            </a:ext>
          </a:extLst>
        </xdr:cNvPr>
        <xdr:cNvSpPr txBox="1"/>
      </xdr:nvSpPr>
      <xdr:spPr>
        <a:xfrm>
          <a:off x="826770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623" name="TextBox 6622">
          <a:extLst>
            <a:ext uri="{FF2B5EF4-FFF2-40B4-BE49-F238E27FC236}">
              <a16:creationId xmlns:a16="http://schemas.microsoft.com/office/drawing/2014/main" id="{00000000-0008-0000-0000-000089000000}"/>
            </a:ext>
          </a:extLst>
        </xdr:cNvPr>
        <xdr:cNvSpPr txBox="1"/>
      </xdr:nvSpPr>
      <xdr:spPr>
        <a:xfrm>
          <a:off x="826770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624" name="TextBox 6623">
          <a:extLst>
            <a:ext uri="{FF2B5EF4-FFF2-40B4-BE49-F238E27FC236}">
              <a16:creationId xmlns:a16="http://schemas.microsoft.com/office/drawing/2014/main" id="{00000000-0008-0000-0000-00008A000000}"/>
            </a:ext>
          </a:extLst>
        </xdr:cNvPr>
        <xdr:cNvSpPr txBox="1"/>
      </xdr:nvSpPr>
      <xdr:spPr>
        <a:xfrm>
          <a:off x="826770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625" name="TextBox 6624">
          <a:extLst>
            <a:ext uri="{FF2B5EF4-FFF2-40B4-BE49-F238E27FC236}">
              <a16:creationId xmlns:a16="http://schemas.microsoft.com/office/drawing/2014/main" id="{00000000-0008-0000-0000-00008B000000}"/>
            </a:ext>
          </a:extLst>
        </xdr:cNvPr>
        <xdr:cNvSpPr txBox="1"/>
      </xdr:nvSpPr>
      <xdr:spPr>
        <a:xfrm>
          <a:off x="826770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626" name="TextBox 6625">
          <a:extLst>
            <a:ext uri="{FF2B5EF4-FFF2-40B4-BE49-F238E27FC236}">
              <a16:creationId xmlns:a16="http://schemas.microsoft.com/office/drawing/2014/main" id="{00000000-0008-0000-0000-00008C000000}"/>
            </a:ext>
          </a:extLst>
        </xdr:cNvPr>
        <xdr:cNvSpPr txBox="1"/>
      </xdr:nvSpPr>
      <xdr:spPr>
        <a:xfrm>
          <a:off x="826770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627" name="TextBox 6626">
          <a:extLst>
            <a:ext uri="{FF2B5EF4-FFF2-40B4-BE49-F238E27FC236}">
              <a16:creationId xmlns:a16="http://schemas.microsoft.com/office/drawing/2014/main" id="{00000000-0008-0000-0000-00008D000000}"/>
            </a:ext>
          </a:extLst>
        </xdr:cNvPr>
        <xdr:cNvSpPr txBox="1"/>
      </xdr:nvSpPr>
      <xdr:spPr>
        <a:xfrm>
          <a:off x="826770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628" name="TextBox 6627">
          <a:extLst>
            <a:ext uri="{FF2B5EF4-FFF2-40B4-BE49-F238E27FC236}">
              <a16:creationId xmlns:a16="http://schemas.microsoft.com/office/drawing/2014/main" id="{00000000-0008-0000-0000-00008E000000}"/>
            </a:ext>
          </a:extLst>
        </xdr:cNvPr>
        <xdr:cNvSpPr txBox="1"/>
      </xdr:nvSpPr>
      <xdr:spPr>
        <a:xfrm>
          <a:off x="826770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629" name="TextBox 6628">
          <a:extLst>
            <a:ext uri="{FF2B5EF4-FFF2-40B4-BE49-F238E27FC236}">
              <a16:creationId xmlns:a16="http://schemas.microsoft.com/office/drawing/2014/main" id="{00000000-0008-0000-0000-00008F000000}"/>
            </a:ext>
          </a:extLst>
        </xdr:cNvPr>
        <xdr:cNvSpPr txBox="1"/>
      </xdr:nvSpPr>
      <xdr:spPr>
        <a:xfrm>
          <a:off x="826770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630" name="TextBox 6629">
          <a:extLst>
            <a:ext uri="{FF2B5EF4-FFF2-40B4-BE49-F238E27FC236}">
              <a16:creationId xmlns:a16="http://schemas.microsoft.com/office/drawing/2014/main" id="{00000000-0008-0000-0000-000090000000}"/>
            </a:ext>
          </a:extLst>
        </xdr:cNvPr>
        <xdr:cNvSpPr txBox="1"/>
      </xdr:nvSpPr>
      <xdr:spPr>
        <a:xfrm>
          <a:off x="826770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631" name="TextBox 6630">
          <a:extLst>
            <a:ext uri="{FF2B5EF4-FFF2-40B4-BE49-F238E27FC236}">
              <a16:creationId xmlns:a16="http://schemas.microsoft.com/office/drawing/2014/main" id="{00000000-0008-0000-0000-000091000000}"/>
            </a:ext>
          </a:extLst>
        </xdr:cNvPr>
        <xdr:cNvSpPr txBox="1"/>
      </xdr:nvSpPr>
      <xdr:spPr>
        <a:xfrm>
          <a:off x="826770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632" name="TextBox 6631">
          <a:extLst>
            <a:ext uri="{FF2B5EF4-FFF2-40B4-BE49-F238E27FC236}">
              <a16:creationId xmlns:a16="http://schemas.microsoft.com/office/drawing/2014/main" id="{00000000-0008-0000-0000-000092000000}"/>
            </a:ext>
          </a:extLst>
        </xdr:cNvPr>
        <xdr:cNvSpPr txBox="1"/>
      </xdr:nvSpPr>
      <xdr:spPr>
        <a:xfrm>
          <a:off x="826770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633" name="TextBox 6632">
          <a:extLst>
            <a:ext uri="{FF2B5EF4-FFF2-40B4-BE49-F238E27FC236}">
              <a16:creationId xmlns:a16="http://schemas.microsoft.com/office/drawing/2014/main" id="{00000000-0008-0000-0000-000093000000}"/>
            </a:ext>
          </a:extLst>
        </xdr:cNvPr>
        <xdr:cNvSpPr txBox="1"/>
      </xdr:nvSpPr>
      <xdr:spPr>
        <a:xfrm>
          <a:off x="826770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634" name="TextBox 6633">
          <a:extLst>
            <a:ext uri="{FF2B5EF4-FFF2-40B4-BE49-F238E27FC236}">
              <a16:creationId xmlns:a16="http://schemas.microsoft.com/office/drawing/2014/main" id="{00000000-0008-0000-0000-000094000000}"/>
            </a:ext>
          </a:extLst>
        </xdr:cNvPr>
        <xdr:cNvSpPr txBox="1"/>
      </xdr:nvSpPr>
      <xdr:spPr>
        <a:xfrm>
          <a:off x="826770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635" name="TextBox 6634">
          <a:extLst>
            <a:ext uri="{FF2B5EF4-FFF2-40B4-BE49-F238E27FC236}">
              <a16:creationId xmlns:a16="http://schemas.microsoft.com/office/drawing/2014/main" id="{00000000-0008-0000-0000-000095000000}"/>
            </a:ext>
          </a:extLst>
        </xdr:cNvPr>
        <xdr:cNvSpPr txBox="1"/>
      </xdr:nvSpPr>
      <xdr:spPr>
        <a:xfrm>
          <a:off x="826770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636" name="TextBox 6635">
          <a:extLst>
            <a:ext uri="{FF2B5EF4-FFF2-40B4-BE49-F238E27FC236}">
              <a16:creationId xmlns:a16="http://schemas.microsoft.com/office/drawing/2014/main" id="{00000000-0008-0000-0000-000096000000}"/>
            </a:ext>
          </a:extLst>
        </xdr:cNvPr>
        <xdr:cNvSpPr txBox="1"/>
      </xdr:nvSpPr>
      <xdr:spPr>
        <a:xfrm>
          <a:off x="826770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637" name="TextBox 6636">
          <a:extLst>
            <a:ext uri="{FF2B5EF4-FFF2-40B4-BE49-F238E27FC236}">
              <a16:creationId xmlns:a16="http://schemas.microsoft.com/office/drawing/2014/main" id="{00000000-0008-0000-0000-000097000000}"/>
            </a:ext>
          </a:extLst>
        </xdr:cNvPr>
        <xdr:cNvSpPr txBox="1"/>
      </xdr:nvSpPr>
      <xdr:spPr>
        <a:xfrm>
          <a:off x="826770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638" name="TextBox 6637">
          <a:extLst>
            <a:ext uri="{FF2B5EF4-FFF2-40B4-BE49-F238E27FC236}">
              <a16:creationId xmlns:a16="http://schemas.microsoft.com/office/drawing/2014/main" id="{00000000-0008-0000-0000-000098000000}"/>
            </a:ext>
          </a:extLst>
        </xdr:cNvPr>
        <xdr:cNvSpPr txBox="1"/>
      </xdr:nvSpPr>
      <xdr:spPr>
        <a:xfrm>
          <a:off x="826770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639" name="TextBox 6638">
          <a:extLst>
            <a:ext uri="{FF2B5EF4-FFF2-40B4-BE49-F238E27FC236}">
              <a16:creationId xmlns:a16="http://schemas.microsoft.com/office/drawing/2014/main" id="{00000000-0008-0000-0000-000099000000}"/>
            </a:ext>
          </a:extLst>
        </xdr:cNvPr>
        <xdr:cNvSpPr txBox="1"/>
      </xdr:nvSpPr>
      <xdr:spPr>
        <a:xfrm>
          <a:off x="826770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640" name="TextBox 6639">
          <a:extLst>
            <a:ext uri="{FF2B5EF4-FFF2-40B4-BE49-F238E27FC236}">
              <a16:creationId xmlns:a16="http://schemas.microsoft.com/office/drawing/2014/main" id="{00000000-0008-0000-0000-00009A000000}"/>
            </a:ext>
          </a:extLst>
        </xdr:cNvPr>
        <xdr:cNvSpPr txBox="1"/>
      </xdr:nvSpPr>
      <xdr:spPr>
        <a:xfrm>
          <a:off x="826770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641" name="TextBox 6640">
          <a:extLst>
            <a:ext uri="{FF2B5EF4-FFF2-40B4-BE49-F238E27FC236}">
              <a16:creationId xmlns:a16="http://schemas.microsoft.com/office/drawing/2014/main" id="{00000000-0008-0000-0000-00009B000000}"/>
            </a:ext>
          </a:extLst>
        </xdr:cNvPr>
        <xdr:cNvSpPr txBox="1"/>
      </xdr:nvSpPr>
      <xdr:spPr>
        <a:xfrm>
          <a:off x="826770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642" name="TextBox 6641">
          <a:extLst>
            <a:ext uri="{FF2B5EF4-FFF2-40B4-BE49-F238E27FC236}">
              <a16:creationId xmlns:a16="http://schemas.microsoft.com/office/drawing/2014/main" id="{00000000-0008-0000-0000-00009C000000}"/>
            </a:ext>
          </a:extLst>
        </xdr:cNvPr>
        <xdr:cNvSpPr txBox="1"/>
      </xdr:nvSpPr>
      <xdr:spPr>
        <a:xfrm>
          <a:off x="826770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643" name="TextBox 6642">
          <a:extLst>
            <a:ext uri="{FF2B5EF4-FFF2-40B4-BE49-F238E27FC236}">
              <a16:creationId xmlns:a16="http://schemas.microsoft.com/office/drawing/2014/main" id="{00000000-0008-0000-0000-00009D000000}"/>
            </a:ext>
          </a:extLst>
        </xdr:cNvPr>
        <xdr:cNvSpPr txBox="1"/>
      </xdr:nvSpPr>
      <xdr:spPr>
        <a:xfrm>
          <a:off x="826770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644" name="TextBox 6643">
          <a:extLst>
            <a:ext uri="{FF2B5EF4-FFF2-40B4-BE49-F238E27FC236}">
              <a16:creationId xmlns:a16="http://schemas.microsoft.com/office/drawing/2014/main" id="{00000000-0008-0000-0000-00009E000000}"/>
            </a:ext>
          </a:extLst>
        </xdr:cNvPr>
        <xdr:cNvSpPr txBox="1"/>
      </xdr:nvSpPr>
      <xdr:spPr>
        <a:xfrm>
          <a:off x="826770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645" name="TextBox 6644">
          <a:extLst>
            <a:ext uri="{FF2B5EF4-FFF2-40B4-BE49-F238E27FC236}">
              <a16:creationId xmlns:a16="http://schemas.microsoft.com/office/drawing/2014/main" id="{00000000-0008-0000-0000-00009F000000}"/>
            </a:ext>
          </a:extLst>
        </xdr:cNvPr>
        <xdr:cNvSpPr txBox="1"/>
      </xdr:nvSpPr>
      <xdr:spPr>
        <a:xfrm>
          <a:off x="826770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646" name="TextBox 6645">
          <a:extLst>
            <a:ext uri="{FF2B5EF4-FFF2-40B4-BE49-F238E27FC236}">
              <a16:creationId xmlns:a16="http://schemas.microsoft.com/office/drawing/2014/main" id="{00000000-0008-0000-0000-0000A0000000}"/>
            </a:ext>
          </a:extLst>
        </xdr:cNvPr>
        <xdr:cNvSpPr txBox="1"/>
      </xdr:nvSpPr>
      <xdr:spPr>
        <a:xfrm>
          <a:off x="826770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647" name="TextBox 6646">
          <a:extLst>
            <a:ext uri="{FF2B5EF4-FFF2-40B4-BE49-F238E27FC236}">
              <a16:creationId xmlns:a16="http://schemas.microsoft.com/office/drawing/2014/main" id="{00000000-0008-0000-0000-0000A1000000}"/>
            </a:ext>
          </a:extLst>
        </xdr:cNvPr>
        <xdr:cNvSpPr txBox="1"/>
      </xdr:nvSpPr>
      <xdr:spPr>
        <a:xfrm>
          <a:off x="826770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648" name="TextBox 6647">
          <a:extLst>
            <a:ext uri="{FF2B5EF4-FFF2-40B4-BE49-F238E27FC236}">
              <a16:creationId xmlns:a16="http://schemas.microsoft.com/office/drawing/2014/main" id="{00000000-0008-0000-0000-0000A2000000}"/>
            </a:ext>
          </a:extLst>
        </xdr:cNvPr>
        <xdr:cNvSpPr txBox="1"/>
      </xdr:nvSpPr>
      <xdr:spPr>
        <a:xfrm>
          <a:off x="826770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649" name="TextBox 6648">
          <a:extLst>
            <a:ext uri="{FF2B5EF4-FFF2-40B4-BE49-F238E27FC236}">
              <a16:creationId xmlns:a16="http://schemas.microsoft.com/office/drawing/2014/main" id="{00000000-0008-0000-0000-0000A3000000}"/>
            </a:ext>
          </a:extLst>
        </xdr:cNvPr>
        <xdr:cNvSpPr txBox="1"/>
      </xdr:nvSpPr>
      <xdr:spPr>
        <a:xfrm>
          <a:off x="826770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650" name="TextBox 6649">
          <a:extLst>
            <a:ext uri="{FF2B5EF4-FFF2-40B4-BE49-F238E27FC236}">
              <a16:creationId xmlns:a16="http://schemas.microsoft.com/office/drawing/2014/main" id="{00000000-0008-0000-0000-0000A4000000}"/>
            </a:ext>
          </a:extLst>
        </xdr:cNvPr>
        <xdr:cNvSpPr txBox="1"/>
      </xdr:nvSpPr>
      <xdr:spPr>
        <a:xfrm>
          <a:off x="826770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651" name="TextBox 6650">
          <a:extLst>
            <a:ext uri="{FF2B5EF4-FFF2-40B4-BE49-F238E27FC236}">
              <a16:creationId xmlns:a16="http://schemas.microsoft.com/office/drawing/2014/main" id="{00000000-0008-0000-0000-0000A5000000}"/>
            </a:ext>
          </a:extLst>
        </xdr:cNvPr>
        <xdr:cNvSpPr txBox="1"/>
      </xdr:nvSpPr>
      <xdr:spPr>
        <a:xfrm>
          <a:off x="826770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652" name="TextBox 6651">
          <a:extLst>
            <a:ext uri="{FF2B5EF4-FFF2-40B4-BE49-F238E27FC236}">
              <a16:creationId xmlns:a16="http://schemas.microsoft.com/office/drawing/2014/main" id="{00000000-0008-0000-0000-0000A6000000}"/>
            </a:ext>
          </a:extLst>
        </xdr:cNvPr>
        <xdr:cNvSpPr txBox="1"/>
      </xdr:nvSpPr>
      <xdr:spPr>
        <a:xfrm>
          <a:off x="826770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653" name="TextBox 6652">
          <a:extLst>
            <a:ext uri="{FF2B5EF4-FFF2-40B4-BE49-F238E27FC236}">
              <a16:creationId xmlns:a16="http://schemas.microsoft.com/office/drawing/2014/main" id="{00000000-0008-0000-0000-0000A7000000}"/>
            </a:ext>
          </a:extLst>
        </xdr:cNvPr>
        <xdr:cNvSpPr txBox="1"/>
      </xdr:nvSpPr>
      <xdr:spPr>
        <a:xfrm>
          <a:off x="826770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654" name="TextBox 6653">
          <a:extLst>
            <a:ext uri="{FF2B5EF4-FFF2-40B4-BE49-F238E27FC236}">
              <a16:creationId xmlns:a16="http://schemas.microsoft.com/office/drawing/2014/main" id="{00000000-0008-0000-0000-0000A8000000}"/>
            </a:ext>
          </a:extLst>
        </xdr:cNvPr>
        <xdr:cNvSpPr txBox="1"/>
      </xdr:nvSpPr>
      <xdr:spPr>
        <a:xfrm>
          <a:off x="826770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655" name="TextBox 6654">
          <a:extLst>
            <a:ext uri="{FF2B5EF4-FFF2-40B4-BE49-F238E27FC236}">
              <a16:creationId xmlns:a16="http://schemas.microsoft.com/office/drawing/2014/main" id="{00000000-0008-0000-0000-0000A9000000}"/>
            </a:ext>
          </a:extLst>
        </xdr:cNvPr>
        <xdr:cNvSpPr txBox="1"/>
      </xdr:nvSpPr>
      <xdr:spPr>
        <a:xfrm>
          <a:off x="826770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656" name="TextBox 6655">
          <a:extLst>
            <a:ext uri="{FF2B5EF4-FFF2-40B4-BE49-F238E27FC236}">
              <a16:creationId xmlns:a16="http://schemas.microsoft.com/office/drawing/2014/main" id="{00000000-0008-0000-0000-0000AA000000}"/>
            </a:ext>
          </a:extLst>
        </xdr:cNvPr>
        <xdr:cNvSpPr txBox="1"/>
      </xdr:nvSpPr>
      <xdr:spPr>
        <a:xfrm>
          <a:off x="826770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657" name="TextBox 6656">
          <a:extLst>
            <a:ext uri="{FF2B5EF4-FFF2-40B4-BE49-F238E27FC236}">
              <a16:creationId xmlns:a16="http://schemas.microsoft.com/office/drawing/2014/main" id="{00000000-0008-0000-0000-0000AB000000}"/>
            </a:ext>
          </a:extLst>
        </xdr:cNvPr>
        <xdr:cNvSpPr txBox="1"/>
      </xdr:nvSpPr>
      <xdr:spPr>
        <a:xfrm>
          <a:off x="826770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658" name="TextBox 6657">
          <a:extLst>
            <a:ext uri="{FF2B5EF4-FFF2-40B4-BE49-F238E27FC236}">
              <a16:creationId xmlns:a16="http://schemas.microsoft.com/office/drawing/2014/main" id="{00000000-0008-0000-0000-0000AC000000}"/>
            </a:ext>
          </a:extLst>
        </xdr:cNvPr>
        <xdr:cNvSpPr txBox="1"/>
      </xdr:nvSpPr>
      <xdr:spPr>
        <a:xfrm>
          <a:off x="826770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659" name="TextBox 6658">
          <a:extLst>
            <a:ext uri="{FF2B5EF4-FFF2-40B4-BE49-F238E27FC236}">
              <a16:creationId xmlns:a16="http://schemas.microsoft.com/office/drawing/2014/main" id="{00000000-0008-0000-0000-0000AD000000}"/>
            </a:ext>
          </a:extLst>
        </xdr:cNvPr>
        <xdr:cNvSpPr txBox="1"/>
      </xdr:nvSpPr>
      <xdr:spPr>
        <a:xfrm>
          <a:off x="826770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660" name="TextBox 6659">
          <a:extLst>
            <a:ext uri="{FF2B5EF4-FFF2-40B4-BE49-F238E27FC236}">
              <a16:creationId xmlns:a16="http://schemas.microsoft.com/office/drawing/2014/main" id="{00000000-0008-0000-0000-0000AE000000}"/>
            </a:ext>
          </a:extLst>
        </xdr:cNvPr>
        <xdr:cNvSpPr txBox="1"/>
      </xdr:nvSpPr>
      <xdr:spPr>
        <a:xfrm>
          <a:off x="826770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661" name="TextBox 6660">
          <a:extLst>
            <a:ext uri="{FF2B5EF4-FFF2-40B4-BE49-F238E27FC236}">
              <a16:creationId xmlns:a16="http://schemas.microsoft.com/office/drawing/2014/main" id="{00000000-0008-0000-0000-0000AF000000}"/>
            </a:ext>
          </a:extLst>
        </xdr:cNvPr>
        <xdr:cNvSpPr txBox="1"/>
      </xdr:nvSpPr>
      <xdr:spPr>
        <a:xfrm>
          <a:off x="826770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662" name="TextBox 6661">
          <a:extLst>
            <a:ext uri="{FF2B5EF4-FFF2-40B4-BE49-F238E27FC236}">
              <a16:creationId xmlns:a16="http://schemas.microsoft.com/office/drawing/2014/main" id="{00000000-0008-0000-0000-0000B0000000}"/>
            </a:ext>
          </a:extLst>
        </xdr:cNvPr>
        <xdr:cNvSpPr txBox="1"/>
      </xdr:nvSpPr>
      <xdr:spPr>
        <a:xfrm>
          <a:off x="1258062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663" name="TextBox 6662">
          <a:extLst>
            <a:ext uri="{FF2B5EF4-FFF2-40B4-BE49-F238E27FC236}">
              <a16:creationId xmlns:a16="http://schemas.microsoft.com/office/drawing/2014/main" id="{00000000-0008-0000-0000-0000B1000000}"/>
            </a:ext>
          </a:extLst>
        </xdr:cNvPr>
        <xdr:cNvSpPr txBox="1"/>
      </xdr:nvSpPr>
      <xdr:spPr>
        <a:xfrm>
          <a:off x="1258062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664" name="TextBox 6663">
          <a:extLst>
            <a:ext uri="{FF2B5EF4-FFF2-40B4-BE49-F238E27FC236}">
              <a16:creationId xmlns:a16="http://schemas.microsoft.com/office/drawing/2014/main" id="{00000000-0008-0000-0000-0000B2000000}"/>
            </a:ext>
          </a:extLst>
        </xdr:cNvPr>
        <xdr:cNvSpPr txBox="1"/>
      </xdr:nvSpPr>
      <xdr:spPr>
        <a:xfrm>
          <a:off x="1258062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665" name="TextBox 6664">
          <a:extLst>
            <a:ext uri="{FF2B5EF4-FFF2-40B4-BE49-F238E27FC236}">
              <a16:creationId xmlns:a16="http://schemas.microsoft.com/office/drawing/2014/main" id="{00000000-0008-0000-0000-0000B3000000}"/>
            </a:ext>
          </a:extLst>
        </xdr:cNvPr>
        <xdr:cNvSpPr txBox="1"/>
      </xdr:nvSpPr>
      <xdr:spPr>
        <a:xfrm>
          <a:off x="1258062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666" name="TextBox 6665">
          <a:extLst>
            <a:ext uri="{FF2B5EF4-FFF2-40B4-BE49-F238E27FC236}">
              <a16:creationId xmlns:a16="http://schemas.microsoft.com/office/drawing/2014/main" id="{00000000-0008-0000-0000-0000B4000000}"/>
            </a:ext>
          </a:extLst>
        </xdr:cNvPr>
        <xdr:cNvSpPr txBox="1"/>
      </xdr:nvSpPr>
      <xdr:spPr>
        <a:xfrm>
          <a:off x="1258062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667" name="TextBox 6666">
          <a:extLst>
            <a:ext uri="{FF2B5EF4-FFF2-40B4-BE49-F238E27FC236}">
              <a16:creationId xmlns:a16="http://schemas.microsoft.com/office/drawing/2014/main" id="{00000000-0008-0000-0000-0000B5000000}"/>
            </a:ext>
          </a:extLst>
        </xdr:cNvPr>
        <xdr:cNvSpPr txBox="1"/>
      </xdr:nvSpPr>
      <xdr:spPr>
        <a:xfrm>
          <a:off x="1258062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668" name="TextBox 6667">
          <a:extLst>
            <a:ext uri="{FF2B5EF4-FFF2-40B4-BE49-F238E27FC236}">
              <a16:creationId xmlns:a16="http://schemas.microsoft.com/office/drawing/2014/main" id="{00000000-0008-0000-0000-0000B6000000}"/>
            </a:ext>
          </a:extLst>
        </xdr:cNvPr>
        <xdr:cNvSpPr txBox="1"/>
      </xdr:nvSpPr>
      <xdr:spPr>
        <a:xfrm>
          <a:off x="1258062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669" name="TextBox 6668">
          <a:extLst>
            <a:ext uri="{FF2B5EF4-FFF2-40B4-BE49-F238E27FC236}">
              <a16:creationId xmlns:a16="http://schemas.microsoft.com/office/drawing/2014/main" id="{00000000-0008-0000-0000-0000B7000000}"/>
            </a:ext>
          </a:extLst>
        </xdr:cNvPr>
        <xdr:cNvSpPr txBox="1"/>
      </xdr:nvSpPr>
      <xdr:spPr>
        <a:xfrm>
          <a:off x="1258062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670" name="TextBox 6669">
          <a:extLst>
            <a:ext uri="{FF2B5EF4-FFF2-40B4-BE49-F238E27FC236}">
              <a16:creationId xmlns:a16="http://schemas.microsoft.com/office/drawing/2014/main" id="{00000000-0008-0000-0000-0000B8000000}"/>
            </a:ext>
          </a:extLst>
        </xdr:cNvPr>
        <xdr:cNvSpPr txBox="1"/>
      </xdr:nvSpPr>
      <xdr:spPr>
        <a:xfrm>
          <a:off x="826770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671" name="TextBox 6670">
          <a:extLst>
            <a:ext uri="{FF2B5EF4-FFF2-40B4-BE49-F238E27FC236}">
              <a16:creationId xmlns:a16="http://schemas.microsoft.com/office/drawing/2014/main" id="{00000000-0008-0000-0000-0000B9000000}"/>
            </a:ext>
          </a:extLst>
        </xdr:cNvPr>
        <xdr:cNvSpPr txBox="1"/>
      </xdr:nvSpPr>
      <xdr:spPr>
        <a:xfrm>
          <a:off x="826770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672" name="TextBox 6671">
          <a:extLst>
            <a:ext uri="{FF2B5EF4-FFF2-40B4-BE49-F238E27FC236}">
              <a16:creationId xmlns:a16="http://schemas.microsoft.com/office/drawing/2014/main" id="{00000000-0008-0000-0000-0000BA000000}"/>
            </a:ext>
          </a:extLst>
        </xdr:cNvPr>
        <xdr:cNvSpPr txBox="1"/>
      </xdr:nvSpPr>
      <xdr:spPr>
        <a:xfrm>
          <a:off x="826770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673" name="TextBox 6672">
          <a:extLst>
            <a:ext uri="{FF2B5EF4-FFF2-40B4-BE49-F238E27FC236}">
              <a16:creationId xmlns:a16="http://schemas.microsoft.com/office/drawing/2014/main" id="{00000000-0008-0000-0000-0000BB000000}"/>
            </a:ext>
          </a:extLst>
        </xdr:cNvPr>
        <xdr:cNvSpPr txBox="1"/>
      </xdr:nvSpPr>
      <xdr:spPr>
        <a:xfrm>
          <a:off x="826770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674" name="TextBox 6673">
          <a:extLst>
            <a:ext uri="{FF2B5EF4-FFF2-40B4-BE49-F238E27FC236}">
              <a16:creationId xmlns:a16="http://schemas.microsoft.com/office/drawing/2014/main" id="{00000000-0008-0000-0000-0000BC000000}"/>
            </a:ext>
          </a:extLst>
        </xdr:cNvPr>
        <xdr:cNvSpPr txBox="1"/>
      </xdr:nvSpPr>
      <xdr:spPr>
        <a:xfrm>
          <a:off x="826770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675" name="TextBox 6674">
          <a:extLst>
            <a:ext uri="{FF2B5EF4-FFF2-40B4-BE49-F238E27FC236}">
              <a16:creationId xmlns:a16="http://schemas.microsoft.com/office/drawing/2014/main" id="{00000000-0008-0000-0000-0000BD000000}"/>
            </a:ext>
          </a:extLst>
        </xdr:cNvPr>
        <xdr:cNvSpPr txBox="1"/>
      </xdr:nvSpPr>
      <xdr:spPr>
        <a:xfrm>
          <a:off x="826770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676" name="TextBox 6675">
          <a:extLst>
            <a:ext uri="{FF2B5EF4-FFF2-40B4-BE49-F238E27FC236}">
              <a16:creationId xmlns:a16="http://schemas.microsoft.com/office/drawing/2014/main" id="{00000000-0008-0000-0000-0000BE000000}"/>
            </a:ext>
          </a:extLst>
        </xdr:cNvPr>
        <xdr:cNvSpPr txBox="1"/>
      </xdr:nvSpPr>
      <xdr:spPr>
        <a:xfrm>
          <a:off x="826770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677" name="TextBox 6676">
          <a:extLst>
            <a:ext uri="{FF2B5EF4-FFF2-40B4-BE49-F238E27FC236}">
              <a16:creationId xmlns:a16="http://schemas.microsoft.com/office/drawing/2014/main" id="{00000000-0008-0000-0000-0000BF000000}"/>
            </a:ext>
          </a:extLst>
        </xdr:cNvPr>
        <xdr:cNvSpPr txBox="1"/>
      </xdr:nvSpPr>
      <xdr:spPr>
        <a:xfrm>
          <a:off x="826770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678" name="TextBox 6677">
          <a:extLst>
            <a:ext uri="{FF2B5EF4-FFF2-40B4-BE49-F238E27FC236}">
              <a16:creationId xmlns:a16="http://schemas.microsoft.com/office/drawing/2014/main" id="{00000000-0008-0000-0000-0000C0000000}"/>
            </a:ext>
          </a:extLst>
        </xdr:cNvPr>
        <xdr:cNvSpPr txBox="1"/>
      </xdr:nvSpPr>
      <xdr:spPr>
        <a:xfrm>
          <a:off x="826770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679" name="TextBox 6678">
          <a:extLst>
            <a:ext uri="{FF2B5EF4-FFF2-40B4-BE49-F238E27FC236}">
              <a16:creationId xmlns:a16="http://schemas.microsoft.com/office/drawing/2014/main" id="{00000000-0008-0000-0000-0000C1000000}"/>
            </a:ext>
          </a:extLst>
        </xdr:cNvPr>
        <xdr:cNvSpPr txBox="1"/>
      </xdr:nvSpPr>
      <xdr:spPr>
        <a:xfrm>
          <a:off x="826770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680" name="TextBox 6679">
          <a:extLst>
            <a:ext uri="{FF2B5EF4-FFF2-40B4-BE49-F238E27FC236}">
              <a16:creationId xmlns:a16="http://schemas.microsoft.com/office/drawing/2014/main" id="{00000000-0008-0000-0000-0000C2000000}"/>
            </a:ext>
          </a:extLst>
        </xdr:cNvPr>
        <xdr:cNvSpPr txBox="1"/>
      </xdr:nvSpPr>
      <xdr:spPr>
        <a:xfrm>
          <a:off x="826770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681" name="TextBox 6680">
          <a:extLst>
            <a:ext uri="{FF2B5EF4-FFF2-40B4-BE49-F238E27FC236}">
              <a16:creationId xmlns:a16="http://schemas.microsoft.com/office/drawing/2014/main" id="{00000000-0008-0000-0000-0000C3000000}"/>
            </a:ext>
          </a:extLst>
        </xdr:cNvPr>
        <xdr:cNvSpPr txBox="1"/>
      </xdr:nvSpPr>
      <xdr:spPr>
        <a:xfrm>
          <a:off x="826770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682" name="TextBox 6681">
          <a:extLst>
            <a:ext uri="{FF2B5EF4-FFF2-40B4-BE49-F238E27FC236}">
              <a16:creationId xmlns:a16="http://schemas.microsoft.com/office/drawing/2014/main" id="{00000000-0008-0000-0000-0000C4000000}"/>
            </a:ext>
          </a:extLst>
        </xdr:cNvPr>
        <xdr:cNvSpPr txBox="1"/>
      </xdr:nvSpPr>
      <xdr:spPr>
        <a:xfrm>
          <a:off x="826770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683" name="TextBox 6682">
          <a:extLst>
            <a:ext uri="{FF2B5EF4-FFF2-40B4-BE49-F238E27FC236}">
              <a16:creationId xmlns:a16="http://schemas.microsoft.com/office/drawing/2014/main" id="{00000000-0008-0000-0000-0000C5000000}"/>
            </a:ext>
          </a:extLst>
        </xdr:cNvPr>
        <xdr:cNvSpPr txBox="1"/>
      </xdr:nvSpPr>
      <xdr:spPr>
        <a:xfrm>
          <a:off x="826770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684" name="TextBox 6683">
          <a:extLst>
            <a:ext uri="{FF2B5EF4-FFF2-40B4-BE49-F238E27FC236}">
              <a16:creationId xmlns:a16="http://schemas.microsoft.com/office/drawing/2014/main" id="{00000000-0008-0000-0000-0000C6000000}"/>
            </a:ext>
          </a:extLst>
        </xdr:cNvPr>
        <xdr:cNvSpPr txBox="1"/>
      </xdr:nvSpPr>
      <xdr:spPr>
        <a:xfrm>
          <a:off x="826770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685" name="TextBox 6684">
          <a:extLst>
            <a:ext uri="{FF2B5EF4-FFF2-40B4-BE49-F238E27FC236}">
              <a16:creationId xmlns:a16="http://schemas.microsoft.com/office/drawing/2014/main" id="{00000000-0008-0000-0000-0000C7000000}"/>
            </a:ext>
          </a:extLst>
        </xdr:cNvPr>
        <xdr:cNvSpPr txBox="1"/>
      </xdr:nvSpPr>
      <xdr:spPr>
        <a:xfrm>
          <a:off x="826770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686" name="TextBox 6685">
          <a:extLst>
            <a:ext uri="{FF2B5EF4-FFF2-40B4-BE49-F238E27FC236}">
              <a16:creationId xmlns:a16="http://schemas.microsoft.com/office/drawing/2014/main" id="{00000000-0008-0000-0000-0000C8000000}"/>
            </a:ext>
          </a:extLst>
        </xdr:cNvPr>
        <xdr:cNvSpPr txBox="1"/>
      </xdr:nvSpPr>
      <xdr:spPr>
        <a:xfrm>
          <a:off x="826770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687" name="TextBox 6686">
          <a:extLst>
            <a:ext uri="{FF2B5EF4-FFF2-40B4-BE49-F238E27FC236}">
              <a16:creationId xmlns:a16="http://schemas.microsoft.com/office/drawing/2014/main" id="{00000000-0008-0000-0000-0000C9000000}"/>
            </a:ext>
          </a:extLst>
        </xdr:cNvPr>
        <xdr:cNvSpPr txBox="1"/>
      </xdr:nvSpPr>
      <xdr:spPr>
        <a:xfrm>
          <a:off x="826770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688" name="TextBox 6687">
          <a:extLst>
            <a:ext uri="{FF2B5EF4-FFF2-40B4-BE49-F238E27FC236}">
              <a16:creationId xmlns:a16="http://schemas.microsoft.com/office/drawing/2014/main" id="{00000000-0008-0000-0000-0000CA000000}"/>
            </a:ext>
          </a:extLst>
        </xdr:cNvPr>
        <xdr:cNvSpPr txBox="1"/>
      </xdr:nvSpPr>
      <xdr:spPr>
        <a:xfrm>
          <a:off x="826770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689" name="TextBox 6688">
          <a:extLst>
            <a:ext uri="{FF2B5EF4-FFF2-40B4-BE49-F238E27FC236}">
              <a16:creationId xmlns:a16="http://schemas.microsoft.com/office/drawing/2014/main" id="{00000000-0008-0000-0000-0000CB000000}"/>
            </a:ext>
          </a:extLst>
        </xdr:cNvPr>
        <xdr:cNvSpPr txBox="1"/>
      </xdr:nvSpPr>
      <xdr:spPr>
        <a:xfrm>
          <a:off x="826770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690" name="TextBox 6689">
          <a:extLst>
            <a:ext uri="{FF2B5EF4-FFF2-40B4-BE49-F238E27FC236}">
              <a16:creationId xmlns:a16="http://schemas.microsoft.com/office/drawing/2014/main" id="{00000000-0008-0000-0000-0000CC000000}"/>
            </a:ext>
          </a:extLst>
        </xdr:cNvPr>
        <xdr:cNvSpPr txBox="1"/>
      </xdr:nvSpPr>
      <xdr:spPr>
        <a:xfrm>
          <a:off x="826770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691" name="TextBox 6690">
          <a:extLst>
            <a:ext uri="{FF2B5EF4-FFF2-40B4-BE49-F238E27FC236}">
              <a16:creationId xmlns:a16="http://schemas.microsoft.com/office/drawing/2014/main" id="{00000000-0008-0000-0000-0000CD000000}"/>
            </a:ext>
          </a:extLst>
        </xdr:cNvPr>
        <xdr:cNvSpPr txBox="1"/>
      </xdr:nvSpPr>
      <xdr:spPr>
        <a:xfrm>
          <a:off x="826770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692" name="TextBox 6691">
          <a:extLst>
            <a:ext uri="{FF2B5EF4-FFF2-40B4-BE49-F238E27FC236}">
              <a16:creationId xmlns:a16="http://schemas.microsoft.com/office/drawing/2014/main" id="{00000000-0008-0000-0000-0000CE000000}"/>
            </a:ext>
          </a:extLst>
        </xdr:cNvPr>
        <xdr:cNvSpPr txBox="1"/>
      </xdr:nvSpPr>
      <xdr:spPr>
        <a:xfrm>
          <a:off x="826770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693" name="TextBox 6692">
          <a:extLst>
            <a:ext uri="{FF2B5EF4-FFF2-40B4-BE49-F238E27FC236}">
              <a16:creationId xmlns:a16="http://schemas.microsoft.com/office/drawing/2014/main" id="{00000000-0008-0000-0000-0000CF000000}"/>
            </a:ext>
          </a:extLst>
        </xdr:cNvPr>
        <xdr:cNvSpPr txBox="1"/>
      </xdr:nvSpPr>
      <xdr:spPr>
        <a:xfrm>
          <a:off x="826770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694" name="TextBox 6693">
          <a:extLst>
            <a:ext uri="{FF2B5EF4-FFF2-40B4-BE49-F238E27FC236}">
              <a16:creationId xmlns:a16="http://schemas.microsoft.com/office/drawing/2014/main" id="{00000000-0008-0000-0000-0000D0000000}"/>
            </a:ext>
          </a:extLst>
        </xdr:cNvPr>
        <xdr:cNvSpPr txBox="1"/>
      </xdr:nvSpPr>
      <xdr:spPr>
        <a:xfrm>
          <a:off x="826770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695" name="TextBox 6694">
          <a:extLst>
            <a:ext uri="{FF2B5EF4-FFF2-40B4-BE49-F238E27FC236}">
              <a16:creationId xmlns:a16="http://schemas.microsoft.com/office/drawing/2014/main" id="{00000000-0008-0000-0000-0000D1000000}"/>
            </a:ext>
          </a:extLst>
        </xdr:cNvPr>
        <xdr:cNvSpPr txBox="1"/>
      </xdr:nvSpPr>
      <xdr:spPr>
        <a:xfrm>
          <a:off x="826770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696" name="TextBox 6695">
          <a:extLst>
            <a:ext uri="{FF2B5EF4-FFF2-40B4-BE49-F238E27FC236}">
              <a16:creationId xmlns:a16="http://schemas.microsoft.com/office/drawing/2014/main" id="{00000000-0008-0000-0000-0000D2000000}"/>
            </a:ext>
          </a:extLst>
        </xdr:cNvPr>
        <xdr:cNvSpPr txBox="1"/>
      </xdr:nvSpPr>
      <xdr:spPr>
        <a:xfrm>
          <a:off x="826770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697" name="TextBox 6696">
          <a:extLst>
            <a:ext uri="{FF2B5EF4-FFF2-40B4-BE49-F238E27FC236}">
              <a16:creationId xmlns:a16="http://schemas.microsoft.com/office/drawing/2014/main" id="{00000000-0008-0000-0000-0000D3000000}"/>
            </a:ext>
          </a:extLst>
        </xdr:cNvPr>
        <xdr:cNvSpPr txBox="1"/>
      </xdr:nvSpPr>
      <xdr:spPr>
        <a:xfrm>
          <a:off x="826770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698" name="TextBox 6697">
          <a:extLst>
            <a:ext uri="{FF2B5EF4-FFF2-40B4-BE49-F238E27FC236}">
              <a16:creationId xmlns:a16="http://schemas.microsoft.com/office/drawing/2014/main" id="{00000000-0008-0000-0000-0000D4000000}"/>
            </a:ext>
          </a:extLst>
        </xdr:cNvPr>
        <xdr:cNvSpPr txBox="1"/>
      </xdr:nvSpPr>
      <xdr:spPr>
        <a:xfrm>
          <a:off x="826770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699" name="TextBox 6698">
          <a:extLst>
            <a:ext uri="{FF2B5EF4-FFF2-40B4-BE49-F238E27FC236}">
              <a16:creationId xmlns:a16="http://schemas.microsoft.com/office/drawing/2014/main" id="{00000000-0008-0000-0000-0000D5000000}"/>
            </a:ext>
          </a:extLst>
        </xdr:cNvPr>
        <xdr:cNvSpPr txBox="1"/>
      </xdr:nvSpPr>
      <xdr:spPr>
        <a:xfrm>
          <a:off x="826770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700" name="TextBox 6699">
          <a:extLst>
            <a:ext uri="{FF2B5EF4-FFF2-40B4-BE49-F238E27FC236}">
              <a16:creationId xmlns:a16="http://schemas.microsoft.com/office/drawing/2014/main" id="{00000000-0008-0000-0000-0000D6000000}"/>
            </a:ext>
          </a:extLst>
        </xdr:cNvPr>
        <xdr:cNvSpPr txBox="1"/>
      </xdr:nvSpPr>
      <xdr:spPr>
        <a:xfrm>
          <a:off x="826770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701" name="TextBox 6700">
          <a:extLst>
            <a:ext uri="{FF2B5EF4-FFF2-40B4-BE49-F238E27FC236}">
              <a16:creationId xmlns:a16="http://schemas.microsoft.com/office/drawing/2014/main" id="{00000000-0008-0000-0000-0000D7000000}"/>
            </a:ext>
          </a:extLst>
        </xdr:cNvPr>
        <xdr:cNvSpPr txBox="1"/>
      </xdr:nvSpPr>
      <xdr:spPr>
        <a:xfrm>
          <a:off x="826770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702" name="TextBox 6701">
          <a:extLst>
            <a:ext uri="{FF2B5EF4-FFF2-40B4-BE49-F238E27FC236}">
              <a16:creationId xmlns:a16="http://schemas.microsoft.com/office/drawing/2014/main" id="{00000000-0008-0000-0000-0000D8000000}"/>
            </a:ext>
          </a:extLst>
        </xdr:cNvPr>
        <xdr:cNvSpPr txBox="1"/>
      </xdr:nvSpPr>
      <xdr:spPr>
        <a:xfrm>
          <a:off x="826770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703" name="TextBox 6702">
          <a:extLst>
            <a:ext uri="{FF2B5EF4-FFF2-40B4-BE49-F238E27FC236}">
              <a16:creationId xmlns:a16="http://schemas.microsoft.com/office/drawing/2014/main" id="{00000000-0008-0000-0000-0000D9000000}"/>
            </a:ext>
          </a:extLst>
        </xdr:cNvPr>
        <xdr:cNvSpPr txBox="1"/>
      </xdr:nvSpPr>
      <xdr:spPr>
        <a:xfrm>
          <a:off x="826770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704" name="TextBox 6703">
          <a:extLst>
            <a:ext uri="{FF2B5EF4-FFF2-40B4-BE49-F238E27FC236}">
              <a16:creationId xmlns:a16="http://schemas.microsoft.com/office/drawing/2014/main" id="{00000000-0008-0000-0000-0000DA000000}"/>
            </a:ext>
          </a:extLst>
        </xdr:cNvPr>
        <xdr:cNvSpPr txBox="1"/>
      </xdr:nvSpPr>
      <xdr:spPr>
        <a:xfrm>
          <a:off x="826770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705" name="TextBox 6704">
          <a:extLst>
            <a:ext uri="{FF2B5EF4-FFF2-40B4-BE49-F238E27FC236}">
              <a16:creationId xmlns:a16="http://schemas.microsoft.com/office/drawing/2014/main" id="{00000000-0008-0000-0000-0000DB000000}"/>
            </a:ext>
          </a:extLst>
        </xdr:cNvPr>
        <xdr:cNvSpPr txBox="1"/>
      </xdr:nvSpPr>
      <xdr:spPr>
        <a:xfrm>
          <a:off x="826770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706" name="TextBox 6705">
          <a:extLst>
            <a:ext uri="{FF2B5EF4-FFF2-40B4-BE49-F238E27FC236}">
              <a16:creationId xmlns:a16="http://schemas.microsoft.com/office/drawing/2014/main" id="{00000000-0008-0000-0000-0000DC000000}"/>
            </a:ext>
          </a:extLst>
        </xdr:cNvPr>
        <xdr:cNvSpPr txBox="1"/>
      </xdr:nvSpPr>
      <xdr:spPr>
        <a:xfrm>
          <a:off x="826770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707" name="TextBox 6706">
          <a:extLst>
            <a:ext uri="{FF2B5EF4-FFF2-40B4-BE49-F238E27FC236}">
              <a16:creationId xmlns:a16="http://schemas.microsoft.com/office/drawing/2014/main" id="{00000000-0008-0000-0000-0000DD000000}"/>
            </a:ext>
          </a:extLst>
        </xdr:cNvPr>
        <xdr:cNvSpPr txBox="1"/>
      </xdr:nvSpPr>
      <xdr:spPr>
        <a:xfrm>
          <a:off x="826770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708" name="TextBox 6707">
          <a:extLst>
            <a:ext uri="{FF2B5EF4-FFF2-40B4-BE49-F238E27FC236}">
              <a16:creationId xmlns:a16="http://schemas.microsoft.com/office/drawing/2014/main" id="{00000000-0008-0000-0000-0000DE000000}"/>
            </a:ext>
          </a:extLst>
        </xdr:cNvPr>
        <xdr:cNvSpPr txBox="1"/>
      </xdr:nvSpPr>
      <xdr:spPr>
        <a:xfrm>
          <a:off x="826770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709" name="TextBox 6708">
          <a:extLst>
            <a:ext uri="{FF2B5EF4-FFF2-40B4-BE49-F238E27FC236}">
              <a16:creationId xmlns:a16="http://schemas.microsoft.com/office/drawing/2014/main" id="{00000000-0008-0000-0000-0000DF000000}"/>
            </a:ext>
          </a:extLst>
        </xdr:cNvPr>
        <xdr:cNvSpPr txBox="1"/>
      </xdr:nvSpPr>
      <xdr:spPr>
        <a:xfrm>
          <a:off x="826770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710" name="TextBox 6709">
          <a:extLst>
            <a:ext uri="{FF2B5EF4-FFF2-40B4-BE49-F238E27FC236}">
              <a16:creationId xmlns:a16="http://schemas.microsoft.com/office/drawing/2014/main" id="{00000000-0008-0000-0000-0000E0000000}"/>
            </a:ext>
          </a:extLst>
        </xdr:cNvPr>
        <xdr:cNvSpPr txBox="1"/>
      </xdr:nvSpPr>
      <xdr:spPr>
        <a:xfrm>
          <a:off x="826770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711" name="TextBox 6710">
          <a:extLst>
            <a:ext uri="{FF2B5EF4-FFF2-40B4-BE49-F238E27FC236}">
              <a16:creationId xmlns:a16="http://schemas.microsoft.com/office/drawing/2014/main" id="{00000000-0008-0000-0000-0000E1000000}"/>
            </a:ext>
          </a:extLst>
        </xdr:cNvPr>
        <xdr:cNvSpPr txBox="1"/>
      </xdr:nvSpPr>
      <xdr:spPr>
        <a:xfrm>
          <a:off x="826770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712" name="TextBox 6711">
          <a:extLst>
            <a:ext uri="{FF2B5EF4-FFF2-40B4-BE49-F238E27FC236}">
              <a16:creationId xmlns:a16="http://schemas.microsoft.com/office/drawing/2014/main" id="{00000000-0008-0000-0000-0000E2000000}"/>
            </a:ext>
          </a:extLst>
        </xdr:cNvPr>
        <xdr:cNvSpPr txBox="1"/>
      </xdr:nvSpPr>
      <xdr:spPr>
        <a:xfrm>
          <a:off x="826770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713" name="TextBox 6712">
          <a:extLst>
            <a:ext uri="{FF2B5EF4-FFF2-40B4-BE49-F238E27FC236}">
              <a16:creationId xmlns:a16="http://schemas.microsoft.com/office/drawing/2014/main" id="{00000000-0008-0000-0000-0000E3000000}"/>
            </a:ext>
          </a:extLst>
        </xdr:cNvPr>
        <xdr:cNvSpPr txBox="1"/>
      </xdr:nvSpPr>
      <xdr:spPr>
        <a:xfrm>
          <a:off x="826770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714" name="TextBox 6713">
          <a:extLst>
            <a:ext uri="{FF2B5EF4-FFF2-40B4-BE49-F238E27FC236}">
              <a16:creationId xmlns:a16="http://schemas.microsoft.com/office/drawing/2014/main" id="{00000000-0008-0000-0000-0000E4000000}"/>
            </a:ext>
          </a:extLst>
        </xdr:cNvPr>
        <xdr:cNvSpPr txBox="1"/>
      </xdr:nvSpPr>
      <xdr:spPr>
        <a:xfrm>
          <a:off x="826770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715" name="TextBox 6714">
          <a:extLst>
            <a:ext uri="{FF2B5EF4-FFF2-40B4-BE49-F238E27FC236}">
              <a16:creationId xmlns:a16="http://schemas.microsoft.com/office/drawing/2014/main" id="{00000000-0008-0000-0000-0000E5000000}"/>
            </a:ext>
          </a:extLst>
        </xdr:cNvPr>
        <xdr:cNvSpPr txBox="1"/>
      </xdr:nvSpPr>
      <xdr:spPr>
        <a:xfrm>
          <a:off x="826770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716" name="TextBox 6715">
          <a:extLst>
            <a:ext uri="{FF2B5EF4-FFF2-40B4-BE49-F238E27FC236}">
              <a16:creationId xmlns:a16="http://schemas.microsoft.com/office/drawing/2014/main" id="{00000000-0008-0000-0000-0000E6000000}"/>
            </a:ext>
          </a:extLst>
        </xdr:cNvPr>
        <xdr:cNvSpPr txBox="1"/>
      </xdr:nvSpPr>
      <xdr:spPr>
        <a:xfrm>
          <a:off x="826770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717" name="TextBox 6716">
          <a:extLst>
            <a:ext uri="{FF2B5EF4-FFF2-40B4-BE49-F238E27FC236}">
              <a16:creationId xmlns:a16="http://schemas.microsoft.com/office/drawing/2014/main" id="{00000000-0008-0000-0000-0000E7000000}"/>
            </a:ext>
          </a:extLst>
        </xdr:cNvPr>
        <xdr:cNvSpPr txBox="1"/>
      </xdr:nvSpPr>
      <xdr:spPr>
        <a:xfrm>
          <a:off x="826770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718" name="TextBox 6717">
          <a:extLst>
            <a:ext uri="{FF2B5EF4-FFF2-40B4-BE49-F238E27FC236}">
              <a16:creationId xmlns:a16="http://schemas.microsoft.com/office/drawing/2014/main" id="{00000000-0008-0000-0000-0000E8000000}"/>
            </a:ext>
          </a:extLst>
        </xdr:cNvPr>
        <xdr:cNvSpPr txBox="1"/>
      </xdr:nvSpPr>
      <xdr:spPr>
        <a:xfrm>
          <a:off x="1258062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719" name="TextBox 6718">
          <a:extLst>
            <a:ext uri="{FF2B5EF4-FFF2-40B4-BE49-F238E27FC236}">
              <a16:creationId xmlns:a16="http://schemas.microsoft.com/office/drawing/2014/main" id="{00000000-0008-0000-0000-0000E9000000}"/>
            </a:ext>
          </a:extLst>
        </xdr:cNvPr>
        <xdr:cNvSpPr txBox="1"/>
      </xdr:nvSpPr>
      <xdr:spPr>
        <a:xfrm>
          <a:off x="1258062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720" name="TextBox 6719">
          <a:extLst>
            <a:ext uri="{FF2B5EF4-FFF2-40B4-BE49-F238E27FC236}">
              <a16:creationId xmlns:a16="http://schemas.microsoft.com/office/drawing/2014/main" id="{00000000-0008-0000-0000-0000EA000000}"/>
            </a:ext>
          </a:extLst>
        </xdr:cNvPr>
        <xdr:cNvSpPr txBox="1"/>
      </xdr:nvSpPr>
      <xdr:spPr>
        <a:xfrm>
          <a:off x="1258062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721" name="TextBox 6720">
          <a:extLst>
            <a:ext uri="{FF2B5EF4-FFF2-40B4-BE49-F238E27FC236}">
              <a16:creationId xmlns:a16="http://schemas.microsoft.com/office/drawing/2014/main" id="{00000000-0008-0000-0000-0000EB000000}"/>
            </a:ext>
          </a:extLst>
        </xdr:cNvPr>
        <xdr:cNvSpPr txBox="1"/>
      </xdr:nvSpPr>
      <xdr:spPr>
        <a:xfrm>
          <a:off x="1258062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722" name="TextBox 6721">
          <a:extLst>
            <a:ext uri="{FF2B5EF4-FFF2-40B4-BE49-F238E27FC236}">
              <a16:creationId xmlns:a16="http://schemas.microsoft.com/office/drawing/2014/main" id="{00000000-0008-0000-0000-0000EC000000}"/>
            </a:ext>
          </a:extLst>
        </xdr:cNvPr>
        <xdr:cNvSpPr txBox="1"/>
      </xdr:nvSpPr>
      <xdr:spPr>
        <a:xfrm>
          <a:off x="1258062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723" name="TextBox 6722">
          <a:extLst>
            <a:ext uri="{FF2B5EF4-FFF2-40B4-BE49-F238E27FC236}">
              <a16:creationId xmlns:a16="http://schemas.microsoft.com/office/drawing/2014/main" id="{00000000-0008-0000-0000-0000ED000000}"/>
            </a:ext>
          </a:extLst>
        </xdr:cNvPr>
        <xdr:cNvSpPr txBox="1"/>
      </xdr:nvSpPr>
      <xdr:spPr>
        <a:xfrm>
          <a:off x="1258062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724" name="TextBox 6723">
          <a:extLst>
            <a:ext uri="{FF2B5EF4-FFF2-40B4-BE49-F238E27FC236}">
              <a16:creationId xmlns:a16="http://schemas.microsoft.com/office/drawing/2014/main" id="{00000000-0008-0000-0000-0000EE000000}"/>
            </a:ext>
          </a:extLst>
        </xdr:cNvPr>
        <xdr:cNvSpPr txBox="1"/>
      </xdr:nvSpPr>
      <xdr:spPr>
        <a:xfrm>
          <a:off x="1258062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725" name="TextBox 6724">
          <a:extLst>
            <a:ext uri="{FF2B5EF4-FFF2-40B4-BE49-F238E27FC236}">
              <a16:creationId xmlns:a16="http://schemas.microsoft.com/office/drawing/2014/main" id="{00000000-0008-0000-0000-0000EF000000}"/>
            </a:ext>
          </a:extLst>
        </xdr:cNvPr>
        <xdr:cNvSpPr txBox="1"/>
      </xdr:nvSpPr>
      <xdr:spPr>
        <a:xfrm>
          <a:off x="1258062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726" name="TextBox 6725">
          <a:extLst>
            <a:ext uri="{FF2B5EF4-FFF2-40B4-BE49-F238E27FC236}">
              <a16:creationId xmlns:a16="http://schemas.microsoft.com/office/drawing/2014/main" id="{00000000-0008-0000-0000-0000F0000000}"/>
            </a:ext>
          </a:extLst>
        </xdr:cNvPr>
        <xdr:cNvSpPr txBox="1"/>
      </xdr:nvSpPr>
      <xdr:spPr>
        <a:xfrm>
          <a:off x="826770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727" name="TextBox 6726">
          <a:extLst>
            <a:ext uri="{FF2B5EF4-FFF2-40B4-BE49-F238E27FC236}">
              <a16:creationId xmlns:a16="http://schemas.microsoft.com/office/drawing/2014/main" id="{00000000-0008-0000-0000-0000F1000000}"/>
            </a:ext>
          </a:extLst>
        </xdr:cNvPr>
        <xdr:cNvSpPr txBox="1"/>
      </xdr:nvSpPr>
      <xdr:spPr>
        <a:xfrm>
          <a:off x="826770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728" name="TextBox 6727">
          <a:extLst>
            <a:ext uri="{FF2B5EF4-FFF2-40B4-BE49-F238E27FC236}">
              <a16:creationId xmlns:a16="http://schemas.microsoft.com/office/drawing/2014/main" id="{00000000-0008-0000-0000-0000F2000000}"/>
            </a:ext>
          </a:extLst>
        </xdr:cNvPr>
        <xdr:cNvSpPr txBox="1"/>
      </xdr:nvSpPr>
      <xdr:spPr>
        <a:xfrm>
          <a:off x="826770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729" name="TextBox 6728">
          <a:extLst>
            <a:ext uri="{FF2B5EF4-FFF2-40B4-BE49-F238E27FC236}">
              <a16:creationId xmlns:a16="http://schemas.microsoft.com/office/drawing/2014/main" id="{00000000-0008-0000-0000-0000F3000000}"/>
            </a:ext>
          </a:extLst>
        </xdr:cNvPr>
        <xdr:cNvSpPr txBox="1"/>
      </xdr:nvSpPr>
      <xdr:spPr>
        <a:xfrm>
          <a:off x="826770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730" name="TextBox 6729">
          <a:extLst>
            <a:ext uri="{FF2B5EF4-FFF2-40B4-BE49-F238E27FC236}">
              <a16:creationId xmlns:a16="http://schemas.microsoft.com/office/drawing/2014/main" id="{00000000-0008-0000-0000-0000F4000000}"/>
            </a:ext>
          </a:extLst>
        </xdr:cNvPr>
        <xdr:cNvSpPr txBox="1"/>
      </xdr:nvSpPr>
      <xdr:spPr>
        <a:xfrm>
          <a:off x="826770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731" name="TextBox 6730">
          <a:extLst>
            <a:ext uri="{FF2B5EF4-FFF2-40B4-BE49-F238E27FC236}">
              <a16:creationId xmlns:a16="http://schemas.microsoft.com/office/drawing/2014/main" id="{00000000-0008-0000-0000-0000F5000000}"/>
            </a:ext>
          </a:extLst>
        </xdr:cNvPr>
        <xdr:cNvSpPr txBox="1"/>
      </xdr:nvSpPr>
      <xdr:spPr>
        <a:xfrm>
          <a:off x="826770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732" name="TextBox 6731">
          <a:extLst>
            <a:ext uri="{FF2B5EF4-FFF2-40B4-BE49-F238E27FC236}">
              <a16:creationId xmlns:a16="http://schemas.microsoft.com/office/drawing/2014/main" id="{00000000-0008-0000-0000-0000F6000000}"/>
            </a:ext>
          </a:extLst>
        </xdr:cNvPr>
        <xdr:cNvSpPr txBox="1"/>
      </xdr:nvSpPr>
      <xdr:spPr>
        <a:xfrm>
          <a:off x="826770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733" name="TextBox 6732">
          <a:extLst>
            <a:ext uri="{FF2B5EF4-FFF2-40B4-BE49-F238E27FC236}">
              <a16:creationId xmlns:a16="http://schemas.microsoft.com/office/drawing/2014/main" id="{00000000-0008-0000-0000-0000F7000000}"/>
            </a:ext>
          </a:extLst>
        </xdr:cNvPr>
        <xdr:cNvSpPr txBox="1"/>
      </xdr:nvSpPr>
      <xdr:spPr>
        <a:xfrm>
          <a:off x="826770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734" name="TextBox 6733">
          <a:extLst>
            <a:ext uri="{FF2B5EF4-FFF2-40B4-BE49-F238E27FC236}">
              <a16:creationId xmlns:a16="http://schemas.microsoft.com/office/drawing/2014/main" id="{00000000-0008-0000-0000-0000F8000000}"/>
            </a:ext>
          </a:extLst>
        </xdr:cNvPr>
        <xdr:cNvSpPr txBox="1"/>
      </xdr:nvSpPr>
      <xdr:spPr>
        <a:xfrm>
          <a:off x="826770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735" name="TextBox 6734">
          <a:extLst>
            <a:ext uri="{FF2B5EF4-FFF2-40B4-BE49-F238E27FC236}">
              <a16:creationId xmlns:a16="http://schemas.microsoft.com/office/drawing/2014/main" id="{00000000-0008-0000-0000-0000F9000000}"/>
            </a:ext>
          </a:extLst>
        </xdr:cNvPr>
        <xdr:cNvSpPr txBox="1"/>
      </xdr:nvSpPr>
      <xdr:spPr>
        <a:xfrm>
          <a:off x="826770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736" name="TextBox 6735">
          <a:extLst>
            <a:ext uri="{FF2B5EF4-FFF2-40B4-BE49-F238E27FC236}">
              <a16:creationId xmlns:a16="http://schemas.microsoft.com/office/drawing/2014/main" id="{00000000-0008-0000-0000-0000FA000000}"/>
            </a:ext>
          </a:extLst>
        </xdr:cNvPr>
        <xdr:cNvSpPr txBox="1"/>
      </xdr:nvSpPr>
      <xdr:spPr>
        <a:xfrm>
          <a:off x="826770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737" name="TextBox 6736">
          <a:extLst>
            <a:ext uri="{FF2B5EF4-FFF2-40B4-BE49-F238E27FC236}">
              <a16:creationId xmlns:a16="http://schemas.microsoft.com/office/drawing/2014/main" id="{00000000-0008-0000-0000-0000FB000000}"/>
            </a:ext>
          </a:extLst>
        </xdr:cNvPr>
        <xdr:cNvSpPr txBox="1"/>
      </xdr:nvSpPr>
      <xdr:spPr>
        <a:xfrm>
          <a:off x="826770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738" name="TextBox 6737">
          <a:extLst>
            <a:ext uri="{FF2B5EF4-FFF2-40B4-BE49-F238E27FC236}">
              <a16:creationId xmlns:a16="http://schemas.microsoft.com/office/drawing/2014/main" id="{00000000-0008-0000-0000-0000FC000000}"/>
            </a:ext>
          </a:extLst>
        </xdr:cNvPr>
        <xdr:cNvSpPr txBox="1"/>
      </xdr:nvSpPr>
      <xdr:spPr>
        <a:xfrm>
          <a:off x="826770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739" name="TextBox 6738">
          <a:extLst>
            <a:ext uri="{FF2B5EF4-FFF2-40B4-BE49-F238E27FC236}">
              <a16:creationId xmlns:a16="http://schemas.microsoft.com/office/drawing/2014/main" id="{00000000-0008-0000-0000-0000FD000000}"/>
            </a:ext>
          </a:extLst>
        </xdr:cNvPr>
        <xdr:cNvSpPr txBox="1"/>
      </xdr:nvSpPr>
      <xdr:spPr>
        <a:xfrm>
          <a:off x="826770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740" name="TextBox 6739">
          <a:extLst>
            <a:ext uri="{FF2B5EF4-FFF2-40B4-BE49-F238E27FC236}">
              <a16:creationId xmlns:a16="http://schemas.microsoft.com/office/drawing/2014/main" id="{00000000-0008-0000-0000-0000FE000000}"/>
            </a:ext>
          </a:extLst>
        </xdr:cNvPr>
        <xdr:cNvSpPr txBox="1"/>
      </xdr:nvSpPr>
      <xdr:spPr>
        <a:xfrm>
          <a:off x="826770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741" name="TextBox 6740">
          <a:extLst>
            <a:ext uri="{FF2B5EF4-FFF2-40B4-BE49-F238E27FC236}">
              <a16:creationId xmlns:a16="http://schemas.microsoft.com/office/drawing/2014/main" id="{00000000-0008-0000-0000-0000FF000000}"/>
            </a:ext>
          </a:extLst>
        </xdr:cNvPr>
        <xdr:cNvSpPr txBox="1"/>
      </xdr:nvSpPr>
      <xdr:spPr>
        <a:xfrm>
          <a:off x="826770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742" name="TextBox 6741">
          <a:extLst>
            <a:ext uri="{FF2B5EF4-FFF2-40B4-BE49-F238E27FC236}">
              <a16:creationId xmlns:a16="http://schemas.microsoft.com/office/drawing/2014/main" id="{00000000-0008-0000-0000-000000010000}"/>
            </a:ext>
          </a:extLst>
        </xdr:cNvPr>
        <xdr:cNvSpPr txBox="1"/>
      </xdr:nvSpPr>
      <xdr:spPr>
        <a:xfrm>
          <a:off x="826770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743" name="TextBox 6742">
          <a:extLst>
            <a:ext uri="{FF2B5EF4-FFF2-40B4-BE49-F238E27FC236}">
              <a16:creationId xmlns:a16="http://schemas.microsoft.com/office/drawing/2014/main" id="{00000000-0008-0000-0000-000001010000}"/>
            </a:ext>
          </a:extLst>
        </xdr:cNvPr>
        <xdr:cNvSpPr txBox="1"/>
      </xdr:nvSpPr>
      <xdr:spPr>
        <a:xfrm>
          <a:off x="826770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744" name="TextBox 6743">
          <a:extLst>
            <a:ext uri="{FF2B5EF4-FFF2-40B4-BE49-F238E27FC236}">
              <a16:creationId xmlns:a16="http://schemas.microsoft.com/office/drawing/2014/main" id="{00000000-0008-0000-0000-000002010000}"/>
            </a:ext>
          </a:extLst>
        </xdr:cNvPr>
        <xdr:cNvSpPr txBox="1"/>
      </xdr:nvSpPr>
      <xdr:spPr>
        <a:xfrm>
          <a:off x="826770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745" name="TextBox 6744">
          <a:extLst>
            <a:ext uri="{FF2B5EF4-FFF2-40B4-BE49-F238E27FC236}">
              <a16:creationId xmlns:a16="http://schemas.microsoft.com/office/drawing/2014/main" id="{00000000-0008-0000-0000-000003010000}"/>
            </a:ext>
          </a:extLst>
        </xdr:cNvPr>
        <xdr:cNvSpPr txBox="1"/>
      </xdr:nvSpPr>
      <xdr:spPr>
        <a:xfrm>
          <a:off x="826770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746" name="TextBox 6745">
          <a:extLst>
            <a:ext uri="{FF2B5EF4-FFF2-40B4-BE49-F238E27FC236}">
              <a16:creationId xmlns:a16="http://schemas.microsoft.com/office/drawing/2014/main" id="{00000000-0008-0000-0000-000004010000}"/>
            </a:ext>
          </a:extLst>
        </xdr:cNvPr>
        <xdr:cNvSpPr txBox="1"/>
      </xdr:nvSpPr>
      <xdr:spPr>
        <a:xfrm>
          <a:off x="826770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747" name="TextBox 6746">
          <a:extLst>
            <a:ext uri="{FF2B5EF4-FFF2-40B4-BE49-F238E27FC236}">
              <a16:creationId xmlns:a16="http://schemas.microsoft.com/office/drawing/2014/main" id="{00000000-0008-0000-0000-000005010000}"/>
            </a:ext>
          </a:extLst>
        </xdr:cNvPr>
        <xdr:cNvSpPr txBox="1"/>
      </xdr:nvSpPr>
      <xdr:spPr>
        <a:xfrm>
          <a:off x="826770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748" name="TextBox 6747">
          <a:extLst>
            <a:ext uri="{FF2B5EF4-FFF2-40B4-BE49-F238E27FC236}">
              <a16:creationId xmlns:a16="http://schemas.microsoft.com/office/drawing/2014/main" id="{00000000-0008-0000-0000-000006010000}"/>
            </a:ext>
          </a:extLst>
        </xdr:cNvPr>
        <xdr:cNvSpPr txBox="1"/>
      </xdr:nvSpPr>
      <xdr:spPr>
        <a:xfrm>
          <a:off x="826770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749" name="TextBox 6748">
          <a:extLst>
            <a:ext uri="{FF2B5EF4-FFF2-40B4-BE49-F238E27FC236}">
              <a16:creationId xmlns:a16="http://schemas.microsoft.com/office/drawing/2014/main" id="{00000000-0008-0000-0000-000007010000}"/>
            </a:ext>
          </a:extLst>
        </xdr:cNvPr>
        <xdr:cNvSpPr txBox="1"/>
      </xdr:nvSpPr>
      <xdr:spPr>
        <a:xfrm>
          <a:off x="826770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750" name="TextBox 6749">
          <a:extLst>
            <a:ext uri="{FF2B5EF4-FFF2-40B4-BE49-F238E27FC236}">
              <a16:creationId xmlns:a16="http://schemas.microsoft.com/office/drawing/2014/main" id="{00000000-0008-0000-0000-000008010000}"/>
            </a:ext>
          </a:extLst>
        </xdr:cNvPr>
        <xdr:cNvSpPr txBox="1"/>
      </xdr:nvSpPr>
      <xdr:spPr>
        <a:xfrm>
          <a:off x="826770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751" name="TextBox 6750">
          <a:extLst>
            <a:ext uri="{FF2B5EF4-FFF2-40B4-BE49-F238E27FC236}">
              <a16:creationId xmlns:a16="http://schemas.microsoft.com/office/drawing/2014/main" id="{00000000-0008-0000-0000-000009010000}"/>
            </a:ext>
          </a:extLst>
        </xdr:cNvPr>
        <xdr:cNvSpPr txBox="1"/>
      </xdr:nvSpPr>
      <xdr:spPr>
        <a:xfrm>
          <a:off x="826770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752" name="TextBox 6751">
          <a:extLst>
            <a:ext uri="{FF2B5EF4-FFF2-40B4-BE49-F238E27FC236}">
              <a16:creationId xmlns:a16="http://schemas.microsoft.com/office/drawing/2014/main" id="{00000000-0008-0000-0000-00000A010000}"/>
            </a:ext>
          </a:extLst>
        </xdr:cNvPr>
        <xdr:cNvSpPr txBox="1"/>
      </xdr:nvSpPr>
      <xdr:spPr>
        <a:xfrm>
          <a:off x="826770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753" name="TextBox 6752">
          <a:extLst>
            <a:ext uri="{FF2B5EF4-FFF2-40B4-BE49-F238E27FC236}">
              <a16:creationId xmlns:a16="http://schemas.microsoft.com/office/drawing/2014/main" id="{00000000-0008-0000-0000-00000B010000}"/>
            </a:ext>
          </a:extLst>
        </xdr:cNvPr>
        <xdr:cNvSpPr txBox="1"/>
      </xdr:nvSpPr>
      <xdr:spPr>
        <a:xfrm>
          <a:off x="826770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754" name="TextBox 6753">
          <a:extLst>
            <a:ext uri="{FF2B5EF4-FFF2-40B4-BE49-F238E27FC236}">
              <a16:creationId xmlns:a16="http://schemas.microsoft.com/office/drawing/2014/main" id="{00000000-0008-0000-0000-00000C010000}"/>
            </a:ext>
          </a:extLst>
        </xdr:cNvPr>
        <xdr:cNvSpPr txBox="1"/>
      </xdr:nvSpPr>
      <xdr:spPr>
        <a:xfrm>
          <a:off x="826770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755" name="TextBox 6754">
          <a:extLst>
            <a:ext uri="{FF2B5EF4-FFF2-40B4-BE49-F238E27FC236}">
              <a16:creationId xmlns:a16="http://schemas.microsoft.com/office/drawing/2014/main" id="{00000000-0008-0000-0000-00000D010000}"/>
            </a:ext>
          </a:extLst>
        </xdr:cNvPr>
        <xdr:cNvSpPr txBox="1"/>
      </xdr:nvSpPr>
      <xdr:spPr>
        <a:xfrm>
          <a:off x="826770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756" name="TextBox 6755">
          <a:extLst>
            <a:ext uri="{FF2B5EF4-FFF2-40B4-BE49-F238E27FC236}">
              <a16:creationId xmlns:a16="http://schemas.microsoft.com/office/drawing/2014/main" id="{00000000-0008-0000-0000-00000E010000}"/>
            </a:ext>
          </a:extLst>
        </xdr:cNvPr>
        <xdr:cNvSpPr txBox="1"/>
      </xdr:nvSpPr>
      <xdr:spPr>
        <a:xfrm>
          <a:off x="826770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757" name="TextBox 6756">
          <a:extLst>
            <a:ext uri="{FF2B5EF4-FFF2-40B4-BE49-F238E27FC236}">
              <a16:creationId xmlns:a16="http://schemas.microsoft.com/office/drawing/2014/main" id="{00000000-0008-0000-0000-00000F010000}"/>
            </a:ext>
          </a:extLst>
        </xdr:cNvPr>
        <xdr:cNvSpPr txBox="1"/>
      </xdr:nvSpPr>
      <xdr:spPr>
        <a:xfrm>
          <a:off x="826770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758" name="TextBox 6757">
          <a:extLst>
            <a:ext uri="{FF2B5EF4-FFF2-40B4-BE49-F238E27FC236}">
              <a16:creationId xmlns:a16="http://schemas.microsoft.com/office/drawing/2014/main" id="{00000000-0008-0000-0000-000010010000}"/>
            </a:ext>
          </a:extLst>
        </xdr:cNvPr>
        <xdr:cNvSpPr txBox="1"/>
      </xdr:nvSpPr>
      <xdr:spPr>
        <a:xfrm>
          <a:off x="826770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759" name="TextBox 6758">
          <a:extLst>
            <a:ext uri="{FF2B5EF4-FFF2-40B4-BE49-F238E27FC236}">
              <a16:creationId xmlns:a16="http://schemas.microsoft.com/office/drawing/2014/main" id="{00000000-0008-0000-0000-000011010000}"/>
            </a:ext>
          </a:extLst>
        </xdr:cNvPr>
        <xdr:cNvSpPr txBox="1"/>
      </xdr:nvSpPr>
      <xdr:spPr>
        <a:xfrm>
          <a:off x="826770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760" name="TextBox 6759">
          <a:extLst>
            <a:ext uri="{FF2B5EF4-FFF2-40B4-BE49-F238E27FC236}">
              <a16:creationId xmlns:a16="http://schemas.microsoft.com/office/drawing/2014/main" id="{00000000-0008-0000-0000-000012010000}"/>
            </a:ext>
          </a:extLst>
        </xdr:cNvPr>
        <xdr:cNvSpPr txBox="1"/>
      </xdr:nvSpPr>
      <xdr:spPr>
        <a:xfrm>
          <a:off x="826770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761" name="TextBox 6760">
          <a:extLst>
            <a:ext uri="{FF2B5EF4-FFF2-40B4-BE49-F238E27FC236}">
              <a16:creationId xmlns:a16="http://schemas.microsoft.com/office/drawing/2014/main" id="{00000000-0008-0000-0000-000013010000}"/>
            </a:ext>
          </a:extLst>
        </xdr:cNvPr>
        <xdr:cNvSpPr txBox="1"/>
      </xdr:nvSpPr>
      <xdr:spPr>
        <a:xfrm>
          <a:off x="826770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762" name="TextBox 6761">
          <a:extLst>
            <a:ext uri="{FF2B5EF4-FFF2-40B4-BE49-F238E27FC236}">
              <a16:creationId xmlns:a16="http://schemas.microsoft.com/office/drawing/2014/main" id="{00000000-0008-0000-0000-000014010000}"/>
            </a:ext>
          </a:extLst>
        </xdr:cNvPr>
        <xdr:cNvSpPr txBox="1"/>
      </xdr:nvSpPr>
      <xdr:spPr>
        <a:xfrm>
          <a:off x="826770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763" name="TextBox 6762">
          <a:extLst>
            <a:ext uri="{FF2B5EF4-FFF2-40B4-BE49-F238E27FC236}">
              <a16:creationId xmlns:a16="http://schemas.microsoft.com/office/drawing/2014/main" id="{00000000-0008-0000-0000-000015010000}"/>
            </a:ext>
          </a:extLst>
        </xdr:cNvPr>
        <xdr:cNvSpPr txBox="1"/>
      </xdr:nvSpPr>
      <xdr:spPr>
        <a:xfrm>
          <a:off x="826770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764" name="TextBox 6763">
          <a:extLst>
            <a:ext uri="{FF2B5EF4-FFF2-40B4-BE49-F238E27FC236}">
              <a16:creationId xmlns:a16="http://schemas.microsoft.com/office/drawing/2014/main" id="{00000000-0008-0000-0000-000016010000}"/>
            </a:ext>
          </a:extLst>
        </xdr:cNvPr>
        <xdr:cNvSpPr txBox="1"/>
      </xdr:nvSpPr>
      <xdr:spPr>
        <a:xfrm>
          <a:off x="826770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765" name="TextBox 6764">
          <a:extLst>
            <a:ext uri="{FF2B5EF4-FFF2-40B4-BE49-F238E27FC236}">
              <a16:creationId xmlns:a16="http://schemas.microsoft.com/office/drawing/2014/main" id="{00000000-0008-0000-0000-000017010000}"/>
            </a:ext>
          </a:extLst>
        </xdr:cNvPr>
        <xdr:cNvSpPr txBox="1"/>
      </xdr:nvSpPr>
      <xdr:spPr>
        <a:xfrm>
          <a:off x="826770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766" name="TextBox 6765">
          <a:extLst>
            <a:ext uri="{FF2B5EF4-FFF2-40B4-BE49-F238E27FC236}">
              <a16:creationId xmlns:a16="http://schemas.microsoft.com/office/drawing/2014/main" id="{00000000-0008-0000-0000-000018010000}"/>
            </a:ext>
          </a:extLst>
        </xdr:cNvPr>
        <xdr:cNvSpPr txBox="1"/>
      </xdr:nvSpPr>
      <xdr:spPr>
        <a:xfrm>
          <a:off x="826770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767" name="TextBox 6766">
          <a:extLst>
            <a:ext uri="{FF2B5EF4-FFF2-40B4-BE49-F238E27FC236}">
              <a16:creationId xmlns:a16="http://schemas.microsoft.com/office/drawing/2014/main" id="{00000000-0008-0000-0000-000019010000}"/>
            </a:ext>
          </a:extLst>
        </xdr:cNvPr>
        <xdr:cNvSpPr txBox="1"/>
      </xdr:nvSpPr>
      <xdr:spPr>
        <a:xfrm>
          <a:off x="826770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768" name="TextBox 6767">
          <a:extLst>
            <a:ext uri="{FF2B5EF4-FFF2-40B4-BE49-F238E27FC236}">
              <a16:creationId xmlns:a16="http://schemas.microsoft.com/office/drawing/2014/main" id="{00000000-0008-0000-0000-00001A010000}"/>
            </a:ext>
          </a:extLst>
        </xdr:cNvPr>
        <xdr:cNvSpPr txBox="1"/>
      </xdr:nvSpPr>
      <xdr:spPr>
        <a:xfrm>
          <a:off x="826770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769" name="TextBox 6768">
          <a:extLst>
            <a:ext uri="{FF2B5EF4-FFF2-40B4-BE49-F238E27FC236}">
              <a16:creationId xmlns:a16="http://schemas.microsoft.com/office/drawing/2014/main" id="{00000000-0008-0000-0000-00001B010000}"/>
            </a:ext>
          </a:extLst>
        </xdr:cNvPr>
        <xdr:cNvSpPr txBox="1"/>
      </xdr:nvSpPr>
      <xdr:spPr>
        <a:xfrm>
          <a:off x="826770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770" name="TextBox 6769">
          <a:extLst>
            <a:ext uri="{FF2B5EF4-FFF2-40B4-BE49-F238E27FC236}">
              <a16:creationId xmlns:a16="http://schemas.microsoft.com/office/drawing/2014/main" id="{00000000-0008-0000-0000-00001C010000}"/>
            </a:ext>
          </a:extLst>
        </xdr:cNvPr>
        <xdr:cNvSpPr txBox="1"/>
      </xdr:nvSpPr>
      <xdr:spPr>
        <a:xfrm>
          <a:off x="826770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771" name="TextBox 6770">
          <a:extLst>
            <a:ext uri="{FF2B5EF4-FFF2-40B4-BE49-F238E27FC236}">
              <a16:creationId xmlns:a16="http://schemas.microsoft.com/office/drawing/2014/main" id="{00000000-0008-0000-0000-00001D010000}"/>
            </a:ext>
          </a:extLst>
        </xdr:cNvPr>
        <xdr:cNvSpPr txBox="1"/>
      </xdr:nvSpPr>
      <xdr:spPr>
        <a:xfrm>
          <a:off x="826770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772" name="TextBox 6771">
          <a:extLst>
            <a:ext uri="{FF2B5EF4-FFF2-40B4-BE49-F238E27FC236}">
              <a16:creationId xmlns:a16="http://schemas.microsoft.com/office/drawing/2014/main" id="{00000000-0008-0000-0000-00001E010000}"/>
            </a:ext>
          </a:extLst>
        </xdr:cNvPr>
        <xdr:cNvSpPr txBox="1"/>
      </xdr:nvSpPr>
      <xdr:spPr>
        <a:xfrm>
          <a:off x="826770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773" name="TextBox 6772">
          <a:extLst>
            <a:ext uri="{FF2B5EF4-FFF2-40B4-BE49-F238E27FC236}">
              <a16:creationId xmlns:a16="http://schemas.microsoft.com/office/drawing/2014/main" id="{00000000-0008-0000-0000-00001F010000}"/>
            </a:ext>
          </a:extLst>
        </xdr:cNvPr>
        <xdr:cNvSpPr txBox="1"/>
      </xdr:nvSpPr>
      <xdr:spPr>
        <a:xfrm>
          <a:off x="826770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774" name="TextBox 6773">
          <a:extLst>
            <a:ext uri="{FF2B5EF4-FFF2-40B4-BE49-F238E27FC236}">
              <a16:creationId xmlns:a16="http://schemas.microsoft.com/office/drawing/2014/main" id="{00000000-0008-0000-0000-000020010000}"/>
            </a:ext>
          </a:extLst>
        </xdr:cNvPr>
        <xdr:cNvSpPr txBox="1"/>
      </xdr:nvSpPr>
      <xdr:spPr>
        <a:xfrm>
          <a:off x="826770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775" name="TextBox 6774">
          <a:extLst>
            <a:ext uri="{FF2B5EF4-FFF2-40B4-BE49-F238E27FC236}">
              <a16:creationId xmlns:a16="http://schemas.microsoft.com/office/drawing/2014/main" id="{00000000-0008-0000-0000-000021010000}"/>
            </a:ext>
          </a:extLst>
        </xdr:cNvPr>
        <xdr:cNvSpPr txBox="1"/>
      </xdr:nvSpPr>
      <xdr:spPr>
        <a:xfrm>
          <a:off x="826770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776" name="TextBox 6775">
          <a:extLst>
            <a:ext uri="{FF2B5EF4-FFF2-40B4-BE49-F238E27FC236}">
              <a16:creationId xmlns:a16="http://schemas.microsoft.com/office/drawing/2014/main" id="{00000000-0008-0000-0000-000022010000}"/>
            </a:ext>
          </a:extLst>
        </xdr:cNvPr>
        <xdr:cNvSpPr txBox="1"/>
      </xdr:nvSpPr>
      <xdr:spPr>
        <a:xfrm>
          <a:off x="826770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777" name="TextBox 6776">
          <a:extLst>
            <a:ext uri="{FF2B5EF4-FFF2-40B4-BE49-F238E27FC236}">
              <a16:creationId xmlns:a16="http://schemas.microsoft.com/office/drawing/2014/main" id="{00000000-0008-0000-0000-000023010000}"/>
            </a:ext>
          </a:extLst>
        </xdr:cNvPr>
        <xdr:cNvSpPr txBox="1"/>
      </xdr:nvSpPr>
      <xdr:spPr>
        <a:xfrm>
          <a:off x="826770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778" name="TextBox 6777">
          <a:extLst>
            <a:ext uri="{FF2B5EF4-FFF2-40B4-BE49-F238E27FC236}">
              <a16:creationId xmlns:a16="http://schemas.microsoft.com/office/drawing/2014/main" id="{00000000-0008-0000-0000-000024010000}"/>
            </a:ext>
          </a:extLst>
        </xdr:cNvPr>
        <xdr:cNvSpPr txBox="1"/>
      </xdr:nvSpPr>
      <xdr:spPr>
        <a:xfrm>
          <a:off x="826770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779" name="TextBox 6778">
          <a:extLst>
            <a:ext uri="{FF2B5EF4-FFF2-40B4-BE49-F238E27FC236}">
              <a16:creationId xmlns:a16="http://schemas.microsoft.com/office/drawing/2014/main" id="{00000000-0008-0000-0000-000025010000}"/>
            </a:ext>
          </a:extLst>
        </xdr:cNvPr>
        <xdr:cNvSpPr txBox="1"/>
      </xdr:nvSpPr>
      <xdr:spPr>
        <a:xfrm>
          <a:off x="826770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780" name="TextBox 6779">
          <a:extLst>
            <a:ext uri="{FF2B5EF4-FFF2-40B4-BE49-F238E27FC236}">
              <a16:creationId xmlns:a16="http://schemas.microsoft.com/office/drawing/2014/main" id="{00000000-0008-0000-0000-000026010000}"/>
            </a:ext>
          </a:extLst>
        </xdr:cNvPr>
        <xdr:cNvSpPr txBox="1"/>
      </xdr:nvSpPr>
      <xdr:spPr>
        <a:xfrm>
          <a:off x="1258062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781" name="TextBox 6780">
          <a:extLst>
            <a:ext uri="{FF2B5EF4-FFF2-40B4-BE49-F238E27FC236}">
              <a16:creationId xmlns:a16="http://schemas.microsoft.com/office/drawing/2014/main" id="{00000000-0008-0000-0000-000027010000}"/>
            </a:ext>
          </a:extLst>
        </xdr:cNvPr>
        <xdr:cNvSpPr txBox="1"/>
      </xdr:nvSpPr>
      <xdr:spPr>
        <a:xfrm>
          <a:off x="1258062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782" name="TextBox 6781">
          <a:extLst>
            <a:ext uri="{FF2B5EF4-FFF2-40B4-BE49-F238E27FC236}">
              <a16:creationId xmlns:a16="http://schemas.microsoft.com/office/drawing/2014/main" id="{00000000-0008-0000-0000-000028010000}"/>
            </a:ext>
          </a:extLst>
        </xdr:cNvPr>
        <xdr:cNvSpPr txBox="1"/>
      </xdr:nvSpPr>
      <xdr:spPr>
        <a:xfrm>
          <a:off x="1258062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783" name="TextBox 6782">
          <a:extLst>
            <a:ext uri="{FF2B5EF4-FFF2-40B4-BE49-F238E27FC236}">
              <a16:creationId xmlns:a16="http://schemas.microsoft.com/office/drawing/2014/main" id="{00000000-0008-0000-0000-000029010000}"/>
            </a:ext>
          </a:extLst>
        </xdr:cNvPr>
        <xdr:cNvSpPr txBox="1"/>
      </xdr:nvSpPr>
      <xdr:spPr>
        <a:xfrm>
          <a:off x="1258062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784" name="TextBox 6783">
          <a:extLst>
            <a:ext uri="{FF2B5EF4-FFF2-40B4-BE49-F238E27FC236}">
              <a16:creationId xmlns:a16="http://schemas.microsoft.com/office/drawing/2014/main" id="{00000000-0008-0000-0000-00002A010000}"/>
            </a:ext>
          </a:extLst>
        </xdr:cNvPr>
        <xdr:cNvSpPr txBox="1"/>
      </xdr:nvSpPr>
      <xdr:spPr>
        <a:xfrm>
          <a:off x="1258062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785" name="TextBox 6784">
          <a:extLst>
            <a:ext uri="{FF2B5EF4-FFF2-40B4-BE49-F238E27FC236}">
              <a16:creationId xmlns:a16="http://schemas.microsoft.com/office/drawing/2014/main" id="{00000000-0008-0000-0000-00002B010000}"/>
            </a:ext>
          </a:extLst>
        </xdr:cNvPr>
        <xdr:cNvSpPr txBox="1"/>
      </xdr:nvSpPr>
      <xdr:spPr>
        <a:xfrm>
          <a:off x="1258062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786" name="TextBox 6785">
          <a:extLst>
            <a:ext uri="{FF2B5EF4-FFF2-40B4-BE49-F238E27FC236}">
              <a16:creationId xmlns:a16="http://schemas.microsoft.com/office/drawing/2014/main" id="{00000000-0008-0000-0000-00002C010000}"/>
            </a:ext>
          </a:extLst>
        </xdr:cNvPr>
        <xdr:cNvSpPr txBox="1"/>
      </xdr:nvSpPr>
      <xdr:spPr>
        <a:xfrm>
          <a:off x="1258062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787" name="TextBox 6786">
          <a:extLst>
            <a:ext uri="{FF2B5EF4-FFF2-40B4-BE49-F238E27FC236}">
              <a16:creationId xmlns:a16="http://schemas.microsoft.com/office/drawing/2014/main" id="{00000000-0008-0000-0000-00002D010000}"/>
            </a:ext>
          </a:extLst>
        </xdr:cNvPr>
        <xdr:cNvSpPr txBox="1"/>
      </xdr:nvSpPr>
      <xdr:spPr>
        <a:xfrm>
          <a:off x="1258062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788" name="TextBox 6787">
          <a:extLst>
            <a:ext uri="{FF2B5EF4-FFF2-40B4-BE49-F238E27FC236}">
              <a16:creationId xmlns:a16="http://schemas.microsoft.com/office/drawing/2014/main" id="{00000000-0008-0000-0000-00002E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789" name="TextBox 6788">
          <a:extLst>
            <a:ext uri="{FF2B5EF4-FFF2-40B4-BE49-F238E27FC236}">
              <a16:creationId xmlns:a16="http://schemas.microsoft.com/office/drawing/2014/main" id="{00000000-0008-0000-0000-00002F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790" name="TextBox 6789">
          <a:extLst>
            <a:ext uri="{FF2B5EF4-FFF2-40B4-BE49-F238E27FC236}">
              <a16:creationId xmlns:a16="http://schemas.microsoft.com/office/drawing/2014/main" id="{00000000-0008-0000-0000-000030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791" name="TextBox 6790">
          <a:extLst>
            <a:ext uri="{FF2B5EF4-FFF2-40B4-BE49-F238E27FC236}">
              <a16:creationId xmlns:a16="http://schemas.microsoft.com/office/drawing/2014/main" id="{00000000-0008-0000-0000-000031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792" name="TextBox 6791">
          <a:extLst>
            <a:ext uri="{FF2B5EF4-FFF2-40B4-BE49-F238E27FC236}">
              <a16:creationId xmlns:a16="http://schemas.microsoft.com/office/drawing/2014/main" id="{00000000-0008-0000-0000-000032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793" name="TextBox 6792">
          <a:extLst>
            <a:ext uri="{FF2B5EF4-FFF2-40B4-BE49-F238E27FC236}">
              <a16:creationId xmlns:a16="http://schemas.microsoft.com/office/drawing/2014/main" id="{00000000-0008-0000-0000-000033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794" name="TextBox 6793">
          <a:extLst>
            <a:ext uri="{FF2B5EF4-FFF2-40B4-BE49-F238E27FC236}">
              <a16:creationId xmlns:a16="http://schemas.microsoft.com/office/drawing/2014/main" id="{00000000-0008-0000-0000-000034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795" name="TextBox 6794">
          <a:extLst>
            <a:ext uri="{FF2B5EF4-FFF2-40B4-BE49-F238E27FC236}">
              <a16:creationId xmlns:a16="http://schemas.microsoft.com/office/drawing/2014/main" id="{00000000-0008-0000-0000-000035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796" name="TextBox 6795">
          <a:extLst>
            <a:ext uri="{FF2B5EF4-FFF2-40B4-BE49-F238E27FC236}">
              <a16:creationId xmlns:a16="http://schemas.microsoft.com/office/drawing/2014/main" id="{00000000-0008-0000-0000-000036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797" name="TextBox 6796">
          <a:extLst>
            <a:ext uri="{FF2B5EF4-FFF2-40B4-BE49-F238E27FC236}">
              <a16:creationId xmlns:a16="http://schemas.microsoft.com/office/drawing/2014/main" id="{00000000-0008-0000-0000-000037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798" name="TextBox 6797">
          <a:extLst>
            <a:ext uri="{FF2B5EF4-FFF2-40B4-BE49-F238E27FC236}">
              <a16:creationId xmlns:a16="http://schemas.microsoft.com/office/drawing/2014/main" id="{00000000-0008-0000-0000-000038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799" name="TextBox 6798">
          <a:extLst>
            <a:ext uri="{FF2B5EF4-FFF2-40B4-BE49-F238E27FC236}">
              <a16:creationId xmlns:a16="http://schemas.microsoft.com/office/drawing/2014/main" id="{00000000-0008-0000-0000-000039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800" name="TextBox 6799">
          <a:extLst>
            <a:ext uri="{FF2B5EF4-FFF2-40B4-BE49-F238E27FC236}">
              <a16:creationId xmlns:a16="http://schemas.microsoft.com/office/drawing/2014/main" id="{00000000-0008-0000-0000-00003A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801" name="TextBox 6800">
          <a:extLst>
            <a:ext uri="{FF2B5EF4-FFF2-40B4-BE49-F238E27FC236}">
              <a16:creationId xmlns:a16="http://schemas.microsoft.com/office/drawing/2014/main" id="{00000000-0008-0000-0000-00003B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802" name="TextBox 6801">
          <a:extLst>
            <a:ext uri="{FF2B5EF4-FFF2-40B4-BE49-F238E27FC236}">
              <a16:creationId xmlns:a16="http://schemas.microsoft.com/office/drawing/2014/main" id="{00000000-0008-0000-0000-00003C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803" name="TextBox 6802">
          <a:extLst>
            <a:ext uri="{FF2B5EF4-FFF2-40B4-BE49-F238E27FC236}">
              <a16:creationId xmlns:a16="http://schemas.microsoft.com/office/drawing/2014/main" id="{00000000-0008-0000-0000-00003D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804" name="TextBox 6803">
          <a:extLst>
            <a:ext uri="{FF2B5EF4-FFF2-40B4-BE49-F238E27FC236}">
              <a16:creationId xmlns:a16="http://schemas.microsoft.com/office/drawing/2014/main" id="{00000000-0008-0000-0000-00003E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805" name="TextBox 6804">
          <a:extLst>
            <a:ext uri="{FF2B5EF4-FFF2-40B4-BE49-F238E27FC236}">
              <a16:creationId xmlns:a16="http://schemas.microsoft.com/office/drawing/2014/main" id="{00000000-0008-0000-0000-00003F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806" name="TextBox 6805">
          <a:extLst>
            <a:ext uri="{FF2B5EF4-FFF2-40B4-BE49-F238E27FC236}">
              <a16:creationId xmlns:a16="http://schemas.microsoft.com/office/drawing/2014/main" id="{00000000-0008-0000-0000-000040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807" name="TextBox 6806">
          <a:extLst>
            <a:ext uri="{FF2B5EF4-FFF2-40B4-BE49-F238E27FC236}">
              <a16:creationId xmlns:a16="http://schemas.microsoft.com/office/drawing/2014/main" id="{00000000-0008-0000-0000-000041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808" name="TextBox 6807">
          <a:extLst>
            <a:ext uri="{FF2B5EF4-FFF2-40B4-BE49-F238E27FC236}">
              <a16:creationId xmlns:a16="http://schemas.microsoft.com/office/drawing/2014/main" id="{00000000-0008-0000-0000-000042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809" name="TextBox 6808">
          <a:extLst>
            <a:ext uri="{FF2B5EF4-FFF2-40B4-BE49-F238E27FC236}">
              <a16:creationId xmlns:a16="http://schemas.microsoft.com/office/drawing/2014/main" id="{00000000-0008-0000-0000-000043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810" name="TextBox 6809">
          <a:extLst>
            <a:ext uri="{FF2B5EF4-FFF2-40B4-BE49-F238E27FC236}">
              <a16:creationId xmlns:a16="http://schemas.microsoft.com/office/drawing/2014/main" id="{00000000-0008-0000-0000-000044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811" name="TextBox 6810">
          <a:extLst>
            <a:ext uri="{FF2B5EF4-FFF2-40B4-BE49-F238E27FC236}">
              <a16:creationId xmlns:a16="http://schemas.microsoft.com/office/drawing/2014/main" id="{00000000-0008-0000-0000-000045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812" name="TextBox 6811">
          <a:extLst>
            <a:ext uri="{FF2B5EF4-FFF2-40B4-BE49-F238E27FC236}">
              <a16:creationId xmlns:a16="http://schemas.microsoft.com/office/drawing/2014/main" id="{00000000-0008-0000-0000-000046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813" name="TextBox 6812">
          <a:extLst>
            <a:ext uri="{FF2B5EF4-FFF2-40B4-BE49-F238E27FC236}">
              <a16:creationId xmlns:a16="http://schemas.microsoft.com/office/drawing/2014/main" id="{00000000-0008-0000-0000-000047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814" name="TextBox 6813">
          <a:extLst>
            <a:ext uri="{FF2B5EF4-FFF2-40B4-BE49-F238E27FC236}">
              <a16:creationId xmlns:a16="http://schemas.microsoft.com/office/drawing/2014/main" id="{00000000-0008-0000-0000-000048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815" name="TextBox 6814">
          <a:extLst>
            <a:ext uri="{FF2B5EF4-FFF2-40B4-BE49-F238E27FC236}">
              <a16:creationId xmlns:a16="http://schemas.microsoft.com/office/drawing/2014/main" id="{00000000-0008-0000-0000-000049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816" name="TextBox 6815">
          <a:extLst>
            <a:ext uri="{FF2B5EF4-FFF2-40B4-BE49-F238E27FC236}">
              <a16:creationId xmlns:a16="http://schemas.microsoft.com/office/drawing/2014/main" id="{00000000-0008-0000-0000-00004A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817" name="TextBox 6816">
          <a:extLst>
            <a:ext uri="{FF2B5EF4-FFF2-40B4-BE49-F238E27FC236}">
              <a16:creationId xmlns:a16="http://schemas.microsoft.com/office/drawing/2014/main" id="{00000000-0008-0000-0000-00004B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818" name="TextBox 6817">
          <a:extLst>
            <a:ext uri="{FF2B5EF4-FFF2-40B4-BE49-F238E27FC236}">
              <a16:creationId xmlns:a16="http://schemas.microsoft.com/office/drawing/2014/main" id="{00000000-0008-0000-0000-00004C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819" name="TextBox 6818">
          <a:extLst>
            <a:ext uri="{FF2B5EF4-FFF2-40B4-BE49-F238E27FC236}">
              <a16:creationId xmlns:a16="http://schemas.microsoft.com/office/drawing/2014/main" id="{00000000-0008-0000-0000-00004D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820" name="TextBox 6819">
          <a:extLst>
            <a:ext uri="{FF2B5EF4-FFF2-40B4-BE49-F238E27FC236}">
              <a16:creationId xmlns:a16="http://schemas.microsoft.com/office/drawing/2014/main" id="{00000000-0008-0000-0000-00004E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821" name="TextBox 6820">
          <a:extLst>
            <a:ext uri="{FF2B5EF4-FFF2-40B4-BE49-F238E27FC236}">
              <a16:creationId xmlns:a16="http://schemas.microsoft.com/office/drawing/2014/main" id="{00000000-0008-0000-0000-00004F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822" name="TextBox 6821">
          <a:extLst>
            <a:ext uri="{FF2B5EF4-FFF2-40B4-BE49-F238E27FC236}">
              <a16:creationId xmlns:a16="http://schemas.microsoft.com/office/drawing/2014/main" id="{00000000-0008-0000-0000-000050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823" name="TextBox 6822">
          <a:extLst>
            <a:ext uri="{FF2B5EF4-FFF2-40B4-BE49-F238E27FC236}">
              <a16:creationId xmlns:a16="http://schemas.microsoft.com/office/drawing/2014/main" id="{00000000-0008-0000-0000-000051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824" name="TextBox 6823">
          <a:extLst>
            <a:ext uri="{FF2B5EF4-FFF2-40B4-BE49-F238E27FC236}">
              <a16:creationId xmlns:a16="http://schemas.microsoft.com/office/drawing/2014/main" id="{00000000-0008-0000-0000-000052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825" name="TextBox 6824">
          <a:extLst>
            <a:ext uri="{FF2B5EF4-FFF2-40B4-BE49-F238E27FC236}">
              <a16:creationId xmlns:a16="http://schemas.microsoft.com/office/drawing/2014/main" id="{00000000-0008-0000-0000-000053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826" name="TextBox 6825">
          <a:extLst>
            <a:ext uri="{FF2B5EF4-FFF2-40B4-BE49-F238E27FC236}">
              <a16:creationId xmlns:a16="http://schemas.microsoft.com/office/drawing/2014/main" id="{00000000-0008-0000-0000-000054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827" name="TextBox 6826">
          <a:extLst>
            <a:ext uri="{FF2B5EF4-FFF2-40B4-BE49-F238E27FC236}">
              <a16:creationId xmlns:a16="http://schemas.microsoft.com/office/drawing/2014/main" id="{00000000-0008-0000-0000-000055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828" name="TextBox 6827">
          <a:extLst>
            <a:ext uri="{FF2B5EF4-FFF2-40B4-BE49-F238E27FC236}">
              <a16:creationId xmlns:a16="http://schemas.microsoft.com/office/drawing/2014/main" id="{00000000-0008-0000-0000-000056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829" name="TextBox 6828">
          <a:extLst>
            <a:ext uri="{FF2B5EF4-FFF2-40B4-BE49-F238E27FC236}">
              <a16:creationId xmlns:a16="http://schemas.microsoft.com/office/drawing/2014/main" id="{00000000-0008-0000-0000-000057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830" name="TextBox 6829">
          <a:extLst>
            <a:ext uri="{FF2B5EF4-FFF2-40B4-BE49-F238E27FC236}">
              <a16:creationId xmlns:a16="http://schemas.microsoft.com/office/drawing/2014/main" id="{00000000-0008-0000-0000-000058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831" name="TextBox 6830">
          <a:extLst>
            <a:ext uri="{FF2B5EF4-FFF2-40B4-BE49-F238E27FC236}">
              <a16:creationId xmlns:a16="http://schemas.microsoft.com/office/drawing/2014/main" id="{00000000-0008-0000-0000-000059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832" name="TextBox 6831">
          <a:extLst>
            <a:ext uri="{FF2B5EF4-FFF2-40B4-BE49-F238E27FC236}">
              <a16:creationId xmlns:a16="http://schemas.microsoft.com/office/drawing/2014/main" id="{00000000-0008-0000-0000-00005A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833" name="TextBox 6832">
          <a:extLst>
            <a:ext uri="{FF2B5EF4-FFF2-40B4-BE49-F238E27FC236}">
              <a16:creationId xmlns:a16="http://schemas.microsoft.com/office/drawing/2014/main" id="{00000000-0008-0000-0000-00005B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834" name="TextBox 6833">
          <a:extLst>
            <a:ext uri="{FF2B5EF4-FFF2-40B4-BE49-F238E27FC236}">
              <a16:creationId xmlns:a16="http://schemas.microsoft.com/office/drawing/2014/main" id="{00000000-0008-0000-0000-00005C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835" name="TextBox 6834">
          <a:extLst>
            <a:ext uri="{FF2B5EF4-FFF2-40B4-BE49-F238E27FC236}">
              <a16:creationId xmlns:a16="http://schemas.microsoft.com/office/drawing/2014/main" id="{00000000-0008-0000-0000-00005D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836" name="TextBox 6835">
          <a:extLst>
            <a:ext uri="{FF2B5EF4-FFF2-40B4-BE49-F238E27FC236}">
              <a16:creationId xmlns:a16="http://schemas.microsoft.com/office/drawing/2014/main" id="{00000000-0008-0000-0000-00005E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837" name="TextBox 6836">
          <a:extLst>
            <a:ext uri="{FF2B5EF4-FFF2-40B4-BE49-F238E27FC236}">
              <a16:creationId xmlns:a16="http://schemas.microsoft.com/office/drawing/2014/main" id="{00000000-0008-0000-0000-00005F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838" name="TextBox 6837">
          <a:extLst>
            <a:ext uri="{FF2B5EF4-FFF2-40B4-BE49-F238E27FC236}">
              <a16:creationId xmlns:a16="http://schemas.microsoft.com/office/drawing/2014/main" id="{00000000-0008-0000-0000-000060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839" name="TextBox 6838">
          <a:extLst>
            <a:ext uri="{FF2B5EF4-FFF2-40B4-BE49-F238E27FC236}">
              <a16:creationId xmlns:a16="http://schemas.microsoft.com/office/drawing/2014/main" id="{00000000-0008-0000-0000-000061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840" name="TextBox 6839">
          <a:extLst>
            <a:ext uri="{FF2B5EF4-FFF2-40B4-BE49-F238E27FC236}">
              <a16:creationId xmlns:a16="http://schemas.microsoft.com/office/drawing/2014/main" id="{00000000-0008-0000-0000-000062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841" name="TextBox 6840">
          <a:extLst>
            <a:ext uri="{FF2B5EF4-FFF2-40B4-BE49-F238E27FC236}">
              <a16:creationId xmlns:a16="http://schemas.microsoft.com/office/drawing/2014/main" id="{00000000-0008-0000-0000-000063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842" name="TextBox 6841">
          <a:extLst>
            <a:ext uri="{FF2B5EF4-FFF2-40B4-BE49-F238E27FC236}">
              <a16:creationId xmlns:a16="http://schemas.microsoft.com/office/drawing/2014/main" id="{00000000-0008-0000-0000-000064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843" name="TextBox 6842">
          <a:extLst>
            <a:ext uri="{FF2B5EF4-FFF2-40B4-BE49-F238E27FC236}">
              <a16:creationId xmlns:a16="http://schemas.microsoft.com/office/drawing/2014/main" id="{00000000-0008-0000-0000-000065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844" name="TextBox 6843">
          <a:extLst>
            <a:ext uri="{FF2B5EF4-FFF2-40B4-BE49-F238E27FC236}">
              <a16:creationId xmlns:a16="http://schemas.microsoft.com/office/drawing/2014/main" id="{00000000-0008-0000-0000-000066010000}"/>
            </a:ext>
          </a:extLst>
        </xdr:cNvPr>
        <xdr:cNvSpPr txBox="1"/>
      </xdr:nvSpPr>
      <xdr:spPr>
        <a:xfrm>
          <a:off x="1258062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845" name="TextBox 6844">
          <a:extLst>
            <a:ext uri="{FF2B5EF4-FFF2-40B4-BE49-F238E27FC236}">
              <a16:creationId xmlns:a16="http://schemas.microsoft.com/office/drawing/2014/main" id="{00000000-0008-0000-0000-000067010000}"/>
            </a:ext>
          </a:extLst>
        </xdr:cNvPr>
        <xdr:cNvSpPr txBox="1"/>
      </xdr:nvSpPr>
      <xdr:spPr>
        <a:xfrm>
          <a:off x="1258062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846" name="TextBox 6845">
          <a:extLst>
            <a:ext uri="{FF2B5EF4-FFF2-40B4-BE49-F238E27FC236}">
              <a16:creationId xmlns:a16="http://schemas.microsoft.com/office/drawing/2014/main" id="{00000000-0008-0000-0000-000068010000}"/>
            </a:ext>
          </a:extLst>
        </xdr:cNvPr>
        <xdr:cNvSpPr txBox="1"/>
      </xdr:nvSpPr>
      <xdr:spPr>
        <a:xfrm>
          <a:off x="1258062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847" name="TextBox 6846">
          <a:extLst>
            <a:ext uri="{FF2B5EF4-FFF2-40B4-BE49-F238E27FC236}">
              <a16:creationId xmlns:a16="http://schemas.microsoft.com/office/drawing/2014/main" id="{00000000-0008-0000-0000-000069010000}"/>
            </a:ext>
          </a:extLst>
        </xdr:cNvPr>
        <xdr:cNvSpPr txBox="1"/>
      </xdr:nvSpPr>
      <xdr:spPr>
        <a:xfrm>
          <a:off x="1258062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848" name="TextBox 6847">
          <a:extLst>
            <a:ext uri="{FF2B5EF4-FFF2-40B4-BE49-F238E27FC236}">
              <a16:creationId xmlns:a16="http://schemas.microsoft.com/office/drawing/2014/main" id="{00000000-0008-0000-0000-00006A010000}"/>
            </a:ext>
          </a:extLst>
        </xdr:cNvPr>
        <xdr:cNvSpPr txBox="1"/>
      </xdr:nvSpPr>
      <xdr:spPr>
        <a:xfrm>
          <a:off x="1258062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849" name="TextBox 6848">
          <a:extLst>
            <a:ext uri="{FF2B5EF4-FFF2-40B4-BE49-F238E27FC236}">
              <a16:creationId xmlns:a16="http://schemas.microsoft.com/office/drawing/2014/main" id="{00000000-0008-0000-0000-00006B010000}"/>
            </a:ext>
          </a:extLst>
        </xdr:cNvPr>
        <xdr:cNvSpPr txBox="1"/>
      </xdr:nvSpPr>
      <xdr:spPr>
        <a:xfrm>
          <a:off x="1258062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850" name="TextBox 6849">
          <a:extLst>
            <a:ext uri="{FF2B5EF4-FFF2-40B4-BE49-F238E27FC236}">
              <a16:creationId xmlns:a16="http://schemas.microsoft.com/office/drawing/2014/main" id="{00000000-0008-0000-0000-00006C010000}"/>
            </a:ext>
          </a:extLst>
        </xdr:cNvPr>
        <xdr:cNvSpPr txBox="1"/>
      </xdr:nvSpPr>
      <xdr:spPr>
        <a:xfrm>
          <a:off x="1258062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851" name="TextBox 6850">
          <a:extLst>
            <a:ext uri="{FF2B5EF4-FFF2-40B4-BE49-F238E27FC236}">
              <a16:creationId xmlns:a16="http://schemas.microsoft.com/office/drawing/2014/main" id="{00000000-0008-0000-0000-00006D010000}"/>
            </a:ext>
          </a:extLst>
        </xdr:cNvPr>
        <xdr:cNvSpPr txBox="1"/>
      </xdr:nvSpPr>
      <xdr:spPr>
        <a:xfrm>
          <a:off x="1258062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852" name="TextBox 6851">
          <a:extLst>
            <a:ext uri="{FF2B5EF4-FFF2-40B4-BE49-F238E27FC236}">
              <a16:creationId xmlns:a16="http://schemas.microsoft.com/office/drawing/2014/main" id="{00000000-0008-0000-0000-00006E010000}"/>
            </a:ext>
          </a:extLst>
        </xdr:cNvPr>
        <xdr:cNvSpPr txBox="1"/>
      </xdr:nvSpPr>
      <xdr:spPr>
        <a:xfrm>
          <a:off x="8267700" y="36781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853" name="TextBox 6852">
          <a:extLst>
            <a:ext uri="{FF2B5EF4-FFF2-40B4-BE49-F238E27FC236}">
              <a16:creationId xmlns:a16="http://schemas.microsoft.com/office/drawing/2014/main" id="{00000000-0008-0000-0000-00006F010000}"/>
            </a:ext>
          </a:extLst>
        </xdr:cNvPr>
        <xdr:cNvSpPr txBox="1"/>
      </xdr:nvSpPr>
      <xdr:spPr>
        <a:xfrm>
          <a:off x="8267700" y="36781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854" name="TextBox 6853">
          <a:extLst>
            <a:ext uri="{FF2B5EF4-FFF2-40B4-BE49-F238E27FC236}">
              <a16:creationId xmlns:a16="http://schemas.microsoft.com/office/drawing/2014/main" id="{00000000-0008-0000-0000-000070010000}"/>
            </a:ext>
          </a:extLst>
        </xdr:cNvPr>
        <xdr:cNvSpPr txBox="1"/>
      </xdr:nvSpPr>
      <xdr:spPr>
        <a:xfrm>
          <a:off x="8267700" y="36781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855" name="TextBox 6854">
          <a:extLst>
            <a:ext uri="{FF2B5EF4-FFF2-40B4-BE49-F238E27FC236}">
              <a16:creationId xmlns:a16="http://schemas.microsoft.com/office/drawing/2014/main" id="{00000000-0008-0000-0000-000071010000}"/>
            </a:ext>
          </a:extLst>
        </xdr:cNvPr>
        <xdr:cNvSpPr txBox="1"/>
      </xdr:nvSpPr>
      <xdr:spPr>
        <a:xfrm>
          <a:off x="8267700" y="36781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856" name="TextBox 6855">
          <a:extLst>
            <a:ext uri="{FF2B5EF4-FFF2-40B4-BE49-F238E27FC236}">
              <a16:creationId xmlns:a16="http://schemas.microsoft.com/office/drawing/2014/main" id="{00000000-0008-0000-0000-000072010000}"/>
            </a:ext>
          </a:extLst>
        </xdr:cNvPr>
        <xdr:cNvSpPr txBox="1"/>
      </xdr:nvSpPr>
      <xdr:spPr>
        <a:xfrm>
          <a:off x="8267700" y="36781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857" name="TextBox 6856">
          <a:extLst>
            <a:ext uri="{FF2B5EF4-FFF2-40B4-BE49-F238E27FC236}">
              <a16:creationId xmlns:a16="http://schemas.microsoft.com/office/drawing/2014/main" id="{00000000-0008-0000-0000-000073010000}"/>
            </a:ext>
          </a:extLst>
        </xdr:cNvPr>
        <xdr:cNvSpPr txBox="1"/>
      </xdr:nvSpPr>
      <xdr:spPr>
        <a:xfrm>
          <a:off x="8267700" y="36781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858" name="TextBox 6857">
          <a:extLst>
            <a:ext uri="{FF2B5EF4-FFF2-40B4-BE49-F238E27FC236}">
              <a16:creationId xmlns:a16="http://schemas.microsoft.com/office/drawing/2014/main" id="{00000000-0008-0000-0000-000074010000}"/>
            </a:ext>
          </a:extLst>
        </xdr:cNvPr>
        <xdr:cNvSpPr txBox="1"/>
      </xdr:nvSpPr>
      <xdr:spPr>
        <a:xfrm>
          <a:off x="8267700" y="36781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859" name="TextBox 6858">
          <a:extLst>
            <a:ext uri="{FF2B5EF4-FFF2-40B4-BE49-F238E27FC236}">
              <a16:creationId xmlns:a16="http://schemas.microsoft.com/office/drawing/2014/main" id="{00000000-0008-0000-0000-000075010000}"/>
            </a:ext>
          </a:extLst>
        </xdr:cNvPr>
        <xdr:cNvSpPr txBox="1"/>
      </xdr:nvSpPr>
      <xdr:spPr>
        <a:xfrm>
          <a:off x="8267700" y="36781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860" name="TextBox 6859">
          <a:extLst>
            <a:ext uri="{FF2B5EF4-FFF2-40B4-BE49-F238E27FC236}">
              <a16:creationId xmlns:a16="http://schemas.microsoft.com/office/drawing/2014/main" id="{00000000-0008-0000-0000-000076010000}"/>
            </a:ext>
          </a:extLst>
        </xdr:cNvPr>
        <xdr:cNvSpPr txBox="1"/>
      </xdr:nvSpPr>
      <xdr:spPr>
        <a:xfrm>
          <a:off x="8267700" y="36781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861" name="TextBox 6860">
          <a:extLst>
            <a:ext uri="{FF2B5EF4-FFF2-40B4-BE49-F238E27FC236}">
              <a16:creationId xmlns:a16="http://schemas.microsoft.com/office/drawing/2014/main" id="{00000000-0008-0000-0000-000077010000}"/>
            </a:ext>
          </a:extLst>
        </xdr:cNvPr>
        <xdr:cNvSpPr txBox="1"/>
      </xdr:nvSpPr>
      <xdr:spPr>
        <a:xfrm>
          <a:off x="8267700" y="36781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862" name="TextBox 6861">
          <a:extLst>
            <a:ext uri="{FF2B5EF4-FFF2-40B4-BE49-F238E27FC236}">
              <a16:creationId xmlns:a16="http://schemas.microsoft.com/office/drawing/2014/main" id="{00000000-0008-0000-0000-000078010000}"/>
            </a:ext>
          </a:extLst>
        </xdr:cNvPr>
        <xdr:cNvSpPr txBox="1"/>
      </xdr:nvSpPr>
      <xdr:spPr>
        <a:xfrm>
          <a:off x="8267700" y="36781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863" name="TextBox 6862">
          <a:extLst>
            <a:ext uri="{FF2B5EF4-FFF2-40B4-BE49-F238E27FC236}">
              <a16:creationId xmlns:a16="http://schemas.microsoft.com/office/drawing/2014/main" id="{00000000-0008-0000-0000-000079010000}"/>
            </a:ext>
          </a:extLst>
        </xdr:cNvPr>
        <xdr:cNvSpPr txBox="1"/>
      </xdr:nvSpPr>
      <xdr:spPr>
        <a:xfrm>
          <a:off x="8267700" y="36781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864" name="TextBox 6863">
          <a:extLst>
            <a:ext uri="{FF2B5EF4-FFF2-40B4-BE49-F238E27FC236}">
              <a16:creationId xmlns:a16="http://schemas.microsoft.com/office/drawing/2014/main" id="{00000000-0008-0000-0000-00007A010000}"/>
            </a:ext>
          </a:extLst>
        </xdr:cNvPr>
        <xdr:cNvSpPr txBox="1"/>
      </xdr:nvSpPr>
      <xdr:spPr>
        <a:xfrm>
          <a:off x="8267700" y="36781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865" name="TextBox 6864">
          <a:extLst>
            <a:ext uri="{FF2B5EF4-FFF2-40B4-BE49-F238E27FC236}">
              <a16:creationId xmlns:a16="http://schemas.microsoft.com/office/drawing/2014/main" id="{00000000-0008-0000-0000-00007B010000}"/>
            </a:ext>
          </a:extLst>
        </xdr:cNvPr>
        <xdr:cNvSpPr txBox="1"/>
      </xdr:nvSpPr>
      <xdr:spPr>
        <a:xfrm>
          <a:off x="8267700" y="36781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866" name="TextBox 6865">
          <a:extLst>
            <a:ext uri="{FF2B5EF4-FFF2-40B4-BE49-F238E27FC236}">
              <a16:creationId xmlns:a16="http://schemas.microsoft.com/office/drawing/2014/main" id="{00000000-0008-0000-0000-00007C010000}"/>
            </a:ext>
          </a:extLst>
        </xdr:cNvPr>
        <xdr:cNvSpPr txBox="1"/>
      </xdr:nvSpPr>
      <xdr:spPr>
        <a:xfrm>
          <a:off x="8267700" y="36781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867" name="TextBox 6866">
          <a:extLst>
            <a:ext uri="{FF2B5EF4-FFF2-40B4-BE49-F238E27FC236}">
              <a16:creationId xmlns:a16="http://schemas.microsoft.com/office/drawing/2014/main" id="{00000000-0008-0000-0000-00007D010000}"/>
            </a:ext>
          </a:extLst>
        </xdr:cNvPr>
        <xdr:cNvSpPr txBox="1"/>
      </xdr:nvSpPr>
      <xdr:spPr>
        <a:xfrm>
          <a:off x="8267700" y="36781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868" name="TextBox 6867">
          <a:extLst>
            <a:ext uri="{FF2B5EF4-FFF2-40B4-BE49-F238E27FC236}">
              <a16:creationId xmlns:a16="http://schemas.microsoft.com/office/drawing/2014/main" id="{00000000-0008-0000-0000-00007E010000}"/>
            </a:ext>
          </a:extLst>
        </xdr:cNvPr>
        <xdr:cNvSpPr txBox="1"/>
      </xdr:nvSpPr>
      <xdr:spPr>
        <a:xfrm>
          <a:off x="8267700" y="36781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869" name="TextBox 6868">
          <a:extLst>
            <a:ext uri="{FF2B5EF4-FFF2-40B4-BE49-F238E27FC236}">
              <a16:creationId xmlns:a16="http://schemas.microsoft.com/office/drawing/2014/main" id="{00000000-0008-0000-0000-00007F010000}"/>
            </a:ext>
          </a:extLst>
        </xdr:cNvPr>
        <xdr:cNvSpPr txBox="1"/>
      </xdr:nvSpPr>
      <xdr:spPr>
        <a:xfrm>
          <a:off x="8267700" y="36781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870" name="TextBox 6869">
          <a:extLst>
            <a:ext uri="{FF2B5EF4-FFF2-40B4-BE49-F238E27FC236}">
              <a16:creationId xmlns:a16="http://schemas.microsoft.com/office/drawing/2014/main" id="{00000000-0008-0000-0000-000080010000}"/>
            </a:ext>
          </a:extLst>
        </xdr:cNvPr>
        <xdr:cNvSpPr txBox="1"/>
      </xdr:nvSpPr>
      <xdr:spPr>
        <a:xfrm>
          <a:off x="8267700" y="36781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871" name="TextBox 6870">
          <a:extLst>
            <a:ext uri="{FF2B5EF4-FFF2-40B4-BE49-F238E27FC236}">
              <a16:creationId xmlns:a16="http://schemas.microsoft.com/office/drawing/2014/main" id="{00000000-0008-0000-0000-000081010000}"/>
            </a:ext>
          </a:extLst>
        </xdr:cNvPr>
        <xdr:cNvSpPr txBox="1"/>
      </xdr:nvSpPr>
      <xdr:spPr>
        <a:xfrm>
          <a:off x="8267700" y="36781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872" name="TextBox 6871">
          <a:extLst>
            <a:ext uri="{FF2B5EF4-FFF2-40B4-BE49-F238E27FC236}">
              <a16:creationId xmlns:a16="http://schemas.microsoft.com/office/drawing/2014/main" id="{00000000-0008-0000-0000-000082010000}"/>
            </a:ext>
          </a:extLst>
        </xdr:cNvPr>
        <xdr:cNvSpPr txBox="1"/>
      </xdr:nvSpPr>
      <xdr:spPr>
        <a:xfrm>
          <a:off x="8267700" y="36781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873" name="TextBox 6872">
          <a:extLst>
            <a:ext uri="{FF2B5EF4-FFF2-40B4-BE49-F238E27FC236}">
              <a16:creationId xmlns:a16="http://schemas.microsoft.com/office/drawing/2014/main" id="{00000000-0008-0000-0000-000083010000}"/>
            </a:ext>
          </a:extLst>
        </xdr:cNvPr>
        <xdr:cNvSpPr txBox="1"/>
      </xdr:nvSpPr>
      <xdr:spPr>
        <a:xfrm>
          <a:off x="8267700" y="36781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874" name="TextBox 6873">
          <a:extLst>
            <a:ext uri="{FF2B5EF4-FFF2-40B4-BE49-F238E27FC236}">
              <a16:creationId xmlns:a16="http://schemas.microsoft.com/office/drawing/2014/main" id="{00000000-0008-0000-0000-000084010000}"/>
            </a:ext>
          </a:extLst>
        </xdr:cNvPr>
        <xdr:cNvSpPr txBox="1"/>
      </xdr:nvSpPr>
      <xdr:spPr>
        <a:xfrm>
          <a:off x="8267700" y="36781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875" name="TextBox 6874">
          <a:extLst>
            <a:ext uri="{FF2B5EF4-FFF2-40B4-BE49-F238E27FC236}">
              <a16:creationId xmlns:a16="http://schemas.microsoft.com/office/drawing/2014/main" id="{00000000-0008-0000-0000-000085010000}"/>
            </a:ext>
          </a:extLst>
        </xdr:cNvPr>
        <xdr:cNvSpPr txBox="1"/>
      </xdr:nvSpPr>
      <xdr:spPr>
        <a:xfrm>
          <a:off x="8267700" y="36781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876" name="TextBox 6875">
          <a:extLst>
            <a:ext uri="{FF2B5EF4-FFF2-40B4-BE49-F238E27FC236}">
              <a16:creationId xmlns:a16="http://schemas.microsoft.com/office/drawing/2014/main" id="{00000000-0008-0000-0000-000086010000}"/>
            </a:ext>
          </a:extLst>
        </xdr:cNvPr>
        <xdr:cNvSpPr txBox="1"/>
      </xdr:nvSpPr>
      <xdr:spPr>
        <a:xfrm>
          <a:off x="8267700" y="36781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877" name="TextBox 6876">
          <a:extLst>
            <a:ext uri="{FF2B5EF4-FFF2-40B4-BE49-F238E27FC236}">
              <a16:creationId xmlns:a16="http://schemas.microsoft.com/office/drawing/2014/main" id="{00000000-0008-0000-0000-000087010000}"/>
            </a:ext>
          </a:extLst>
        </xdr:cNvPr>
        <xdr:cNvSpPr txBox="1"/>
      </xdr:nvSpPr>
      <xdr:spPr>
        <a:xfrm>
          <a:off x="8267700" y="36781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878" name="TextBox 6877">
          <a:extLst>
            <a:ext uri="{FF2B5EF4-FFF2-40B4-BE49-F238E27FC236}">
              <a16:creationId xmlns:a16="http://schemas.microsoft.com/office/drawing/2014/main" id="{00000000-0008-0000-0000-000088010000}"/>
            </a:ext>
          </a:extLst>
        </xdr:cNvPr>
        <xdr:cNvSpPr txBox="1"/>
      </xdr:nvSpPr>
      <xdr:spPr>
        <a:xfrm>
          <a:off x="8267700" y="36781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879" name="TextBox 6878">
          <a:extLst>
            <a:ext uri="{FF2B5EF4-FFF2-40B4-BE49-F238E27FC236}">
              <a16:creationId xmlns:a16="http://schemas.microsoft.com/office/drawing/2014/main" id="{00000000-0008-0000-0000-000089010000}"/>
            </a:ext>
          </a:extLst>
        </xdr:cNvPr>
        <xdr:cNvSpPr txBox="1"/>
      </xdr:nvSpPr>
      <xdr:spPr>
        <a:xfrm>
          <a:off x="8267700" y="36781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880" name="TextBox 6879">
          <a:extLst>
            <a:ext uri="{FF2B5EF4-FFF2-40B4-BE49-F238E27FC236}">
              <a16:creationId xmlns:a16="http://schemas.microsoft.com/office/drawing/2014/main" id="{00000000-0008-0000-0000-00008A010000}"/>
            </a:ext>
          </a:extLst>
        </xdr:cNvPr>
        <xdr:cNvSpPr txBox="1"/>
      </xdr:nvSpPr>
      <xdr:spPr>
        <a:xfrm>
          <a:off x="8267700" y="36781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881" name="TextBox 6880">
          <a:extLst>
            <a:ext uri="{FF2B5EF4-FFF2-40B4-BE49-F238E27FC236}">
              <a16:creationId xmlns:a16="http://schemas.microsoft.com/office/drawing/2014/main" id="{00000000-0008-0000-0000-00008B010000}"/>
            </a:ext>
          </a:extLst>
        </xdr:cNvPr>
        <xdr:cNvSpPr txBox="1"/>
      </xdr:nvSpPr>
      <xdr:spPr>
        <a:xfrm>
          <a:off x="8267700" y="36781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882" name="TextBox 6881">
          <a:extLst>
            <a:ext uri="{FF2B5EF4-FFF2-40B4-BE49-F238E27FC236}">
              <a16:creationId xmlns:a16="http://schemas.microsoft.com/office/drawing/2014/main" id="{00000000-0008-0000-0000-00008C010000}"/>
            </a:ext>
          </a:extLst>
        </xdr:cNvPr>
        <xdr:cNvSpPr txBox="1"/>
      </xdr:nvSpPr>
      <xdr:spPr>
        <a:xfrm>
          <a:off x="8267700" y="36781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883" name="TextBox 6882">
          <a:extLst>
            <a:ext uri="{FF2B5EF4-FFF2-40B4-BE49-F238E27FC236}">
              <a16:creationId xmlns:a16="http://schemas.microsoft.com/office/drawing/2014/main" id="{00000000-0008-0000-0000-00008D010000}"/>
            </a:ext>
          </a:extLst>
        </xdr:cNvPr>
        <xdr:cNvSpPr txBox="1"/>
      </xdr:nvSpPr>
      <xdr:spPr>
        <a:xfrm>
          <a:off x="8267700" y="36781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884" name="TextBox 6883">
          <a:extLst>
            <a:ext uri="{FF2B5EF4-FFF2-40B4-BE49-F238E27FC236}">
              <a16:creationId xmlns:a16="http://schemas.microsoft.com/office/drawing/2014/main" id="{00000000-0008-0000-0000-00008E010000}"/>
            </a:ext>
          </a:extLst>
        </xdr:cNvPr>
        <xdr:cNvSpPr txBox="1"/>
      </xdr:nvSpPr>
      <xdr:spPr>
        <a:xfrm>
          <a:off x="8267700" y="36781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885" name="TextBox 6884">
          <a:extLst>
            <a:ext uri="{FF2B5EF4-FFF2-40B4-BE49-F238E27FC236}">
              <a16:creationId xmlns:a16="http://schemas.microsoft.com/office/drawing/2014/main" id="{00000000-0008-0000-0000-00008F010000}"/>
            </a:ext>
          </a:extLst>
        </xdr:cNvPr>
        <xdr:cNvSpPr txBox="1"/>
      </xdr:nvSpPr>
      <xdr:spPr>
        <a:xfrm>
          <a:off x="8267700" y="36781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886" name="TextBox 6885">
          <a:extLst>
            <a:ext uri="{FF2B5EF4-FFF2-40B4-BE49-F238E27FC236}">
              <a16:creationId xmlns:a16="http://schemas.microsoft.com/office/drawing/2014/main" id="{00000000-0008-0000-0000-000090010000}"/>
            </a:ext>
          </a:extLst>
        </xdr:cNvPr>
        <xdr:cNvSpPr txBox="1"/>
      </xdr:nvSpPr>
      <xdr:spPr>
        <a:xfrm>
          <a:off x="8267700" y="36781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887" name="TextBox 6886">
          <a:extLst>
            <a:ext uri="{FF2B5EF4-FFF2-40B4-BE49-F238E27FC236}">
              <a16:creationId xmlns:a16="http://schemas.microsoft.com/office/drawing/2014/main" id="{00000000-0008-0000-0000-000091010000}"/>
            </a:ext>
          </a:extLst>
        </xdr:cNvPr>
        <xdr:cNvSpPr txBox="1"/>
      </xdr:nvSpPr>
      <xdr:spPr>
        <a:xfrm>
          <a:off x="8267700" y="36781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888" name="TextBox 6887">
          <a:extLst>
            <a:ext uri="{FF2B5EF4-FFF2-40B4-BE49-F238E27FC236}">
              <a16:creationId xmlns:a16="http://schemas.microsoft.com/office/drawing/2014/main" id="{00000000-0008-0000-0000-000092010000}"/>
            </a:ext>
          </a:extLst>
        </xdr:cNvPr>
        <xdr:cNvSpPr txBox="1"/>
      </xdr:nvSpPr>
      <xdr:spPr>
        <a:xfrm>
          <a:off x="8267700" y="36781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889" name="TextBox 6888">
          <a:extLst>
            <a:ext uri="{FF2B5EF4-FFF2-40B4-BE49-F238E27FC236}">
              <a16:creationId xmlns:a16="http://schemas.microsoft.com/office/drawing/2014/main" id="{00000000-0008-0000-0000-000093010000}"/>
            </a:ext>
          </a:extLst>
        </xdr:cNvPr>
        <xdr:cNvSpPr txBox="1"/>
      </xdr:nvSpPr>
      <xdr:spPr>
        <a:xfrm>
          <a:off x="8267700" y="36781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890" name="TextBox 6889">
          <a:extLst>
            <a:ext uri="{FF2B5EF4-FFF2-40B4-BE49-F238E27FC236}">
              <a16:creationId xmlns:a16="http://schemas.microsoft.com/office/drawing/2014/main" id="{00000000-0008-0000-0000-000094010000}"/>
            </a:ext>
          </a:extLst>
        </xdr:cNvPr>
        <xdr:cNvSpPr txBox="1"/>
      </xdr:nvSpPr>
      <xdr:spPr>
        <a:xfrm>
          <a:off x="8267700" y="36781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891" name="TextBox 6890">
          <a:extLst>
            <a:ext uri="{FF2B5EF4-FFF2-40B4-BE49-F238E27FC236}">
              <a16:creationId xmlns:a16="http://schemas.microsoft.com/office/drawing/2014/main" id="{00000000-0008-0000-0000-000095010000}"/>
            </a:ext>
          </a:extLst>
        </xdr:cNvPr>
        <xdr:cNvSpPr txBox="1"/>
      </xdr:nvSpPr>
      <xdr:spPr>
        <a:xfrm>
          <a:off x="8267700" y="36781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892" name="TextBox 6891">
          <a:extLst>
            <a:ext uri="{FF2B5EF4-FFF2-40B4-BE49-F238E27FC236}">
              <a16:creationId xmlns:a16="http://schemas.microsoft.com/office/drawing/2014/main" id="{00000000-0008-0000-0000-000096010000}"/>
            </a:ext>
          </a:extLst>
        </xdr:cNvPr>
        <xdr:cNvSpPr txBox="1"/>
      </xdr:nvSpPr>
      <xdr:spPr>
        <a:xfrm>
          <a:off x="8267700" y="36781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893" name="TextBox 6892">
          <a:extLst>
            <a:ext uri="{FF2B5EF4-FFF2-40B4-BE49-F238E27FC236}">
              <a16:creationId xmlns:a16="http://schemas.microsoft.com/office/drawing/2014/main" id="{00000000-0008-0000-0000-000097010000}"/>
            </a:ext>
          </a:extLst>
        </xdr:cNvPr>
        <xdr:cNvSpPr txBox="1"/>
      </xdr:nvSpPr>
      <xdr:spPr>
        <a:xfrm>
          <a:off x="8267700" y="36781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894" name="TextBox 6893">
          <a:extLst>
            <a:ext uri="{FF2B5EF4-FFF2-40B4-BE49-F238E27FC236}">
              <a16:creationId xmlns:a16="http://schemas.microsoft.com/office/drawing/2014/main" id="{00000000-0008-0000-0000-000098010000}"/>
            </a:ext>
          </a:extLst>
        </xdr:cNvPr>
        <xdr:cNvSpPr txBox="1"/>
      </xdr:nvSpPr>
      <xdr:spPr>
        <a:xfrm>
          <a:off x="8267700" y="36781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895" name="TextBox 6894">
          <a:extLst>
            <a:ext uri="{FF2B5EF4-FFF2-40B4-BE49-F238E27FC236}">
              <a16:creationId xmlns:a16="http://schemas.microsoft.com/office/drawing/2014/main" id="{00000000-0008-0000-0000-000099010000}"/>
            </a:ext>
          </a:extLst>
        </xdr:cNvPr>
        <xdr:cNvSpPr txBox="1"/>
      </xdr:nvSpPr>
      <xdr:spPr>
        <a:xfrm>
          <a:off x="8267700" y="36781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896" name="TextBox 6895">
          <a:extLst>
            <a:ext uri="{FF2B5EF4-FFF2-40B4-BE49-F238E27FC236}">
              <a16:creationId xmlns:a16="http://schemas.microsoft.com/office/drawing/2014/main" id="{00000000-0008-0000-0000-00009A010000}"/>
            </a:ext>
          </a:extLst>
        </xdr:cNvPr>
        <xdr:cNvSpPr txBox="1"/>
      </xdr:nvSpPr>
      <xdr:spPr>
        <a:xfrm>
          <a:off x="8267700" y="36781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897" name="TextBox 6896">
          <a:extLst>
            <a:ext uri="{FF2B5EF4-FFF2-40B4-BE49-F238E27FC236}">
              <a16:creationId xmlns:a16="http://schemas.microsoft.com/office/drawing/2014/main" id="{00000000-0008-0000-0000-00009B010000}"/>
            </a:ext>
          </a:extLst>
        </xdr:cNvPr>
        <xdr:cNvSpPr txBox="1"/>
      </xdr:nvSpPr>
      <xdr:spPr>
        <a:xfrm>
          <a:off x="8267700" y="36781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898" name="TextBox 6897">
          <a:extLst>
            <a:ext uri="{FF2B5EF4-FFF2-40B4-BE49-F238E27FC236}">
              <a16:creationId xmlns:a16="http://schemas.microsoft.com/office/drawing/2014/main" id="{00000000-0008-0000-0000-00009C010000}"/>
            </a:ext>
          </a:extLst>
        </xdr:cNvPr>
        <xdr:cNvSpPr txBox="1"/>
      </xdr:nvSpPr>
      <xdr:spPr>
        <a:xfrm>
          <a:off x="8267700" y="36781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899" name="TextBox 6898">
          <a:extLst>
            <a:ext uri="{FF2B5EF4-FFF2-40B4-BE49-F238E27FC236}">
              <a16:creationId xmlns:a16="http://schemas.microsoft.com/office/drawing/2014/main" id="{00000000-0008-0000-0000-00009D010000}"/>
            </a:ext>
          </a:extLst>
        </xdr:cNvPr>
        <xdr:cNvSpPr txBox="1"/>
      </xdr:nvSpPr>
      <xdr:spPr>
        <a:xfrm>
          <a:off x="8267700" y="36781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900" name="TextBox 6899">
          <a:extLst>
            <a:ext uri="{FF2B5EF4-FFF2-40B4-BE49-F238E27FC236}">
              <a16:creationId xmlns:a16="http://schemas.microsoft.com/office/drawing/2014/main" id="{00000000-0008-0000-0000-00009E010000}"/>
            </a:ext>
          </a:extLst>
        </xdr:cNvPr>
        <xdr:cNvSpPr txBox="1"/>
      </xdr:nvSpPr>
      <xdr:spPr>
        <a:xfrm>
          <a:off x="8267700" y="36781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901" name="TextBox 6900">
          <a:extLst>
            <a:ext uri="{FF2B5EF4-FFF2-40B4-BE49-F238E27FC236}">
              <a16:creationId xmlns:a16="http://schemas.microsoft.com/office/drawing/2014/main" id="{00000000-0008-0000-0000-00009F010000}"/>
            </a:ext>
          </a:extLst>
        </xdr:cNvPr>
        <xdr:cNvSpPr txBox="1"/>
      </xdr:nvSpPr>
      <xdr:spPr>
        <a:xfrm>
          <a:off x="8267700" y="36781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902" name="TextBox 6901">
          <a:extLst>
            <a:ext uri="{FF2B5EF4-FFF2-40B4-BE49-F238E27FC236}">
              <a16:creationId xmlns:a16="http://schemas.microsoft.com/office/drawing/2014/main" id="{00000000-0008-0000-0000-0000A0010000}"/>
            </a:ext>
          </a:extLst>
        </xdr:cNvPr>
        <xdr:cNvSpPr txBox="1"/>
      </xdr:nvSpPr>
      <xdr:spPr>
        <a:xfrm>
          <a:off x="8267700" y="36781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903" name="TextBox 6902">
          <a:extLst>
            <a:ext uri="{FF2B5EF4-FFF2-40B4-BE49-F238E27FC236}">
              <a16:creationId xmlns:a16="http://schemas.microsoft.com/office/drawing/2014/main" id="{00000000-0008-0000-0000-0000A1010000}"/>
            </a:ext>
          </a:extLst>
        </xdr:cNvPr>
        <xdr:cNvSpPr txBox="1"/>
      </xdr:nvSpPr>
      <xdr:spPr>
        <a:xfrm>
          <a:off x="8267700" y="36781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904" name="TextBox 6903">
          <a:extLst>
            <a:ext uri="{FF2B5EF4-FFF2-40B4-BE49-F238E27FC236}">
              <a16:creationId xmlns:a16="http://schemas.microsoft.com/office/drawing/2014/main" id="{00000000-0008-0000-0000-0000A2010000}"/>
            </a:ext>
          </a:extLst>
        </xdr:cNvPr>
        <xdr:cNvSpPr txBox="1"/>
      </xdr:nvSpPr>
      <xdr:spPr>
        <a:xfrm>
          <a:off x="8267700" y="36781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905" name="TextBox 6904">
          <a:extLst>
            <a:ext uri="{FF2B5EF4-FFF2-40B4-BE49-F238E27FC236}">
              <a16:creationId xmlns:a16="http://schemas.microsoft.com/office/drawing/2014/main" id="{00000000-0008-0000-0000-0000A3010000}"/>
            </a:ext>
          </a:extLst>
        </xdr:cNvPr>
        <xdr:cNvSpPr txBox="1"/>
      </xdr:nvSpPr>
      <xdr:spPr>
        <a:xfrm>
          <a:off x="8267700" y="36781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906" name="TextBox 6905">
          <a:extLst>
            <a:ext uri="{FF2B5EF4-FFF2-40B4-BE49-F238E27FC236}">
              <a16:creationId xmlns:a16="http://schemas.microsoft.com/office/drawing/2014/main" id="{00000000-0008-0000-0000-0000A4010000}"/>
            </a:ext>
          </a:extLst>
        </xdr:cNvPr>
        <xdr:cNvSpPr txBox="1"/>
      </xdr:nvSpPr>
      <xdr:spPr>
        <a:xfrm>
          <a:off x="8267700" y="36781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907" name="TextBox 6906">
          <a:extLst>
            <a:ext uri="{FF2B5EF4-FFF2-40B4-BE49-F238E27FC236}">
              <a16:creationId xmlns:a16="http://schemas.microsoft.com/office/drawing/2014/main" id="{00000000-0008-0000-0000-0000A5010000}"/>
            </a:ext>
          </a:extLst>
        </xdr:cNvPr>
        <xdr:cNvSpPr txBox="1"/>
      </xdr:nvSpPr>
      <xdr:spPr>
        <a:xfrm>
          <a:off x="8267700" y="36781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908" name="TextBox 6907">
          <a:extLst>
            <a:ext uri="{FF2B5EF4-FFF2-40B4-BE49-F238E27FC236}">
              <a16:creationId xmlns:a16="http://schemas.microsoft.com/office/drawing/2014/main" id="{00000000-0008-0000-0000-0000A6010000}"/>
            </a:ext>
          </a:extLst>
        </xdr:cNvPr>
        <xdr:cNvSpPr txBox="1"/>
      </xdr:nvSpPr>
      <xdr:spPr>
        <a:xfrm>
          <a:off x="8267700" y="36781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909" name="TextBox 6908">
          <a:extLst>
            <a:ext uri="{FF2B5EF4-FFF2-40B4-BE49-F238E27FC236}">
              <a16:creationId xmlns:a16="http://schemas.microsoft.com/office/drawing/2014/main" id="{00000000-0008-0000-0000-0000A7010000}"/>
            </a:ext>
          </a:extLst>
        </xdr:cNvPr>
        <xdr:cNvSpPr txBox="1"/>
      </xdr:nvSpPr>
      <xdr:spPr>
        <a:xfrm>
          <a:off x="8267700" y="36781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910" name="TextBox 6909">
          <a:extLst>
            <a:ext uri="{FF2B5EF4-FFF2-40B4-BE49-F238E27FC236}">
              <a16:creationId xmlns:a16="http://schemas.microsoft.com/office/drawing/2014/main" id="{00000000-0008-0000-0000-0000A8010000}"/>
            </a:ext>
          </a:extLst>
        </xdr:cNvPr>
        <xdr:cNvSpPr txBox="1"/>
      </xdr:nvSpPr>
      <xdr:spPr>
        <a:xfrm>
          <a:off x="12580620" y="36781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911" name="TextBox 6910">
          <a:extLst>
            <a:ext uri="{FF2B5EF4-FFF2-40B4-BE49-F238E27FC236}">
              <a16:creationId xmlns:a16="http://schemas.microsoft.com/office/drawing/2014/main" id="{00000000-0008-0000-0000-0000A9010000}"/>
            </a:ext>
          </a:extLst>
        </xdr:cNvPr>
        <xdr:cNvSpPr txBox="1"/>
      </xdr:nvSpPr>
      <xdr:spPr>
        <a:xfrm>
          <a:off x="12580620" y="36781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912" name="TextBox 6911">
          <a:extLst>
            <a:ext uri="{FF2B5EF4-FFF2-40B4-BE49-F238E27FC236}">
              <a16:creationId xmlns:a16="http://schemas.microsoft.com/office/drawing/2014/main" id="{00000000-0008-0000-0000-0000AA010000}"/>
            </a:ext>
          </a:extLst>
        </xdr:cNvPr>
        <xdr:cNvSpPr txBox="1"/>
      </xdr:nvSpPr>
      <xdr:spPr>
        <a:xfrm>
          <a:off x="12580620" y="36781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913" name="TextBox 6912">
          <a:extLst>
            <a:ext uri="{FF2B5EF4-FFF2-40B4-BE49-F238E27FC236}">
              <a16:creationId xmlns:a16="http://schemas.microsoft.com/office/drawing/2014/main" id="{00000000-0008-0000-0000-0000AB010000}"/>
            </a:ext>
          </a:extLst>
        </xdr:cNvPr>
        <xdr:cNvSpPr txBox="1"/>
      </xdr:nvSpPr>
      <xdr:spPr>
        <a:xfrm>
          <a:off x="12580620" y="36781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914" name="TextBox 6913">
          <a:extLst>
            <a:ext uri="{FF2B5EF4-FFF2-40B4-BE49-F238E27FC236}">
              <a16:creationId xmlns:a16="http://schemas.microsoft.com/office/drawing/2014/main" id="{00000000-0008-0000-0000-0000AC010000}"/>
            </a:ext>
          </a:extLst>
        </xdr:cNvPr>
        <xdr:cNvSpPr txBox="1"/>
      </xdr:nvSpPr>
      <xdr:spPr>
        <a:xfrm>
          <a:off x="12580620" y="36781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915" name="TextBox 6914">
          <a:extLst>
            <a:ext uri="{FF2B5EF4-FFF2-40B4-BE49-F238E27FC236}">
              <a16:creationId xmlns:a16="http://schemas.microsoft.com/office/drawing/2014/main" id="{00000000-0008-0000-0000-0000AD010000}"/>
            </a:ext>
          </a:extLst>
        </xdr:cNvPr>
        <xdr:cNvSpPr txBox="1"/>
      </xdr:nvSpPr>
      <xdr:spPr>
        <a:xfrm>
          <a:off x="12580620" y="36781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916" name="TextBox 6915">
          <a:extLst>
            <a:ext uri="{FF2B5EF4-FFF2-40B4-BE49-F238E27FC236}">
              <a16:creationId xmlns:a16="http://schemas.microsoft.com/office/drawing/2014/main" id="{00000000-0008-0000-0000-0000AE010000}"/>
            </a:ext>
          </a:extLst>
        </xdr:cNvPr>
        <xdr:cNvSpPr txBox="1"/>
      </xdr:nvSpPr>
      <xdr:spPr>
        <a:xfrm>
          <a:off x="12580620" y="36781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917" name="TextBox 6916">
          <a:extLst>
            <a:ext uri="{FF2B5EF4-FFF2-40B4-BE49-F238E27FC236}">
              <a16:creationId xmlns:a16="http://schemas.microsoft.com/office/drawing/2014/main" id="{00000000-0008-0000-0000-0000AF010000}"/>
            </a:ext>
          </a:extLst>
        </xdr:cNvPr>
        <xdr:cNvSpPr txBox="1"/>
      </xdr:nvSpPr>
      <xdr:spPr>
        <a:xfrm>
          <a:off x="12580620" y="36781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6918" name="TextBox 6917">
          <a:extLst>
            <a:ext uri="{FF2B5EF4-FFF2-40B4-BE49-F238E27FC236}">
              <a16:creationId xmlns:a16="http://schemas.microsoft.com/office/drawing/2014/main" id="{00000000-0008-0000-0000-0000B0010000}"/>
            </a:ext>
          </a:extLst>
        </xdr:cNvPr>
        <xdr:cNvSpPr txBox="1"/>
      </xdr:nvSpPr>
      <xdr:spPr>
        <a:xfrm>
          <a:off x="8267700" y="35593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6919" name="TextBox 6918">
          <a:extLst>
            <a:ext uri="{FF2B5EF4-FFF2-40B4-BE49-F238E27FC236}">
              <a16:creationId xmlns:a16="http://schemas.microsoft.com/office/drawing/2014/main" id="{00000000-0008-0000-0000-0000B1010000}"/>
            </a:ext>
          </a:extLst>
        </xdr:cNvPr>
        <xdr:cNvSpPr txBox="1"/>
      </xdr:nvSpPr>
      <xdr:spPr>
        <a:xfrm>
          <a:off x="8267700" y="35593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920" name="TextBox 6919">
          <a:extLst>
            <a:ext uri="{FF2B5EF4-FFF2-40B4-BE49-F238E27FC236}">
              <a16:creationId xmlns:a16="http://schemas.microsoft.com/office/drawing/2014/main" id="{00000000-0008-0000-0000-0000B2010000}"/>
            </a:ext>
          </a:extLst>
        </xdr:cNvPr>
        <xdr:cNvSpPr txBox="1"/>
      </xdr:nvSpPr>
      <xdr:spPr>
        <a:xfrm>
          <a:off x="1258062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921" name="TextBox 6920">
          <a:extLst>
            <a:ext uri="{FF2B5EF4-FFF2-40B4-BE49-F238E27FC236}">
              <a16:creationId xmlns:a16="http://schemas.microsoft.com/office/drawing/2014/main" id="{00000000-0008-0000-0000-0000B3010000}"/>
            </a:ext>
          </a:extLst>
        </xdr:cNvPr>
        <xdr:cNvSpPr txBox="1"/>
      </xdr:nvSpPr>
      <xdr:spPr>
        <a:xfrm>
          <a:off x="1258062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922" name="TextBox 6921">
          <a:extLst>
            <a:ext uri="{FF2B5EF4-FFF2-40B4-BE49-F238E27FC236}">
              <a16:creationId xmlns:a16="http://schemas.microsoft.com/office/drawing/2014/main" id="{00000000-0008-0000-0000-0000B4010000}"/>
            </a:ext>
          </a:extLst>
        </xdr:cNvPr>
        <xdr:cNvSpPr txBox="1"/>
      </xdr:nvSpPr>
      <xdr:spPr>
        <a:xfrm>
          <a:off x="1258062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923" name="TextBox 6922">
          <a:extLst>
            <a:ext uri="{FF2B5EF4-FFF2-40B4-BE49-F238E27FC236}">
              <a16:creationId xmlns:a16="http://schemas.microsoft.com/office/drawing/2014/main" id="{00000000-0008-0000-0000-0000B5010000}"/>
            </a:ext>
          </a:extLst>
        </xdr:cNvPr>
        <xdr:cNvSpPr txBox="1"/>
      </xdr:nvSpPr>
      <xdr:spPr>
        <a:xfrm>
          <a:off x="1258062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924" name="TextBox 6923">
          <a:extLst>
            <a:ext uri="{FF2B5EF4-FFF2-40B4-BE49-F238E27FC236}">
              <a16:creationId xmlns:a16="http://schemas.microsoft.com/office/drawing/2014/main" id="{00000000-0008-0000-0000-0000B6010000}"/>
            </a:ext>
          </a:extLst>
        </xdr:cNvPr>
        <xdr:cNvSpPr txBox="1"/>
      </xdr:nvSpPr>
      <xdr:spPr>
        <a:xfrm>
          <a:off x="1258062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925" name="TextBox 6924">
          <a:extLst>
            <a:ext uri="{FF2B5EF4-FFF2-40B4-BE49-F238E27FC236}">
              <a16:creationId xmlns:a16="http://schemas.microsoft.com/office/drawing/2014/main" id="{00000000-0008-0000-0000-0000B7010000}"/>
            </a:ext>
          </a:extLst>
        </xdr:cNvPr>
        <xdr:cNvSpPr txBox="1"/>
      </xdr:nvSpPr>
      <xdr:spPr>
        <a:xfrm>
          <a:off x="1258062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926" name="TextBox 6925">
          <a:extLst>
            <a:ext uri="{FF2B5EF4-FFF2-40B4-BE49-F238E27FC236}">
              <a16:creationId xmlns:a16="http://schemas.microsoft.com/office/drawing/2014/main" id="{00000000-0008-0000-0000-0000B8010000}"/>
            </a:ext>
          </a:extLst>
        </xdr:cNvPr>
        <xdr:cNvSpPr txBox="1"/>
      </xdr:nvSpPr>
      <xdr:spPr>
        <a:xfrm>
          <a:off x="1258062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927" name="TextBox 6926">
          <a:extLst>
            <a:ext uri="{FF2B5EF4-FFF2-40B4-BE49-F238E27FC236}">
              <a16:creationId xmlns:a16="http://schemas.microsoft.com/office/drawing/2014/main" id="{00000000-0008-0000-0000-0000B9010000}"/>
            </a:ext>
          </a:extLst>
        </xdr:cNvPr>
        <xdr:cNvSpPr txBox="1"/>
      </xdr:nvSpPr>
      <xdr:spPr>
        <a:xfrm>
          <a:off x="1258062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928" name="TextBox 6927">
          <a:extLst>
            <a:ext uri="{FF2B5EF4-FFF2-40B4-BE49-F238E27FC236}">
              <a16:creationId xmlns:a16="http://schemas.microsoft.com/office/drawing/2014/main" id="{00000000-0008-0000-0000-0000BA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929" name="TextBox 6928">
          <a:extLst>
            <a:ext uri="{FF2B5EF4-FFF2-40B4-BE49-F238E27FC236}">
              <a16:creationId xmlns:a16="http://schemas.microsoft.com/office/drawing/2014/main" id="{00000000-0008-0000-0000-0000BB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930" name="TextBox 6929">
          <a:extLst>
            <a:ext uri="{FF2B5EF4-FFF2-40B4-BE49-F238E27FC236}">
              <a16:creationId xmlns:a16="http://schemas.microsoft.com/office/drawing/2014/main" id="{00000000-0008-0000-0000-0000BC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931" name="TextBox 6930">
          <a:extLst>
            <a:ext uri="{FF2B5EF4-FFF2-40B4-BE49-F238E27FC236}">
              <a16:creationId xmlns:a16="http://schemas.microsoft.com/office/drawing/2014/main" id="{00000000-0008-0000-0000-0000BD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932" name="TextBox 6931">
          <a:extLst>
            <a:ext uri="{FF2B5EF4-FFF2-40B4-BE49-F238E27FC236}">
              <a16:creationId xmlns:a16="http://schemas.microsoft.com/office/drawing/2014/main" id="{00000000-0008-0000-0000-0000BE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933" name="TextBox 6932">
          <a:extLst>
            <a:ext uri="{FF2B5EF4-FFF2-40B4-BE49-F238E27FC236}">
              <a16:creationId xmlns:a16="http://schemas.microsoft.com/office/drawing/2014/main" id="{00000000-0008-0000-0000-0000BF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934" name="TextBox 6933">
          <a:extLst>
            <a:ext uri="{FF2B5EF4-FFF2-40B4-BE49-F238E27FC236}">
              <a16:creationId xmlns:a16="http://schemas.microsoft.com/office/drawing/2014/main" id="{00000000-0008-0000-0000-0000C0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935" name="TextBox 6934">
          <a:extLst>
            <a:ext uri="{FF2B5EF4-FFF2-40B4-BE49-F238E27FC236}">
              <a16:creationId xmlns:a16="http://schemas.microsoft.com/office/drawing/2014/main" id="{00000000-0008-0000-0000-0000C1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936" name="TextBox 6935">
          <a:extLst>
            <a:ext uri="{FF2B5EF4-FFF2-40B4-BE49-F238E27FC236}">
              <a16:creationId xmlns:a16="http://schemas.microsoft.com/office/drawing/2014/main" id="{00000000-0008-0000-0000-0000C2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937" name="TextBox 6936">
          <a:extLst>
            <a:ext uri="{FF2B5EF4-FFF2-40B4-BE49-F238E27FC236}">
              <a16:creationId xmlns:a16="http://schemas.microsoft.com/office/drawing/2014/main" id="{00000000-0008-0000-0000-0000C3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938" name="TextBox 6937">
          <a:extLst>
            <a:ext uri="{FF2B5EF4-FFF2-40B4-BE49-F238E27FC236}">
              <a16:creationId xmlns:a16="http://schemas.microsoft.com/office/drawing/2014/main" id="{00000000-0008-0000-0000-0000C4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939" name="TextBox 6938">
          <a:extLst>
            <a:ext uri="{FF2B5EF4-FFF2-40B4-BE49-F238E27FC236}">
              <a16:creationId xmlns:a16="http://schemas.microsoft.com/office/drawing/2014/main" id="{00000000-0008-0000-0000-0000C5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940" name="TextBox 6939">
          <a:extLst>
            <a:ext uri="{FF2B5EF4-FFF2-40B4-BE49-F238E27FC236}">
              <a16:creationId xmlns:a16="http://schemas.microsoft.com/office/drawing/2014/main" id="{00000000-0008-0000-0000-0000C6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941" name="TextBox 6940">
          <a:extLst>
            <a:ext uri="{FF2B5EF4-FFF2-40B4-BE49-F238E27FC236}">
              <a16:creationId xmlns:a16="http://schemas.microsoft.com/office/drawing/2014/main" id="{00000000-0008-0000-0000-0000C7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942" name="TextBox 6941">
          <a:extLst>
            <a:ext uri="{FF2B5EF4-FFF2-40B4-BE49-F238E27FC236}">
              <a16:creationId xmlns:a16="http://schemas.microsoft.com/office/drawing/2014/main" id="{00000000-0008-0000-0000-0000C8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943" name="TextBox 6942">
          <a:extLst>
            <a:ext uri="{FF2B5EF4-FFF2-40B4-BE49-F238E27FC236}">
              <a16:creationId xmlns:a16="http://schemas.microsoft.com/office/drawing/2014/main" id="{00000000-0008-0000-0000-0000C9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944" name="TextBox 6943">
          <a:extLst>
            <a:ext uri="{FF2B5EF4-FFF2-40B4-BE49-F238E27FC236}">
              <a16:creationId xmlns:a16="http://schemas.microsoft.com/office/drawing/2014/main" id="{00000000-0008-0000-0000-0000CA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945" name="TextBox 6944">
          <a:extLst>
            <a:ext uri="{FF2B5EF4-FFF2-40B4-BE49-F238E27FC236}">
              <a16:creationId xmlns:a16="http://schemas.microsoft.com/office/drawing/2014/main" id="{00000000-0008-0000-0000-0000CB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946" name="TextBox 6945">
          <a:extLst>
            <a:ext uri="{FF2B5EF4-FFF2-40B4-BE49-F238E27FC236}">
              <a16:creationId xmlns:a16="http://schemas.microsoft.com/office/drawing/2014/main" id="{00000000-0008-0000-0000-0000CC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947" name="TextBox 6946">
          <a:extLst>
            <a:ext uri="{FF2B5EF4-FFF2-40B4-BE49-F238E27FC236}">
              <a16:creationId xmlns:a16="http://schemas.microsoft.com/office/drawing/2014/main" id="{00000000-0008-0000-0000-0000CD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948" name="TextBox 6947">
          <a:extLst>
            <a:ext uri="{FF2B5EF4-FFF2-40B4-BE49-F238E27FC236}">
              <a16:creationId xmlns:a16="http://schemas.microsoft.com/office/drawing/2014/main" id="{00000000-0008-0000-0000-0000CE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949" name="TextBox 6948">
          <a:extLst>
            <a:ext uri="{FF2B5EF4-FFF2-40B4-BE49-F238E27FC236}">
              <a16:creationId xmlns:a16="http://schemas.microsoft.com/office/drawing/2014/main" id="{00000000-0008-0000-0000-0000CF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950" name="TextBox 6949">
          <a:extLst>
            <a:ext uri="{FF2B5EF4-FFF2-40B4-BE49-F238E27FC236}">
              <a16:creationId xmlns:a16="http://schemas.microsoft.com/office/drawing/2014/main" id="{00000000-0008-0000-0000-0000D0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951" name="TextBox 6950">
          <a:extLst>
            <a:ext uri="{FF2B5EF4-FFF2-40B4-BE49-F238E27FC236}">
              <a16:creationId xmlns:a16="http://schemas.microsoft.com/office/drawing/2014/main" id="{00000000-0008-0000-0000-0000D1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952" name="TextBox 6951">
          <a:extLst>
            <a:ext uri="{FF2B5EF4-FFF2-40B4-BE49-F238E27FC236}">
              <a16:creationId xmlns:a16="http://schemas.microsoft.com/office/drawing/2014/main" id="{00000000-0008-0000-0000-0000D2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953" name="TextBox 6952">
          <a:extLst>
            <a:ext uri="{FF2B5EF4-FFF2-40B4-BE49-F238E27FC236}">
              <a16:creationId xmlns:a16="http://schemas.microsoft.com/office/drawing/2014/main" id="{00000000-0008-0000-0000-0000D3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954" name="TextBox 6953">
          <a:extLst>
            <a:ext uri="{FF2B5EF4-FFF2-40B4-BE49-F238E27FC236}">
              <a16:creationId xmlns:a16="http://schemas.microsoft.com/office/drawing/2014/main" id="{00000000-0008-0000-0000-0000D4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955" name="TextBox 6954">
          <a:extLst>
            <a:ext uri="{FF2B5EF4-FFF2-40B4-BE49-F238E27FC236}">
              <a16:creationId xmlns:a16="http://schemas.microsoft.com/office/drawing/2014/main" id="{00000000-0008-0000-0000-0000D5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956" name="TextBox 6955">
          <a:extLst>
            <a:ext uri="{FF2B5EF4-FFF2-40B4-BE49-F238E27FC236}">
              <a16:creationId xmlns:a16="http://schemas.microsoft.com/office/drawing/2014/main" id="{00000000-0008-0000-0000-0000D6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957" name="TextBox 6956">
          <a:extLst>
            <a:ext uri="{FF2B5EF4-FFF2-40B4-BE49-F238E27FC236}">
              <a16:creationId xmlns:a16="http://schemas.microsoft.com/office/drawing/2014/main" id="{00000000-0008-0000-0000-0000D7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958" name="TextBox 6957">
          <a:extLst>
            <a:ext uri="{FF2B5EF4-FFF2-40B4-BE49-F238E27FC236}">
              <a16:creationId xmlns:a16="http://schemas.microsoft.com/office/drawing/2014/main" id="{00000000-0008-0000-0000-0000D8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959" name="TextBox 6958">
          <a:extLst>
            <a:ext uri="{FF2B5EF4-FFF2-40B4-BE49-F238E27FC236}">
              <a16:creationId xmlns:a16="http://schemas.microsoft.com/office/drawing/2014/main" id="{00000000-0008-0000-0000-0000D9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960" name="TextBox 6959">
          <a:extLst>
            <a:ext uri="{FF2B5EF4-FFF2-40B4-BE49-F238E27FC236}">
              <a16:creationId xmlns:a16="http://schemas.microsoft.com/office/drawing/2014/main" id="{00000000-0008-0000-0000-0000DA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961" name="TextBox 6960">
          <a:extLst>
            <a:ext uri="{FF2B5EF4-FFF2-40B4-BE49-F238E27FC236}">
              <a16:creationId xmlns:a16="http://schemas.microsoft.com/office/drawing/2014/main" id="{00000000-0008-0000-0000-0000DB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962" name="TextBox 6961">
          <a:extLst>
            <a:ext uri="{FF2B5EF4-FFF2-40B4-BE49-F238E27FC236}">
              <a16:creationId xmlns:a16="http://schemas.microsoft.com/office/drawing/2014/main" id="{00000000-0008-0000-0000-0000DC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963" name="TextBox 6962">
          <a:extLst>
            <a:ext uri="{FF2B5EF4-FFF2-40B4-BE49-F238E27FC236}">
              <a16:creationId xmlns:a16="http://schemas.microsoft.com/office/drawing/2014/main" id="{00000000-0008-0000-0000-0000DD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964" name="TextBox 6963">
          <a:extLst>
            <a:ext uri="{FF2B5EF4-FFF2-40B4-BE49-F238E27FC236}">
              <a16:creationId xmlns:a16="http://schemas.microsoft.com/office/drawing/2014/main" id="{00000000-0008-0000-0000-0000DE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965" name="TextBox 6964">
          <a:extLst>
            <a:ext uri="{FF2B5EF4-FFF2-40B4-BE49-F238E27FC236}">
              <a16:creationId xmlns:a16="http://schemas.microsoft.com/office/drawing/2014/main" id="{00000000-0008-0000-0000-0000DF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966" name="TextBox 6965">
          <a:extLst>
            <a:ext uri="{FF2B5EF4-FFF2-40B4-BE49-F238E27FC236}">
              <a16:creationId xmlns:a16="http://schemas.microsoft.com/office/drawing/2014/main" id="{00000000-0008-0000-0000-0000E0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967" name="TextBox 6966">
          <a:extLst>
            <a:ext uri="{FF2B5EF4-FFF2-40B4-BE49-F238E27FC236}">
              <a16:creationId xmlns:a16="http://schemas.microsoft.com/office/drawing/2014/main" id="{00000000-0008-0000-0000-0000E1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968" name="TextBox 6967">
          <a:extLst>
            <a:ext uri="{FF2B5EF4-FFF2-40B4-BE49-F238E27FC236}">
              <a16:creationId xmlns:a16="http://schemas.microsoft.com/office/drawing/2014/main" id="{00000000-0008-0000-0000-0000E2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969" name="TextBox 6968">
          <a:extLst>
            <a:ext uri="{FF2B5EF4-FFF2-40B4-BE49-F238E27FC236}">
              <a16:creationId xmlns:a16="http://schemas.microsoft.com/office/drawing/2014/main" id="{00000000-0008-0000-0000-0000E3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970" name="TextBox 6969">
          <a:extLst>
            <a:ext uri="{FF2B5EF4-FFF2-40B4-BE49-F238E27FC236}">
              <a16:creationId xmlns:a16="http://schemas.microsoft.com/office/drawing/2014/main" id="{00000000-0008-0000-0000-0000E4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971" name="TextBox 6970">
          <a:extLst>
            <a:ext uri="{FF2B5EF4-FFF2-40B4-BE49-F238E27FC236}">
              <a16:creationId xmlns:a16="http://schemas.microsoft.com/office/drawing/2014/main" id="{00000000-0008-0000-0000-0000E5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972" name="TextBox 6971">
          <a:extLst>
            <a:ext uri="{FF2B5EF4-FFF2-40B4-BE49-F238E27FC236}">
              <a16:creationId xmlns:a16="http://schemas.microsoft.com/office/drawing/2014/main" id="{00000000-0008-0000-0000-0000E6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973" name="TextBox 6972">
          <a:extLst>
            <a:ext uri="{FF2B5EF4-FFF2-40B4-BE49-F238E27FC236}">
              <a16:creationId xmlns:a16="http://schemas.microsoft.com/office/drawing/2014/main" id="{00000000-0008-0000-0000-0000E7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974" name="TextBox 6973">
          <a:extLst>
            <a:ext uri="{FF2B5EF4-FFF2-40B4-BE49-F238E27FC236}">
              <a16:creationId xmlns:a16="http://schemas.microsoft.com/office/drawing/2014/main" id="{00000000-0008-0000-0000-0000E8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975" name="TextBox 6974">
          <a:extLst>
            <a:ext uri="{FF2B5EF4-FFF2-40B4-BE49-F238E27FC236}">
              <a16:creationId xmlns:a16="http://schemas.microsoft.com/office/drawing/2014/main" id="{00000000-0008-0000-0000-0000E9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976" name="TextBox 6975">
          <a:extLst>
            <a:ext uri="{FF2B5EF4-FFF2-40B4-BE49-F238E27FC236}">
              <a16:creationId xmlns:a16="http://schemas.microsoft.com/office/drawing/2014/main" id="{00000000-0008-0000-0000-0000EA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977" name="TextBox 6976">
          <a:extLst>
            <a:ext uri="{FF2B5EF4-FFF2-40B4-BE49-F238E27FC236}">
              <a16:creationId xmlns:a16="http://schemas.microsoft.com/office/drawing/2014/main" id="{00000000-0008-0000-0000-0000EB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978" name="TextBox 6977">
          <a:extLst>
            <a:ext uri="{FF2B5EF4-FFF2-40B4-BE49-F238E27FC236}">
              <a16:creationId xmlns:a16="http://schemas.microsoft.com/office/drawing/2014/main" id="{00000000-0008-0000-0000-0000EC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979" name="TextBox 6978">
          <a:extLst>
            <a:ext uri="{FF2B5EF4-FFF2-40B4-BE49-F238E27FC236}">
              <a16:creationId xmlns:a16="http://schemas.microsoft.com/office/drawing/2014/main" id="{00000000-0008-0000-0000-0000ED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980" name="TextBox 6979">
          <a:extLst>
            <a:ext uri="{FF2B5EF4-FFF2-40B4-BE49-F238E27FC236}">
              <a16:creationId xmlns:a16="http://schemas.microsoft.com/office/drawing/2014/main" id="{00000000-0008-0000-0000-0000EE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981" name="TextBox 6980">
          <a:extLst>
            <a:ext uri="{FF2B5EF4-FFF2-40B4-BE49-F238E27FC236}">
              <a16:creationId xmlns:a16="http://schemas.microsoft.com/office/drawing/2014/main" id="{00000000-0008-0000-0000-0000EF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982" name="TextBox 6981">
          <a:extLst>
            <a:ext uri="{FF2B5EF4-FFF2-40B4-BE49-F238E27FC236}">
              <a16:creationId xmlns:a16="http://schemas.microsoft.com/office/drawing/2014/main" id="{00000000-0008-0000-0000-0000F0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983" name="TextBox 6982">
          <a:extLst>
            <a:ext uri="{FF2B5EF4-FFF2-40B4-BE49-F238E27FC236}">
              <a16:creationId xmlns:a16="http://schemas.microsoft.com/office/drawing/2014/main" id="{00000000-0008-0000-0000-0000F1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984" name="TextBox 6983">
          <a:extLst>
            <a:ext uri="{FF2B5EF4-FFF2-40B4-BE49-F238E27FC236}">
              <a16:creationId xmlns:a16="http://schemas.microsoft.com/office/drawing/2014/main" id="{00000000-0008-0000-0000-0000F2010000}"/>
            </a:ext>
          </a:extLst>
        </xdr:cNvPr>
        <xdr:cNvSpPr txBox="1"/>
      </xdr:nvSpPr>
      <xdr:spPr>
        <a:xfrm>
          <a:off x="1258062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985" name="TextBox 6984">
          <a:extLst>
            <a:ext uri="{FF2B5EF4-FFF2-40B4-BE49-F238E27FC236}">
              <a16:creationId xmlns:a16="http://schemas.microsoft.com/office/drawing/2014/main" id="{00000000-0008-0000-0000-0000F3010000}"/>
            </a:ext>
          </a:extLst>
        </xdr:cNvPr>
        <xdr:cNvSpPr txBox="1"/>
      </xdr:nvSpPr>
      <xdr:spPr>
        <a:xfrm>
          <a:off x="1258062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986" name="TextBox 6985">
          <a:extLst>
            <a:ext uri="{FF2B5EF4-FFF2-40B4-BE49-F238E27FC236}">
              <a16:creationId xmlns:a16="http://schemas.microsoft.com/office/drawing/2014/main" id="{00000000-0008-0000-0000-0000F4010000}"/>
            </a:ext>
          </a:extLst>
        </xdr:cNvPr>
        <xdr:cNvSpPr txBox="1"/>
      </xdr:nvSpPr>
      <xdr:spPr>
        <a:xfrm>
          <a:off x="1258062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987" name="TextBox 6986">
          <a:extLst>
            <a:ext uri="{FF2B5EF4-FFF2-40B4-BE49-F238E27FC236}">
              <a16:creationId xmlns:a16="http://schemas.microsoft.com/office/drawing/2014/main" id="{00000000-0008-0000-0000-0000F5010000}"/>
            </a:ext>
          </a:extLst>
        </xdr:cNvPr>
        <xdr:cNvSpPr txBox="1"/>
      </xdr:nvSpPr>
      <xdr:spPr>
        <a:xfrm>
          <a:off x="1258062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988" name="TextBox 6987">
          <a:extLst>
            <a:ext uri="{FF2B5EF4-FFF2-40B4-BE49-F238E27FC236}">
              <a16:creationId xmlns:a16="http://schemas.microsoft.com/office/drawing/2014/main" id="{00000000-0008-0000-0000-0000F6010000}"/>
            </a:ext>
          </a:extLst>
        </xdr:cNvPr>
        <xdr:cNvSpPr txBox="1"/>
      </xdr:nvSpPr>
      <xdr:spPr>
        <a:xfrm>
          <a:off x="1258062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989" name="TextBox 6988">
          <a:extLst>
            <a:ext uri="{FF2B5EF4-FFF2-40B4-BE49-F238E27FC236}">
              <a16:creationId xmlns:a16="http://schemas.microsoft.com/office/drawing/2014/main" id="{00000000-0008-0000-0000-0000F7010000}"/>
            </a:ext>
          </a:extLst>
        </xdr:cNvPr>
        <xdr:cNvSpPr txBox="1"/>
      </xdr:nvSpPr>
      <xdr:spPr>
        <a:xfrm>
          <a:off x="1258062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990" name="TextBox 6989">
          <a:extLst>
            <a:ext uri="{FF2B5EF4-FFF2-40B4-BE49-F238E27FC236}">
              <a16:creationId xmlns:a16="http://schemas.microsoft.com/office/drawing/2014/main" id="{00000000-0008-0000-0000-0000F8010000}"/>
            </a:ext>
          </a:extLst>
        </xdr:cNvPr>
        <xdr:cNvSpPr txBox="1"/>
      </xdr:nvSpPr>
      <xdr:spPr>
        <a:xfrm>
          <a:off x="1258062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991" name="TextBox 6990">
          <a:extLst>
            <a:ext uri="{FF2B5EF4-FFF2-40B4-BE49-F238E27FC236}">
              <a16:creationId xmlns:a16="http://schemas.microsoft.com/office/drawing/2014/main" id="{00000000-0008-0000-0000-0000F9010000}"/>
            </a:ext>
          </a:extLst>
        </xdr:cNvPr>
        <xdr:cNvSpPr txBox="1"/>
      </xdr:nvSpPr>
      <xdr:spPr>
        <a:xfrm>
          <a:off x="1258062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6992" name="TextBox 6991">
          <a:extLst>
            <a:ext uri="{FF2B5EF4-FFF2-40B4-BE49-F238E27FC236}">
              <a16:creationId xmlns:a16="http://schemas.microsoft.com/office/drawing/2014/main" id="{D790F7C5-4FB4-4169-AECB-29A162C3B4E0}"/>
            </a:ext>
          </a:extLst>
        </xdr:cNvPr>
        <xdr:cNvSpPr txBox="1"/>
      </xdr:nvSpPr>
      <xdr:spPr>
        <a:xfrm>
          <a:off x="12580620" y="35593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6993" name="TextBox 6992">
          <a:extLst>
            <a:ext uri="{FF2B5EF4-FFF2-40B4-BE49-F238E27FC236}">
              <a16:creationId xmlns:a16="http://schemas.microsoft.com/office/drawing/2014/main" id="{4B3266CB-1924-4B0B-A63A-F668BBA86148}"/>
            </a:ext>
          </a:extLst>
        </xdr:cNvPr>
        <xdr:cNvSpPr txBox="1"/>
      </xdr:nvSpPr>
      <xdr:spPr>
        <a:xfrm>
          <a:off x="12580620" y="35593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6994" name="TextBox 6993">
          <a:extLst>
            <a:ext uri="{FF2B5EF4-FFF2-40B4-BE49-F238E27FC236}">
              <a16:creationId xmlns:a16="http://schemas.microsoft.com/office/drawing/2014/main" id="{CBC7410D-7C3A-41C0-B6C7-F75F0212AE33}"/>
            </a:ext>
          </a:extLst>
        </xdr:cNvPr>
        <xdr:cNvSpPr txBox="1"/>
      </xdr:nvSpPr>
      <xdr:spPr>
        <a:xfrm>
          <a:off x="12580620" y="35593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6995" name="TextBox 6994">
          <a:extLst>
            <a:ext uri="{FF2B5EF4-FFF2-40B4-BE49-F238E27FC236}">
              <a16:creationId xmlns:a16="http://schemas.microsoft.com/office/drawing/2014/main" id="{50BBF757-870F-4C5F-8A6D-BB01D20FB785}"/>
            </a:ext>
          </a:extLst>
        </xdr:cNvPr>
        <xdr:cNvSpPr txBox="1"/>
      </xdr:nvSpPr>
      <xdr:spPr>
        <a:xfrm>
          <a:off x="12580620" y="35593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6996" name="TextBox 6995">
          <a:extLst>
            <a:ext uri="{FF2B5EF4-FFF2-40B4-BE49-F238E27FC236}">
              <a16:creationId xmlns:a16="http://schemas.microsoft.com/office/drawing/2014/main" id="{924A6A0B-67A0-4D39-98DD-B4890EA7059F}"/>
            </a:ext>
          </a:extLst>
        </xdr:cNvPr>
        <xdr:cNvSpPr txBox="1"/>
      </xdr:nvSpPr>
      <xdr:spPr>
        <a:xfrm>
          <a:off x="12580620" y="35593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6997" name="TextBox 6996">
          <a:extLst>
            <a:ext uri="{FF2B5EF4-FFF2-40B4-BE49-F238E27FC236}">
              <a16:creationId xmlns:a16="http://schemas.microsoft.com/office/drawing/2014/main" id="{418D698A-7CAD-4873-9383-980E4B117409}"/>
            </a:ext>
          </a:extLst>
        </xdr:cNvPr>
        <xdr:cNvSpPr txBox="1"/>
      </xdr:nvSpPr>
      <xdr:spPr>
        <a:xfrm>
          <a:off x="12580620" y="35593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6998" name="TextBox 6997">
          <a:extLst>
            <a:ext uri="{FF2B5EF4-FFF2-40B4-BE49-F238E27FC236}">
              <a16:creationId xmlns:a16="http://schemas.microsoft.com/office/drawing/2014/main" id="{D4576B78-2AC7-4FA0-B5A6-410991F126C0}"/>
            </a:ext>
          </a:extLst>
        </xdr:cNvPr>
        <xdr:cNvSpPr txBox="1"/>
      </xdr:nvSpPr>
      <xdr:spPr>
        <a:xfrm>
          <a:off x="12580620" y="35593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6999" name="TextBox 6998">
          <a:extLst>
            <a:ext uri="{FF2B5EF4-FFF2-40B4-BE49-F238E27FC236}">
              <a16:creationId xmlns:a16="http://schemas.microsoft.com/office/drawing/2014/main" id="{3F70C200-9F35-47B9-A6A0-8BD020BFA9F5}"/>
            </a:ext>
          </a:extLst>
        </xdr:cNvPr>
        <xdr:cNvSpPr txBox="1"/>
      </xdr:nvSpPr>
      <xdr:spPr>
        <a:xfrm>
          <a:off x="12580620" y="35593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7000" name="TextBox 6999">
          <a:extLst>
            <a:ext uri="{FF2B5EF4-FFF2-40B4-BE49-F238E27FC236}">
              <a16:creationId xmlns:a16="http://schemas.microsoft.com/office/drawing/2014/main" id="{B21B1052-165D-406E-ACA9-FA2B1238ADAA}"/>
            </a:ext>
          </a:extLst>
        </xdr:cNvPr>
        <xdr:cNvSpPr txBox="1"/>
      </xdr:nvSpPr>
      <xdr:spPr>
        <a:xfrm>
          <a:off x="12580620" y="35593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7001" name="TextBox 7000">
          <a:extLst>
            <a:ext uri="{FF2B5EF4-FFF2-40B4-BE49-F238E27FC236}">
              <a16:creationId xmlns:a16="http://schemas.microsoft.com/office/drawing/2014/main" id="{65417AB6-2889-49DD-9AEF-7149F5D9B7B2}"/>
            </a:ext>
          </a:extLst>
        </xdr:cNvPr>
        <xdr:cNvSpPr txBox="1"/>
      </xdr:nvSpPr>
      <xdr:spPr>
        <a:xfrm>
          <a:off x="12580620" y="35593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7002" name="TextBox 7001">
          <a:extLst>
            <a:ext uri="{FF2B5EF4-FFF2-40B4-BE49-F238E27FC236}">
              <a16:creationId xmlns:a16="http://schemas.microsoft.com/office/drawing/2014/main" id="{7BF692BA-8340-4141-BC82-F9CF78D79873}"/>
            </a:ext>
          </a:extLst>
        </xdr:cNvPr>
        <xdr:cNvSpPr txBox="1"/>
      </xdr:nvSpPr>
      <xdr:spPr>
        <a:xfrm>
          <a:off x="12580620" y="35593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7003" name="TextBox 7002">
          <a:extLst>
            <a:ext uri="{FF2B5EF4-FFF2-40B4-BE49-F238E27FC236}">
              <a16:creationId xmlns:a16="http://schemas.microsoft.com/office/drawing/2014/main" id="{79127C80-C540-411B-B139-200EBBA5DA66}"/>
            </a:ext>
          </a:extLst>
        </xdr:cNvPr>
        <xdr:cNvSpPr txBox="1"/>
      </xdr:nvSpPr>
      <xdr:spPr>
        <a:xfrm>
          <a:off x="12580620" y="35593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7004" name="TextBox 7003">
          <a:extLst>
            <a:ext uri="{FF2B5EF4-FFF2-40B4-BE49-F238E27FC236}">
              <a16:creationId xmlns:a16="http://schemas.microsoft.com/office/drawing/2014/main" id="{B67D3F3D-F87A-4ACF-91FC-9A53D5A2D4D3}"/>
            </a:ext>
          </a:extLst>
        </xdr:cNvPr>
        <xdr:cNvSpPr txBox="1"/>
      </xdr:nvSpPr>
      <xdr:spPr>
        <a:xfrm>
          <a:off x="12580620" y="35593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7005" name="TextBox 7004">
          <a:extLst>
            <a:ext uri="{FF2B5EF4-FFF2-40B4-BE49-F238E27FC236}">
              <a16:creationId xmlns:a16="http://schemas.microsoft.com/office/drawing/2014/main" id="{58EC8DC8-71FC-42BE-93DA-79FE716E2108}"/>
            </a:ext>
          </a:extLst>
        </xdr:cNvPr>
        <xdr:cNvSpPr txBox="1"/>
      </xdr:nvSpPr>
      <xdr:spPr>
        <a:xfrm>
          <a:off x="12580620" y="35593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7006" name="TextBox 7005">
          <a:extLst>
            <a:ext uri="{FF2B5EF4-FFF2-40B4-BE49-F238E27FC236}">
              <a16:creationId xmlns:a16="http://schemas.microsoft.com/office/drawing/2014/main" id="{7B7B12E6-3D6A-411C-8750-B2D904ED71B9}"/>
            </a:ext>
          </a:extLst>
        </xdr:cNvPr>
        <xdr:cNvSpPr txBox="1"/>
      </xdr:nvSpPr>
      <xdr:spPr>
        <a:xfrm>
          <a:off x="1258062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7007" name="TextBox 7006">
          <a:extLst>
            <a:ext uri="{FF2B5EF4-FFF2-40B4-BE49-F238E27FC236}">
              <a16:creationId xmlns:a16="http://schemas.microsoft.com/office/drawing/2014/main" id="{F482887C-F492-4307-823C-4E10D7821CC6}"/>
            </a:ext>
          </a:extLst>
        </xdr:cNvPr>
        <xdr:cNvSpPr txBox="1"/>
      </xdr:nvSpPr>
      <xdr:spPr>
        <a:xfrm>
          <a:off x="1258062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7008" name="TextBox 7007">
          <a:extLst>
            <a:ext uri="{FF2B5EF4-FFF2-40B4-BE49-F238E27FC236}">
              <a16:creationId xmlns:a16="http://schemas.microsoft.com/office/drawing/2014/main" id="{0949CA64-0CC0-4B53-A59D-24AD43506153}"/>
            </a:ext>
          </a:extLst>
        </xdr:cNvPr>
        <xdr:cNvSpPr txBox="1"/>
      </xdr:nvSpPr>
      <xdr:spPr>
        <a:xfrm>
          <a:off x="1258062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7009" name="TextBox 7008">
          <a:extLst>
            <a:ext uri="{FF2B5EF4-FFF2-40B4-BE49-F238E27FC236}">
              <a16:creationId xmlns:a16="http://schemas.microsoft.com/office/drawing/2014/main" id="{AF47DE7E-DEEE-4D8F-BEA0-B678FC4108A0}"/>
            </a:ext>
          </a:extLst>
        </xdr:cNvPr>
        <xdr:cNvSpPr txBox="1"/>
      </xdr:nvSpPr>
      <xdr:spPr>
        <a:xfrm>
          <a:off x="1258062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7010" name="TextBox 7009">
          <a:extLst>
            <a:ext uri="{FF2B5EF4-FFF2-40B4-BE49-F238E27FC236}">
              <a16:creationId xmlns:a16="http://schemas.microsoft.com/office/drawing/2014/main" id="{50B7B56B-3E53-478E-BD2A-1CB44BB0EE30}"/>
            </a:ext>
          </a:extLst>
        </xdr:cNvPr>
        <xdr:cNvSpPr txBox="1"/>
      </xdr:nvSpPr>
      <xdr:spPr>
        <a:xfrm>
          <a:off x="1258062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7011" name="TextBox 7010">
          <a:extLst>
            <a:ext uri="{FF2B5EF4-FFF2-40B4-BE49-F238E27FC236}">
              <a16:creationId xmlns:a16="http://schemas.microsoft.com/office/drawing/2014/main" id="{9A76D97E-F211-4995-A860-8787CD5178FF}"/>
            </a:ext>
          </a:extLst>
        </xdr:cNvPr>
        <xdr:cNvSpPr txBox="1"/>
      </xdr:nvSpPr>
      <xdr:spPr>
        <a:xfrm>
          <a:off x="1258062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7012" name="TextBox 7011">
          <a:extLst>
            <a:ext uri="{FF2B5EF4-FFF2-40B4-BE49-F238E27FC236}">
              <a16:creationId xmlns:a16="http://schemas.microsoft.com/office/drawing/2014/main" id="{9FC70A70-D526-4203-8E11-372D840B6103}"/>
            </a:ext>
          </a:extLst>
        </xdr:cNvPr>
        <xdr:cNvSpPr txBox="1"/>
      </xdr:nvSpPr>
      <xdr:spPr>
        <a:xfrm>
          <a:off x="1258062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7013" name="TextBox 7012">
          <a:extLst>
            <a:ext uri="{FF2B5EF4-FFF2-40B4-BE49-F238E27FC236}">
              <a16:creationId xmlns:a16="http://schemas.microsoft.com/office/drawing/2014/main" id="{4F6B1A49-C9DC-473C-8ECD-E788E907B701}"/>
            </a:ext>
          </a:extLst>
        </xdr:cNvPr>
        <xdr:cNvSpPr txBox="1"/>
      </xdr:nvSpPr>
      <xdr:spPr>
        <a:xfrm>
          <a:off x="1258062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7014" name="TextBox 7013">
          <a:extLst>
            <a:ext uri="{FF2B5EF4-FFF2-40B4-BE49-F238E27FC236}">
              <a16:creationId xmlns:a16="http://schemas.microsoft.com/office/drawing/2014/main" id="{7249EAE9-2088-4834-9241-A764E60A6F18}"/>
            </a:ext>
          </a:extLst>
        </xdr:cNvPr>
        <xdr:cNvSpPr txBox="1"/>
      </xdr:nvSpPr>
      <xdr:spPr>
        <a:xfrm>
          <a:off x="1258062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7015" name="TextBox 7014">
          <a:extLst>
            <a:ext uri="{FF2B5EF4-FFF2-40B4-BE49-F238E27FC236}">
              <a16:creationId xmlns:a16="http://schemas.microsoft.com/office/drawing/2014/main" id="{CEEDDCB2-23A2-47B2-AA3F-37312ED4C714}"/>
            </a:ext>
          </a:extLst>
        </xdr:cNvPr>
        <xdr:cNvSpPr txBox="1"/>
      </xdr:nvSpPr>
      <xdr:spPr>
        <a:xfrm>
          <a:off x="1258062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7016" name="TextBox 7015">
          <a:extLst>
            <a:ext uri="{FF2B5EF4-FFF2-40B4-BE49-F238E27FC236}">
              <a16:creationId xmlns:a16="http://schemas.microsoft.com/office/drawing/2014/main" id="{C53CCEBA-D398-4C3C-8E47-107C27B759C1}"/>
            </a:ext>
          </a:extLst>
        </xdr:cNvPr>
        <xdr:cNvSpPr txBox="1"/>
      </xdr:nvSpPr>
      <xdr:spPr>
        <a:xfrm>
          <a:off x="1258062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7017" name="TextBox 7016">
          <a:extLst>
            <a:ext uri="{FF2B5EF4-FFF2-40B4-BE49-F238E27FC236}">
              <a16:creationId xmlns:a16="http://schemas.microsoft.com/office/drawing/2014/main" id="{C8C855ED-970E-43B8-A5B1-6F6ADBB998A9}"/>
            </a:ext>
          </a:extLst>
        </xdr:cNvPr>
        <xdr:cNvSpPr txBox="1"/>
      </xdr:nvSpPr>
      <xdr:spPr>
        <a:xfrm>
          <a:off x="1258062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7018" name="TextBox 7017">
          <a:extLst>
            <a:ext uri="{FF2B5EF4-FFF2-40B4-BE49-F238E27FC236}">
              <a16:creationId xmlns:a16="http://schemas.microsoft.com/office/drawing/2014/main" id="{E705C099-0DDB-4CBB-91AA-6BD578E38D4C}"/>
            </a:ext>
          </a:extLst>
        </xdr:cNvPr>
        <xdr:cNvSpPr txBox="1"/>
      </xdr:nvSpPr>
      <xdr:spPr>
        <a:xfrm>
          <a:off x="1258062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7019" name="TextBox 7018">
          <a:extLst>
            <a:ext uri="{FF2B5EF4-FFF2-40B4-BE49-F238E27FC236}">
              <a16:creationId xmlns:a16="http://schemas.microsoft.com/office/drawing/2014/main" id="{ADA9DEB9-F0D8-4AB1-B42C-8371D735EDB0}"/>
            </a:ext>
          </a:extLst>
        </xdr:cNvPr>
        <xdr:cNvSpPr txBox="1"/>
      </xdr:nvSpPr>
      <xdr:spPr>
        <a:xfrm>
          <a:off x="1258062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7020" name="TextBox 7019">
          <a:extLst>
            <a:ext uri="{FF2B5EF4-FFF2-40B4-BE49-F238E27FC236}">
              <a16:creationId xmlns:a16="http://schemas.microsoft.com/office/drawing/2014/main" id="{709CBE26-A551-4C7C-A384-D56B48045E68}"/>
            </a:ext>
          </a:extLst>
        </xdr:cNvPr>
        <xdr:cNvSpPr txBox="1"/>
      </xdr:nvSpPr>
      <xdr:spPr>
        <a:xfrm>
          <a:off x="1258062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7021" name="TextBox 7020">
          <a:extLst>
            <a:ext uri="{FF2B5EF4-FFF2-40B4-BE49-F238E27FC236}">
              <a16:creationId xmlns:a16="http://schemas.microsoft.com/office/drawing/2014/main" id="{FCF004D5-83CC-4601-BE3C-2D350D291279}"/>
            </a:ext>
          </a:extLst>
        </xdr:cNvPr>
        <xdr:cNvSpPr txBox="1"/>
      </xdr:nvSpPr>
      <xdr:spPr>
        <a:xfrm>
          <a:off x="1258062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7022" name="TextBox 7021">
          <a:extLst>
            <a:ext uri="{FF2B5EF4-FFF2-40B4-BE49-F238E27FC236}">
              <a16:creationId xmlns:a16="http://schemas.microsoft.com/office/drawing/2014/main" id="{27CE9EF6-2DFA-4778-9205-D83560524403}"/>
            </a:ext>
          </a:extLst>
        </xdr:cNvPr>
        <xdr:cNvSpPr txBox="1"/>
      </xdr:nvSpPr>
      <xdr:spPr>
        <a:xfrm>
          <a:off x="1258062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7023" name="TextBox 7022">
          <a:extLst>
            <a:ext uri="{FF2B5EF4-FFF2-40B4-BE49-F238E27FC236}">
              <a16:creationId xmlns:a16="http://schemas.microsoft.com/office/drawing/2014/main" id="{AEF2C205-301C-4560-BC83-375E974BCEAF}"/>
            </a:ext>
          </a:extLst>
        </xdr:cNvPr>
        <xdr:cNvSpPr txBox="1"/>
      </xdr:nvSpPr>
      <xdr:spPr>
        <a:xfrm>
          <a:off x="1258062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7024" name="TextBox 7023">
          <a:extLst>
            <a:ext uri="{FF2B5EF4-FFF2-40B4-BE49-F238E27FC236}">
              <a16:creationId xmlns:a16="http://schemas.microsoft.com/office/drawing/2014/main" id="{3DCCF9ED-9B1F-4DC7-B839-6E3EB677417B}"/>
            </a:ext>
          </a:extLst>
        </xdr:cNvPr>
        <xdr:cNvSpPr txBox="1"/>
      </xdr:nvSpPr>
      <xdr:spPr>
        <a:xfrm>
          <a:off x="1258062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7025" name="TextBox 7024">
          <a:extLst>
            <a:ext uri="{FF2B5EF4-FFF2-40B4-BE49-F238E27FC236}">
              <a16:creationId xmlns:a16="http://schemas.microsoft.com/office/drawing/2014/main" id="{3D9466B2-EB98-463C-88EA-A326C523B5D8}"/>
            </a:ext>
          </a:extLst>
        </xdr:cNvPr>
        <xdr:cNvSpPr txBox="1"/>
      </xdr:nvSpPr>
      <xdr:spPr>
        <a:xfrm>
          <a:off x="1258062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7026" name="TextBox 7025">
          <a:extLst>
            <a:ext uri="{FF2B5EF4-FFF2-40B4-BE49-F238E27FC236}">
              <a16:creationId xmlns:a16="http://schemas.microsoft.com/office/drawing/2014/main" id="{0F2E4FBC-6F9D-49D8-B320-D21C3287204C}"/>
            </a:ext>
          </a:extLst>
        </xdr:cNvPr>
        <xdr:cNvSpPr txBox="1"/>
      </xdr:nvSpPr>
      <xdr:spPr>
        <a:xfrm>
          <a:off x="1258062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7027" name="TextBox 7026">
          <a:extLst>
            <a:ext uri="{FF2B5EF4-FFF2-40B4-BE49-F238E27FC236}">
              <a16:creationId xmlns:a16="http://schemas.microsoft.com/office/drawing/2014/main" id="{9EE8A67A-FC51-41CC-B6A6-507074A0155B}"/>
            </a:ext>
          </a:extLst>
        </xdr:cNvPr>
        <xdr:cNvSpPr txBox="1"/>
      </xdr:nvSpPr>
      <xdr:spPr>
        <a:xfrm>
          <a:off x="1258062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7028" name="TextBox 7027">
          <a:extLst>
            <a:ext uri="{FF2B5EF4-FFF2-40B4-BE49-F238E27FC236}">
              <a16:creationId xmlns:a16="http://schemas.microsoft.com/office/drawing/2014/main" id="{E3EE1ED8-1246-4E13-86A2-D686D3F3CFAC}"/>
            </a:ext>
          </a:extLst>
        </xdr:cNvPr>
        <xdr:cNvSpPr txBox="1"/>
      </xdr:nvSpPr>
      <xdr:spPr>
        <a:xfrm>
          <a:off x="1258062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7029" name="TextBox 7028">
          <a:extLst>
            <a:ext uri="{FF2B5EF4-FFF2-40B4-BE49-F238E27FC236}">
              <a16:creationId xmlns:a16="http://schemas.microsoft.com/office/drawing/2014/main" id="{112F0F0B-ABFD-4DDD-BCB9-10FEAFDB5AD9}"/>
            </a:ext>
          </a:extLst>
        </xdr:cNvPr>
        <xdr:cNvSpPr txBox="1"/>
      </xdr:nvSpPr>
      <xdr:spPr>
        <a:xfrm>
          <a:off x="1258062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7030" name="TextBox 7029">
          <a:extLst>
            <a:ext uri="{FF2B5EF4-FFF2-40B4-BE49-F238E27FC236}">
              <a16:creationId xmlns:a16="http://schemas.microsoft.com/office/drawing/2014/main" id="{12EDF718-BDAC-48A4-BBFB-24DCD5C1D4FC}"/>
            </a:ext>
          </a:extLst>
        </xdr:cNvPr>
        <xdr:cNvSpPr txBox="1"/>
      </xdr:nvSpPr>
      <xdr:spPr>
        <a:xfrm>
          <a:off x="1258062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7031" name="TextBox 7030">
          <a:extLst>
            <a:ext uri="{FF2B5EF4-FFF2-40B4-BE49-F238E27FC236}">
              <a16:creationId xmlns:a16="http://schemas.microsoft.com/office/drawing/2014/main" id="{B3B85458-8D8F-4F12-B7C0-DC92B39A1F35}"/>
            </a:ext>
          </a:extLst>
        </xdr:cNvPr>
        <xdr:cNvSpPr txBox="1"/>
      </xdr:nvSpPr>
      <xdr:spPr>
        <a:xfrm>
          <a:off x="1258062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7032" name="TextBox 7031">
          <a:extLst>
            <a:ext uri="{FF2B5EF4-FFF2-40B4-BE49-F238E27FC236}">
              <a16:creationId xmlns:a16="http://schemas.microsoft.com/office/drawing/2014/main" id="{BF066412-0AC2-4C2B-9E92-DFE86D6A185E}"/>
            </a:ext>
          </a:extLst>
        </xdr:cNvPr>
        <xdr:cNvSpPr txBox="1"/>
      </xdr:nvSpPr>
      <xdr:spPr>
        <a:xfrm>
          <a:off x="1258062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7033" name="TextBox 7032">
          <a:extLst>
            <a:ext uri="{FF2B5EF4-FFF2-40B4-BE49-F238E27FC236}">
              <a16:creationId xmlns:a16="http://schemas.microsoft.com/office/drawing/2014/main" id="{F84E80ED-F217-41BA-9FA6-C1DBC25F3A17}"/>
            </a:ext>
          </a:extLst>
        </xdr:cNvPr>
        <xdr:cNvSpPr txBox="1"/>
      </xdr:nvSpPr>
      <xdr:spPr>
        <a:xfrm>
          <a:off x="1258062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7034" name="TextBox 7033">
          <a:extLst>
            <a:ext uri="{FF2B5EF4-FFF2-40B4-BE49-F238E27FC236}">
              <a16:creationId xmlns:a16="http://schemas.microsoft.com/office/drawing/2014/main" id="{3C382DA0-3B16-41EA-A4C3-F0294E849D64}"/>
            </a:ext>
          </a:extLst>
        </xdr:cNvPr>
        <xdr:cNvSpPr txBox="1"/>
      </xdr:nvSpPr>
      <xdr:spPr>
        <a:xfrm>
          <a:off x="826770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7035" name="TextBox 7034">
          <a:extLst>
            <a:ext uri="{FF2B5EF4-FFF2-40B4-BE49-F238E27FC236}">
              <a16:creationId xmlns:a16="http://schemas.microsoft.com/office/drawing/2014/main" id="{BD9C7CBD-CBB6-4FCD-99C9-50F7AA79373D}"/>
            </a:ext>
          </a:extLst>
        </xdr:cNvPr>
        <xdr:cNvSpPr txBox="1"/>
      </xdr:nvSpPr>
      <xdr:spPr>
        <a:xfrm>
          <a:off x="826770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7036" name="TextBox 7035">
          <a:extLst>
            <a:ext uri="{FF2B5EF4-FFF2-40B4-BE49-F238E27FC236}">
              <a16:creationId xmlns:a16="http://schemas.microsoft.com/office/drawing/2014/main" id="{8BB1ED4C-16A8-478A-86C0-5203F18D91C6}"/>
            </a:ext>
          </a:extLst>
        </xdr:cNvPr>
        <xdr:cNvSpPr txBox="1"/>
      </xdr:nvSpPr>
      <xdr:spPr>
        <a:xfrm>
          <a:off x="826770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7037" name="TextBox 7036">
          <a:extLst>
            <a:ext uri="{FF2B5EF4-FFF2-40B4-BE49-F238E27FC236}">
              <a16:creationId xmlns:a16="http://schemas.microsoft.com/office/drawing/2014/main" id="{0091D645-A26B-466F-B352-25C3FB39D6F1}"/>
            </a:ext>
          </a:extLst>
        </xdr:cNvPr>
        <xdr:cNvSpPr txBox="1"/>
      </xdr:nvSpPr>
      <xdr:spPr>
        <a:xfrm>
          <a:off x="826770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7038" name="TextBox 7037">
          <a:extLst>
            <a:ext uri="{FF2B5EF4-FFF2-40B4-BE49-F238E27FC236}">
              <a16:creationId xmlns:a16="http://schemas.microsoft.com/office/drawing/2014/main" id="{35EF0C43-E328-462B-AF19-6E1DCE23D6A4}"/>
            </a:ext>
          </a:extLst>
        </xdr:cNvPr>
        <xdr:cNvSpPr txBox="1"/>
      </xdr:nvSpPr>
      <xdr:spPr>
        <a:xfrm>
          <a:off x="826770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7039" name="TextBox 7038">
          <a:extLst>
            <a:ext uri="{FF2B5EF4-FFF2-40B4-BE49-F238E27FC236}">
              <a16:creationId xmlns:a16="http://schemas.microsoft.com/office/drawing/2014/main" id="{5C728BC9-EF9C-4834-85EB-89B8DA8B60FA}"/>
            </a:ext>
          </a:extLst>
        </xdr:cNvPr>
        <xdr:cNvSpPr txBox="1"/>
      </xdr:nvSpPr>
      <xdr:spPr>
        <a:xfrm>
          <a:off x="826770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7040" name="TextBox 7039">
          <a:extLst>
            <a:ext uri="{FF2B5EF4-FFF2-40B4-BE49-F238E27FC236}">
              <a16:creationId xmlns:a16="http://schemas.microsoft.com/office/drawing/2014/main" id="{79B0426E-FC29-4C02-A446-18A8617AD030}"/>
            </a:ext>
          </a:extLst>
        </xdr:cNvPr>
        <xdr:cNvSpPr txBox="1"/>
      </xdr:nvSpPr>
      <xdr:spPr>
        <a:xfrm>
          <a:off x="826770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7041" name="TextBox 7040">
          <a:extLst>
            <a:ext uri="{FF2B5EF4-FFF2-40B4-BE49-F238E27FC236}">
              <a16:creationId xmlns:a16="http://schemas.microsoft.com/office/drawing/2014/main" id="{33FA89B9-E063-4E24-A294-250746A07989}"/>
            </a:ext>
          </a:extLst>
        </xdr:cNvPr>
        <xdr:cNvSpPr txBox="1"/>
      </xdr:nvSpPr>
      <xdr:spPr>
        <a:xfrm>
          <a:off x="826770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7042" name="TextBox 7041">
          <a:extLst>
            <a:ext uri="{FF2B5EF4-FFF2-40B4-BE49-F238E27FC236}">
              <a16:creationId xmlns:a16="http://schemas.microsoft.com/office/drawing/2014/main" id="{2AF33786-6F2B-4820-BF34-97EB9446272D}"/>
            </a:ext>
          </a:extLst>
        </xdr:cNvPr>
        <xdr:cNvSpPr txBox="1"/>
      </xdr:nvSpPr>
      <xdr:spPr>
        <a:xfrm>
          <a:off x="826770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7043" name="TextBox 7042">
          <a:extLst>
            <a:ext uri="{FF2B5EF4-FFF2-40B4-BE49-F238E27FC236}">
              <a16:creationId xmlns:a16="http://schemas.microsoft.com/office/drawing/2014/main" id="{074AF2E0-FEDD-4259-BC34-F834F8835ABA}"/>
            </a:ext>
          </a:extLst>
        </xdr:cNvPr>
        <xdr:cNvSpPr txBox="1"/>
      </xdr:nvSpPr>
      <xdr:spPr>
        <a:xfrm>
          <a:off x="826770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7044" name="TextBox 7043">
          <a:extLst>
            <a:ext uri="{FF2B5EF4-FFF2-40B4-BE49-F238E27FC236}">
              <a16:creationId xmlns:a16="http://schemas.microsoft.com/office/drawing/2014/main" id="{E32CFB6A-0BC3-4882-BA93-3663F1478B4B}"/>
            </a:ext>
          </a:extLst>
        </xdr:cNvPr>
        <xdr:cNvSpPr txBox="1"/>
      </xdr:nvSpPr>
      <xdr:spPr>
        <a:xfrm>
          <a:off x="826770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7045" name="TextBox 7044">
          <a:extLst>
            <a:ext uri="{FF2B5EF4-FFF2-40B4-BE49-F238E27FC236}">
              <a16:creationId xmlns:a16="http://schemas.microsoft.com/office/drawing/2014/main" id="{232C319A-A05C-4E4C-B70F-53CD62844786}"/>
            </a:ext>
          </a:extLst>
        </xdr:cNvPr>
        <xdr:cNvSpPr txBox="1"/>
      </xdr:nvSpPr>
      <xdr:spPr>
        <a:xfrm>
          <a:off x="826770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7046" name="TextBox 7045">
          <a:extLst>
            <a:ext uri="{FF2B5EF4-FFF2-40B4-BE49-F238E27FC236}">
              <a16:creationId xmlns:a16="http://schemas.microsoft.com/office/drawing/2014/main" id="{E7B4BF10-06BE-40D4-B8CD-1D183900F7FC}"/>
            </a:ext>
          </a:extLst>
        </xdr:cNvPr>
        <xdr:cNvSpPr txBox="1"/>
      </xdr:nvSpPr>
      <xdr:spPr>
        <a:xfrm>
          <a:off x="826770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7047" name="TextBox 7046">
          <a:extLst>
            <a:ext uri="{FF2B5EF4-FFF2-40B4-BE49-F238E27FC236}">
              <a16:creationId xmlns:a16="http://schemas.microsoft.com/office/drawing/2014/main" id="{5A18EA2C-8FCD-4B09-9628-684BB05FC0EE}"/>
            </a:ext>
          </a:extLst>
        </xdr:cNvPr>
        <xdr:cNvSpPr txBox="1"/>
      </xdr:nvSpPr>
      <xdr:spPr>
        <a:xfrm>
          <a:off x="826770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7048" name="TextBox 7047">
          <a:extLst>
            <a:ext uri="{FF2B5EF4-FFF2-40B4-BE49-F238E27FC236}">
              <a16:creationId xmlns:a16="http://schemas.microsoft.com/office/drawing/2014/main" id="{9BE79D93-0007-4C2D-B888-2DDD6E273D3D}"/>
            </a:ext>
          </a:extLst>
        </xdr:cNvPr>
        <xdr:cNvSpPr txBox="1"/>
      </xdr:nvSpPr>
      <xdr:spPr>
        <a:xfrm>
          <a:off x="826770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7049" name="TextBox 7048">
          <a:extLst>
            <a:ext uri="{FF2B5EF4-FFF2-40B4-BE49-F238E27FC236}">
              <a16:creationId xmlns:a16="http://schemas.microsoft.com/office/drawing/2014/main" id="{FA01E607-FE1D-4CE4-A5EC-9631927111DD}"/>
            </a:ext>
          </a:extLst>
        </xdr:cNvPr>
        <xdr:cNvSpPr txBox="1"/>
      </xdr:nvSpPr>
      <xdr:spPr>
        <a:xfrm>
          <a:off x="826770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7050" name="TextBox 7049">
          <a:extLst>
            <a:ext uri="{FF2B5EF4-FFF2-40B4-BE49-F238E27FC236}">
              <a16:creationId xmlns:a16="http://schemas.microsoft.com/office/drawing/2014/main" id="{9F570716-4475-4577-B30E-E3D3A48F407D}"/>
            </a:ext>
          </a:extLst>
        </xdr:cNvPr>
        <xdr:cNvSpPr txBox="1"/>
      </xdr:nvSpPr>
      <xdr:spPr>
        <a:xfrm>
          <a:off x="826770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7051" name="TextBox 7050">
          <a:extLst>
            <a:ext uri="{FF2B5EF4-FFF2-40B4-BE49-F238E27FC236}">
              <a16:creationId xmlns:a16="http://schemas.microsoft.com/office/drawing/2014/main" id="{98B6C11F-B14A-4E61-87BD-AFDB290E2A2C}"/>
            </a:ext>
          </a:extLst>
        </xdr:cNvPr>
        <xdr:cNvSpPr txBox="1"/>
      </xdr:nvSpPr>
      <xdr:spPr>
        <a:xfrm>
          <a:off x="826770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7052" name="TextBox 7051">
          <a:extLst>
            <a:ext uri="{FF2B5EF4-FFF2-40B4-BE49-F238E27FC236}">
              <a16:creationId xmlns:a16="http://schemas.microsoft.com/office/drawing/2014/main" id="{3B7AE155-01C5-4D7E-BACB-762DF86AD275}"/>
            </a:ext>
          </a:extLst>
        </xdr:cNvPr>
        <xdr:cNvSpPr txBox="1"/>
      </xdr:nvSpPr>
      <xdr:spPr>
        <a:xfrm>
          <a:off x="826770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7053" name="TextBox 7052">
          <a:extLst>
            <a:ext uri="{FF2B5EF4-FFF2-40B4-BE49-F238E27FC236}">
              <a16:creationId xmlns:a16="http://schemas.microsoft.com/office/drawing/2014/main" id="{1FFE576E-A19D-4D62-9ADD-5266CE1FAD63}"/>
            </a:ext>
          </a:extLst>
        </xdr:cNvPr>
        <xdr:cNvSpPr txBox="1"/>
      </xdr:nvSpPr>
      <xdr:spPr>
        <a:xfrm>
          <a:off x="826770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7054" name="TextBox 7053">
          <a:extLst>
            <a:ext uri="{FF2B5EF4-FFF2-40B4-BE49-F238E27FC236}">
              <a16:creationId xmlns:a16="http://schemas.microsoft.com/office/drawing/2014/main" id="{129DB351-0B99-4004-8BB2-43783478180E}"/>
            </a:ext>
          </a:extLst>
        </xdr:cNvPr>
        <xdr:cNvSpPr txBox="1"/>
      </xdr:nvSpPr>
      <xdr:spPr>
        <a:xfrm>
          <a:off x="826770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7055" name="TextBox 7054">
          <a:extLst>
            <a:ext uri="{FF2B5EF4-FFF2-40B4-BE49-F238E27FC236}">
              <a16:creationId xmlns:a16="http://schemas.microsoft.com/office/drawing/2014/main" id="{4F59AF9B-FC6D-4EB3-B6DE-7607CF46335F}"/>
            </a:ext>
          </a:extLst>
        </xdr:cNvPr>
        <xdr:cNvSpPr txBox="1"/>
      </xdr:nvSpPr>
      <xdr:spPr>
        <a:xfrm>
          <a:off x="826770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7056" name="TextBox 7055">
          <a:extLst>
            <a:ext uri="{FF2B5EF4-FFF2-40B4-BE49-F238E27FC236}">
              <a16:creationId xmlns:a16="http://schemas.microsoft.com/office/drawing/2014/main" id="{176B7034-9AD5-4253-A295-A872DA9D9FB7}"/>
            </a:ext>
          </a:extLst>
        </xdr:cNvPr>
        <xdr:cNvSpPr txBox="1"/>
      </xdr:nvSpPr>
      <xdr:spPr>
        <a:xfrm>
          <a:off x="826770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7057" name="TextBox 7056">
          <a:extLst>
            <a:ext uri="{FF2B5EF4-FFF2-40B4-BE49-F238E27FC236}">
              <a16:creationId xmlns:a16="http://schemas.microsoft.com/office/drawing/2014/main" id="{B1A6011D-893C-4B98-921B-AA87FF1EA0F5}"/>
            </a:ext>
          </a:extLst>
        </xdr:cNvPr>
        <xdr:cNvSpPr txBox="1"/>
      </xdr:nvSpPr>
      <xdr:spPr>
        <a:xfrm>
          <a:off x="826770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7058" name="TextBox 7057">
          <a:extLst>
            <a:ext uri="{FF2B5EF4-FFF2-40B4-BE49-F238E27FC236}">
              <a16:creationId xmlns:a16="http://schemas.microsoft.com/office/drawing/2014/main" id="{C96DDC89-4333-4809-93AD-B3B389EDBD7C}"/>
            </a:ext>
          </a:extLst>
        </xdr:cNvPr>
        <xdr:cNvSpPr txBox="1"/>
      </xdr:nvSpPr>
      <xdr:spPr>
        <a:xfrm>
          <a:off x="826770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7059" name="TextBox 7058">
          <a:extLst>
            <a:ext uri="{FF2B5EF4-FFF2-40B4-BE49-F238E27FC236}">
              <a16:creationId xmlns:a16="http://schemas.microsoft.com/office/drawing/2014/main" id="{E35AF2B5-B026-4EE1-87A0-829741757F6E}"/>
            </a:ext>
          </a:extLst>
        </xdr:cNvPr>
        <xdr:cNvSpPr txBox="1"/>
      </xdr:nvSpPr>
      <xdr:spPr>
        <a:xfrm>
          <a:off x="826770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7060" name="TextBox 7059">
          <a:extLst>
            <a:ext uri="{FF2B5EF4-FFF2-40B4-BE49-F238E27FC236}">
              <a16:creationId xmlns:a16="http://schemas.microsoft.com/office/drawing/2014/main" id="{55A8B43E-7885-4685-A6E4-CBFFACA9E24D}"/>
            </a:ext>
          </a:extLst>
        </xdr:cNvPr>
        <xdr:cNvSpPr txBox="1"/>
      </xdr:nvSpPr>
      <xdr:spPr>
        <a:xfrm>
          <a:off x="826770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7061" name="TextBox 7060">
          <a:extLst>
            <a:ext uri="{FF2B5EF4-FFF2-40B4-BE49-F238E27FC236}">
              <a16:creationId xmlns:a16="http://schemas.microsoft.com/office/drawing/2014/main" id="{7D20861C-376D-4D6E-B29E-125D65F0087F}"/>
            </a:ext>
          </a:extLst>
        </xdr:cNvPr>
        <xdr:cNvSpPr txBox="1"/>
      </xdr:nvSpPr>
      <xdr:spPr>
        <a:xfrm>
          <a:off x="826770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7062" name="TextBox 7061">
          <a:extLst>
            <a:ext uri="{FF2B5EF4-FFF2-40B4-BE49-F238E27FC236}">
              <a16:creationId xmlns:a16="http://schemas.microsoft.com/office/drawing/2014/main" id="{5A7EBEED-7B32-4932-B601-4E52DAD91BA9}"/>
            </a:ext>
          </a:extLst>
        </xdr:cNvPr>
        <xdr:cNvSpPr txBox="1"/>
      </xdr:nvSpPr>
      <xdr:spPr>
        <a:xfrm>
          <a:off x="826770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7063" name="TextBox 7062">
          <a:extLst>
            <a:ext uri="{FF2B5EF4-FFF2-40B4-BE49-F238E27FC236}">
              <a16:creationId xmlns:a16="http://schemas.microsoft.com/office/drawing/2014/main" id="{C7F843F5-8D70-4866-AF80-3CE04DCE90DD}"/>
            </a:ext>
          </a:extLst>
        </xdr:cNvPr>
        <xdr:cNvSpPr txBox="1"/>
      </xdr:nvSpPr>
      <xdr:spPr>
        <a:xfrm>
          <a:off x="826770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7064" name="TextBox 7063">
          <a:extLst>
            <a:ext uri="{FF2B5EF4-FFF2-40B4-BE49-F238E27FC236}">
              <a16:creationId xmlns:a16="http://schemas.microsoft.com/office/drawing/2014/main" id="{32E86947-C5E7-4035-B050-931C9A2F6A6B}"/>
            </a:ext>
          </a:extLst>
        </xdr:cNvPr>
        <xdr:cNvSpPr txBox="1"/>
      </xdr:nvSpPr>
      <xdr:spPr>
        <a:xfrm>
          <a:off x="826770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7065" name="TextBox 7064">
          <a:extLst>
            <a:ext uri="{FF2B5EF4-FFF2-40B4-BE49-F238E27FC236}">
              <a16:creationId xmlns:a16="http://schemas.microsoft.com/office/drawing/2014/main" id="{3DD4913D-DAE8-44B1-B80F-58E6238A88A0}"/>
            </a:ext>
          </a:extLst>
        </xdr:cNvPr>
        <xdr:cNvSpPr txBox="1"/>
      </xdr:nvSpPr>
      <xdr:spPr>
        <a:xfrm>
          <a:off x="826770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7066" name="TextBox 7065">
          <a:extLst>
            <a:ext uri="{FF2B5EF4-FFF2-40B4-BE49-F238E27FC236}">
              <a16:creationId xmlns:a16="http://schemas.microsoft.com/office/drawing/2014/main" id="{8AD5AE77-1A30-472F-BB8C-9B14AEAF4F03}"/>
            </a:ext>
          </a:extLst>
        </xdr:cNvPr>
        <xdr:cNvSpPr txBox="1"/>
      </xdr:nvSpPr>
      <xdr:spPr>
        <a:xfrm>
          <a:off x="826770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7067" name="TextBox 7066">
          <a:extLst>
            <a:ext uri="{FF2B5EF4-FFF2-40B4-BE49-F238E27FC236}">
              <a16:creationId xmlns:a16="http://schemas.microsoft.com/office/drawing/2014/main" id="{DC4AD2B7-7D46-439E-85D2-C8DC05D9B56A}"/>
            </a:ext>
          </a:extLst>
        </xdr:cNvPr>
        <xdr:cNvSpPr txBox="1"/>
      </xdr:nvSpPr>
      <xdr:spPr>
        <a:xfrm>
          <a:off x="826770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7068" name="TextBox 7067">
          <a:extLst>
            <a:ext uri="{FF2B5EF4-FFF2-40B4-BE49-F238E27FC236}">
              <a16:creationId xmlns:a16="http://schemas.microsoft.com/office/drawing/2014/main" id="{E3BA048B-044B-484B-B030-99B3D45036C8}"/>
            </a:ext>
          </a:extLst>
        </xdr:cNvPr>
        <xdr:cNvSpPr txBox="1"/>
      </xdr:nvSpPr>
      <xdr:spPr>
        <a:xfrm>
          <a:off x="826770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7069" name="TextBox 7068">
          <a:extLst>
            <a:ext uri="{FF2B5EF4-FFF2-40B4-BE49-F238E27FC236}">
              <a16:creationId xmlns:a16="http://schemas.microsoft.com/office/drawing/2014/main" id="{FB74539F-F3E6-448C-8660-B891F62E5BC5}"/>
            </a:ext>
          </a:extLst>
        </xdr:cNvPr>
        <xdr:cNvSpPr txBox="1"/>
      </xdr:nvSpPr>
      <xdr:spPr>
        <a:xfrm>
          <a:off x="826770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7070" name="TextBox 7069">
          <a:extLst>
            <a:ext uri="{FF2B5EF4-FFF2-40B4-BE49-F238E27FC236}">
              <a16:creationId xmlns:a16="http://schemas.microsoft.com/office/drawing/2014/main" id="{DD77E41D-DD3F-4DA0-B5BA-C98589822B11}"/>
            </a:ext>
          </a:extLst>
        </xdr:cNvPr>
        <xdr:cNvSpPr txBox="1"/>
      </xdr:nvSpPr>
      <xdr:spPr>
        <a:xfrm>
          <a:off x="826770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7071" name="TextBox 7070">
          <a:extLst>
            <a:ext uri="{FF2B5EF4-FFF2-40B4-BE49-F238E27FC236}">
              <a16:creationId xmlns:a16="http://schemas.microsoft.com/office/drawing/2014/main" id="{A13635F1-5ACB-48BE-A16F-D9529607C046}"/>
            </a:ext>
          </a:extLst>
        </xdr:cNvPr>
        <xdr:cNvSpPr txBox="1"/>
      </xdr:nvSpPr>
      <xdr:spPr>
        <a:xfrm>
          <a:off x="826770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7072" name="TextBox 7071">
          <a:extLst>
            <a:ext uri="{FF2B5EF4-FFF2-40B4-BE49-F238E27FC236}">
              <a16:creationId xmlns:a16="http://schemas.microsoft.com/office/drawing/2014/main" id="{F707F3AF-0F0B-4E04-82AE-E4E43C12C5CA}"/>
            </a:ext>
          </a:extLst>
        </xdr:cNvPr>
        <xdr:cNvSpPr txBox="1"/>
      </xdr:nvSpPr>
      <xdr:spPr>
        <a:xfrm>
          <a:off x="826770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7073" name="TextBox 7072">
          <a:extLst>
            <a:ext uri="{FF2B5EF4-FFF2-40B4-BE49-F238E27FC236}">
              <a16:creationId xmlns:a16="http://schemas.microsoft.com/office/drawing/2014/main" id="{6E98DD5A-05AD-45C2-8D4B-6605140437E5}"/>
            </a:ext>
          </a:extLst>
        </xdr:cNvPr>
        <xdr:cNvSpPr txBox="1"/>
      </xdr:nvSpPr>
      <xdr:spPr>
        <a:xfrm>
          <a:off x="826770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7074" name="TextBox 7073">
          <a:extLst>
            <a:ext uri="{FF2B5EF4-FFF2-40B4-BE49-F238E27FC236}">
              <a16:creationId xmlns:a16="http://schemas.microsoft.com/office/drawing/2014/main" id="{7A5BAB34-791F-4DBE-89CC-7D5BC7B4041F}"/>
            </a:ext>
          </a:extLst>
        </xdr:cNvPr>
        <xdr:cNvSpPr txBox="1"/>
      </xdr:nvSpPr>
      <xdr:spPr>
        <a:xfrm>
          <a:off x="826770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7075" name="TextBox 7074">
          <a:extLst>
            <a:ext uri="{FF2B5EF4-FFF2-40B4-BE49-F238E27FC236}">
              <a16:creationId xmlns:a16="http://schemas.microsoft.com/office/drawing/2014/main" id="{C5EDE199-723F-4E4A-B41D-0124D54E8EDD}"/>
            </a:ext>
          </a:extLst>
        </xdr:cNvPr>
        <xdr:cNvSpPr txBox="1"/>
      </xdr:nvSpPr>
      <xdr:spPr>
        <a:xfrm>
          <a:off x="826770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076" name="TextBox 7075">
          <a:extLst>
            <a:ext uri="{FF2B5EF4-FFF2-40B4-BE49-F238E27FC236}">
              <a16:creationId xmlns:a16="http://schemas.microsoft.com/office/drawing/2014/main" id="{DF667CC1-E548-4F78-87CD-AABC8253902E}"/>
            </a:ext>
          </a:extLst>
        </xdr:cNvPr>
        <xdr:cNvSpPr txBox="1"/>
      </xdr:nvSpPr>
      <xdr:spPr>
        <a:xfrm>
          <a:off x="826770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077" name="TextBox 7076">
          <a:extLst>
            <a:ext uri="{FF2B5EF4-FFF2-40B4-BE49-F238E27FC236}">
              <a16:creationId xmlns:a16="http://schemas.microsoft.com/office/drawing/2014/main" id="{52FC385F-C64A-44E5-BDF9-DD30307D58ED}"/>
            </a:ext>
          </a:extLst>
        </xdr:cNvPr>
        <xdr:cNvSpPr txBox="1"/>
      </xdr:nvSpPr>
      <xdr:spPr>
        <a:xfrm>
          <a:off x="826770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078" name="TextBox 7077">
          <a:extLst>
            <a:ext uri="{FF2B5EF4-FFF2-40B4-BE49-F238E27FC236}">
              <a16:creationId xmlns:a16="http://schemas.microsoft.com/office/drawing/2014/main" id="{4B74537D-86DE-47B1-9465-6CCA1ECC873D}"/>
            </a:ext>
          </a:extLst>
        </xdr:cNvPr>
        <xdr:cNvSpPr txBox="1"/>
      </xdr:nvSpPr>
      <xdr:spPr>
        <a:xfrm>
          <a:off x="826770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079" name="TextBox 7078">
          <a:extLst>
            <a:ext uri="{FF2B5EF4-FFF2-40B4-BE49-F238E27FC236}">
              <a16:creationId xmlns:a16="http://schemas.microsoft.com/office/drawing/2014/main" id="{E22DF65F-3524-481A-AB80-45F39BE31766}"/>
            </a:ext>
          </a:extLst>
        </xdr:cNvPr>
        <xdr:cNvSpPr txBox="1"/>
      </xdr:nvSpPr>
      <xdr:spPr>
        <a:xfrm>
          <a:off x="826770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080" name="TextBox 7079">
          <a:extLst>
            <a:ext uri="{FF2B5EF4-FFF2-40B4-BE49-F238E27FC236}">
              <a16:creationId xmlns:a16="http://schemas.microsoft.com/office/drawing/2014/main" id="{8AB51B9B-83E5-4B01-93EA-6A7F75417473}"/>
            </a:ext>
          </a:extLst>
        </xdr:cNvPr>
        <xdr:cNvSpPr txBox="1"/>
      </xdr:nvSpPr>
      <xdr:spPr>
        <a:xfrm>
          <a:off x="826770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081" name="TextBox 7080">
          <a:extLst>
            <a:ext uri="{FF2B5EF4-FFF2-40B4-BE49-F238E27FC236}">
              <a16:creationId xmlns:a16="http://schemas.microsoft.com/office/drawing/2014/main" id="{D7DA0530-2A98-419F-8477-5B64F625A955}"/>
            </a:ext>
          </a:extLst>
        </xdr:cNvPr>
        <xdr:cNvSpPr txBox="1"/>
      </xdr:nvSpPr>
      <xdr:spPr>
        <a:xfrm>
          <a:off x="826770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082" name="TextBox 7081">
          <a:extLst>
            <a:ext uri="{FF2B5EF4-FFF2-40B4-BE49-F238E27FC236}">
              <a16:creationId xmlns:a16="http://schemas.microsoft.com/office/drawing/2014/main" id="{22F1AE7F-F70F-49B2-AEB7-2F87A84BD459}"/>
            </a:ext>
          </a:extLst>
        </xdr:cNvPr>
        <xdr:cNvSpPr txBox="1"/>
      </xdr:nvSpPr>
      <xdr:spPr>
        <a:xfrm>
          <a:off x="826770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083" name="TextBox 7082">
          <a:extLst>
            <a:ext uri="{FF2B5EF4-FFF2-40B4-BE49-F238E27FC236}">
              <a16:creationId xmlns:a16="http://schemas.microsoft.com/office/drawing/2014/main" id="{8B40DB25-9FA1-4BEF-A699-64CF3C1922DD}"/>
            </a:ext>
          </a:extLst>
        </xdr:cNvPr>
        <xdr:cNvSpPr txBox="1"/>
      </xdr:nvSpPr>
      <xdr:spPr>
        <a:xfrm>
          <a:off x="826770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084" name="TextBox 7083">
          <a:extLst>
            <a:ext uri="{FF2B5EF4-FFF2-40B4-BE49-F238E27FC236}">
              <a16:creationId xmlns:a16="http://schemas.microsoft.com/office/drawing/2014/main" id="{7DDEB44B-E38E-4A0A-8A35-270134AFDDE6}"/>
            </a:ext>
          </a:extLst>
        </xdr:cNvPr>
        <xdr:cNvSpPr txBox="1"/>
      </xdr:nvSpPr>
      <xdr:spPr>
        <a:xfrm>
          <a:off x="826770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085" name="TextBox 7084">
          <a:extLst>
            <a:ext uri="{FF2B5EF4-FFF2-40B4-BE49-F238E27FC236}">
              <a16:creationId xmlns:a16="http://schemas.microsoft.com/office/drawing/2014/main" id="{66DF986A-B839-4C01-BF56-5D22831A5687}"/>
            </a:ext>
          </a:extLst>
        </xdr:cNvPr>
        <xdr:cNvSpPr txBox="1"/>
      </xdr:nvSpPr>
      <xdr:spPr>
        <a:xfrm>
          <a:off x="826770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086" name="TextBox 7085">
          <a:extLst>
            <a:ext uri="{FF2B5EF4-FFF2-40B4-BE49-F238E27FC236}">
              <a16:creationId xmlns:a16="http://schemas.microsoft.com/office/drawing/2014/main" id="{1E93FD29-9733-4C3E-AAB3-B0E87315C7F0}"/>
            </a:ext>
          </a:extLst>
        </xdr:cNvPr>
        <xdr:cNvSpPr txBox="1"/>
      </xdr:nvSpPr>
      <xdr:spPr>
        <a:xfrm>
          <a:off x="826770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087" name="TextBox 7086">
          <a:extLst>
            <a:ext uri="{FF2B5EF4-FFF2-40B4-BE49-F238E27FC236}">
              <a16:creationId xmlns:a16="http://schemas.microsoft.com/office/drawing/2014/main" id="{5C822E83-0AC2-4526-8B1B-AC4A43E63804}"/>
            </a:ext>
          </a:extLst>
        </xdr:cNvPr>
        <xdr:cNvSpPr txBox="1"/>
      </xdr:nvSpPr>
      <xdr:spPr>
        <a:xfrm>
          <a:off x="826770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088" name="TextBox 7087">
          <a:extLst>
            <a:ext uri="{FF2B5EF4-FFF2-40B4-BE49-F238E27FC236}">
              <a16:creationId xmlns:a16="http://schemas.microsoft.com/office/drawing/2014/main" id="{C15187AA-9C9E-4DF9-AD29-8AA87162E83A}"/>
            </a:ext>
          </a:extLst>
        </xdr:cNvPr>
        <xdr:cNvSpPr txBox="1"/>
      </xdr:nvSpPr>
      <xdr:spPr>
        <a:xfrm>
          <a:off x="826770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089" name="TextBox 7088">
          <a:extLst>
            <a:ext uri="{FF2B5EF4-FFF2-40B4-BE49-F238E27FC236}">
              <a16:creationId xmlns:a16="http://schemas.microsoft.com/office/drawing/2014/main" id="{16344785-5D1F-41C4-8510-064DC3F7A7CC}"/>
            </a:ext>
          </a:extLst>
        </xdr:cNvPr>
        <xdr:cNvSpPr txBox="1"/>
      </xdr:nvSpPr>
      <xdr:spPr>
        <a:xfrm>
          <a:off x="826770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7090" name="TextBox 7089">
          <a:extLst>
            <a:ext uri="{FF2B5EF4-FFF2-40B4-BE49-F238E27FC236}">
              <a16:creationId xmlns:a16="http://schemas.microsoft.com/office/drawing/2014/main" id="{4F936D3A-FDA7-4846-9579-1D6FA4875A4D}"/>
            </a:ext>
          </a:extLst>
        </xdr:cNvPr>
        <xdr:cNvSpPr txBox="1"/>
      </xdr:nvSpPr>
      <xdr:spPr>
        <a:xfrm>
          <a:off x="1258062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7091" name="TextBox 7090">
          <a:extLst>
            <a:ext uri="{FF2B5EF4-FFF2-40B4-BE49-F238E27FC236}">
              <a16:creationId xmlns:a16="http://schemas.microsoft.com/office/drawing/2014/main" id="{8777000A-B245-45AD-BC1C-A25A032C01AF}"/>
            </a:ext>
          </a:extLst>
        </xdr:cNvPr>
        <xdr:cNvSpPr txBox="1"/>
      </xdr:nvSpPr>
      <xdr:spPr>
        <a:xfrm>
          <a:off x="1258062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7092" name="TextBox 7091">
          <a:extLst>
            <a:ext uri="{FF2B5EF4-FFF2-40B4-BE49-F238E27FC236}">
              <a16:creationId xmlns:a16="http://schemas.microsoft.com/office/drawing/2014/main" id="{EA2ABE06-5897-46BD-B53C-EE15AF1308A4}"/>
            </a:ext>
          </a:extLst>
        </xdr:cNvPr>
        <xdr:cNvSpPr txBox="1"/>
      </xdr:nvSpPr>
      <xdr:spPr>
        <a:xfrm>
          <a:off x="1258062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7093" name="TextBox 7092">
          <a:extLst>
            <a:ext uri="{FF2B5EF4-FFF2-40B4-BE49-F238E27FC236}">
              <a16:creationId xmlns:a16="http://schemas.microsoft.com/office/drawing/2014/main" id="{235FF3EA-3105-42B5-B8CA-693AAD7664E5}"/>
            </a:ext>
          </a:extLst>
        </xdr:cNvPr>
        <xdr:cNvSpPr txBox="1"/>
      </xdr:nvSpPr>
      <xdr:spPr>
        <a:xfrm>
          <a:off x="1258062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7094" name="TextBox 7093">
          <a:extLst>
            <a:ext uri="{FF2B5EF4-FFF2-40B4-BE49-F238E27FC236}">
              <a16:creationId xmlns:a16="http://schemas.microsoft.com/office/drawing/2014/main" id="{97B4552B-C38D-4ACE-ACE6-4EBBB067850E}"/>
            </a:ext>
          </a:extLst>
        </xdr:cNvPr>
        <xdr:cNvSpPr txBox="1"/>
      </xdr:nvSpPr>
      <xdr:spPr>
        <a:xfrm>
          <a:off x="1258062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7095" name="TextBox 7094">
          <a:extLst>
            <a:ext uri="{FF2B5EF4-FFF2-40B4-BE49-F238E27FC236}">
              <a16:creationId xmlns:a16="http://schemas.microsoft.com/office/drawing/2014/main" id="{7CF1BAD8-B6B0-4A7F-976A-8CA530477EFF}"/>
            </a:ext>
          </a:extLst>
        </xdr:cNvPr>
        <xdr:cNvSpPr txBox="1"/>
      </xdr:nvSpPr>
      <xdr:spPr>
        <a:xfrm>
          <a:off x="1258062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7096" name="TextBox 7095">
          <a:extLst>
            <a:ext uri="{FF2B5EF4-FFF2-40B4-BE49-F238E27FC236}">
              <a16:creationId xmlns:a16="http://schemas.microsoft.com/office/drawing/2014/main" id="{AFEE82A1-E95B-4321-8FD6-478E8862D914}"/>
            </a:ext>
          </a:extLst>
        </xdr:cNvPr>
        <xdr:cNvSpPr txBox="1"/>
      </xdr:nvSpPr>
      <xdr:spPr>
        <a:xfrm>
          <a:off x="1258062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7097" name="TextBox 7096">
          <a:extLst>
            <a:ext uri="{FF2B5EF4-FFF2-40B4-BE49-F238E27FC236}">
              <a16:creationId xmlns:a16="http://schemas.microsoft.com/office/drawing/2014/main" id="{37958B62-4D9C-443F-BF05-18BF1BE3E526}"/>
            </a:ext>
          </a:extLst>
        </xdr:cNvPr>
        <xdr:cNvSpPr txBox="1"/>
      </xdr:nvSpPr>
      <xdr:spPr>
        <a:xfrm>
          <a:off x="1258062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7098" name="TextBox 7097">
          <a:extLst>
            <a:ext uri="{FF2B5EF4-FFF2-40B4-BE49-F238E27FC236}">
              <a16:creationId xmlns:a16="http://schemas.microsoft.com/office/drawing/2014/main" id="{37A572A1-A9F2-4AEC-BE08-ED1730A399A7}"/>
            </a:ext>
          </a:extLst>
        </xdr:cNvPr>
        <xdr:cNvSpPr txBox="1"/>
      </xdr:nvSpPr>
      <xdr:spPr>
        <a:xfrm>
          <a:off x="1258062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7099" name="TextBox 7098">
          <a:extLst>
            <a:ext uri="{FF2B5EF4-FFF2-40B4-BE49-F238E27FC236}">
              <a16:creationId xmlns:a16="http://schemas.microsoft.com/office/drawing/2014/main" id="{E4CFCC5B-4A4C-4E13-9060-CFD05DB9AEE2}"/>
            </a:ext>
          </a:extLst>
        </xdr:cNvPr>
        <xdr:cNvSpPr txBox="1"/>
      </xdr:nvSpPr>
      <xdr:spPr>
        <a:xfrm>
          <a:off x="1258062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7100" name="TextBox 7099">
          <a:extLst>
            <a:ext uri="{FF2B5EF4-FFF2-40B4-BE49-F238E27FC236}">
              <a16:creationId xmlns:a16="http://schemas.microsoft.com/office/drawing/2014/main" id="{425C4BF7-1B61-4129-ABC4-11444FBC9E15}"/>
            </a:ext>
          </a:extLst>
        </xdr:cNvPr>
        <xdr:cNvSpPr txBox="1"/>
      </xdr:nvSpPr>
      <xdr:spPr>
        <a:xfrm>
          <a:off x="1258062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7101" name="TextBox 7100">
          <a:extLst>
            <a:ext uri="{FF2B5EF4-FFF2-40B4-BE49-F238E27FC236}">
              <a16:creationId xmlns:a16="http://schemas.microsoft.com/office/drawing/2014/main" id="{DFE9A253-7D7E-49B6-BFD7-BBB6DBD9D178}"/>
            </a:ext>
          </a:extLst>
        </xdr:cNvPr>
        <xdr:cNvSpPr txBox="1"/>
      </xdr:nvSpPr>
      <xdr:spPr>
        <a:xfrm>
          <a:off x="1258062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7102" name="TextBox 7101">
          <a:extLst>
            <a:ext uri="{FF2B5EF4-FFF2-40B4-BE49-F238E27FC236}">
              <a16:creationId xmlns:a16="http://schemas.microsoft.com/office/drawing/2014/main" id="{730D252D-0D67-46C3-B34E-E9E827F908B1}"/>
            </a:ext>
          </a:extLst>
        </xdr:cNvPr>
        <xdr:cNvSpPr txBox="1"/>
      </xdr:nvSpPr>
      <xdr:spPr>
        <a:xfrm>
          <a:off x="1258062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7103" name="TextBox 7102">
          <a:extLst>
            <a:ext uri="{FF2B5EF4-FFF2-40B4-BE49-F238E27FC236}">
              <a16:creationId xmlns:a16="http://schemas.microsoft.com/office/drawing/2014/main" id="{9990EFFD-9F4F-4F06-8600-2B0BCD63518F}"/>
            </a:ext>
          </a:extLst>
        </xdr:cNvPr>
        <xdr:cNvSpPr txBox="1"/>
      </xdr:nvSpPr>
      <xdr:spPr>
        <a:xfrm>
          <a:off x="1258062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7104" name="TextBox 7103">
          <a:extLst>
            <a:ext uri="{FF2B5EF4-FFF2-40B4-BE49-F238E27FC236}">
              <a16:creationId xmlns:a16="http://schemas.microsoft.com/office/drawing/2014/main" id="{814422C6-F7F1-4FB0-A3FC-65FE1F6BDD9A}"/>
            </a:ext>
          </a:extLst>
        </xdr:cNvPr>
        <xdr:cNvSpPr txBox="1"/>
      </xdr:nvSpPr>
      <xdr:spPr>
        <a:xfrm>
          <a:off x="1258062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7105" name="TextBox 7104">
          <a:extLst>
            <a:ext uri="{FF2B5EF4-FFF2-40B4-BE49-F238E27FC236}">
              <a16:creationId xmlns:a16="http://schemas.microsoft.com/office/drawing/2014/main" id="{94B73C01-56EA-471C-BCF9-D2D34733244F}"/>
            </a:ext>
          </a:extLst>
        </xdr:cNvPr>
        <xdr:cNvSpPr txBox="1"/>
      </xdr:nvSpPr>
      <xdr:spPr>
        <a:xfrm>
          <a:off x="1258062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7106" name="TextBox 7105">
          <a:extLst>
            <a:ext uri="{FF2B5EF4-FFF2-40B4-BE49-F238E27FC236}">
              <a16:creationId xmlns:a16="http://schemas.microsoft.com/office/drawing/2014/main" id="{7B216F16-976C-4499-85FA-0C2F04A21698}"/>
            </a:ext>
          </a:extLst>
        </xdr:cNvPr>
        <xdr:cNvSpPr txBox="1"/>
      </xdr:nvSpPr>
      <xdr:spPr>
        <a:xfrm>
          <a:off x="1258062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7107" name="TextBox 7106">
          <a:extLst>
            <a:ext uri="{FF2B5EF4-FFF2-40B4-BE49-F238E27FC236}">
              <a16:creationId xmlns:a16="http://schemas.microsoft.com/office/drawing/2014/main" id="{43F889EE-0ADB-4A55-A927-A233DD6DED85}"/>
            </a:ext>
          </a:extLst>
        </xdr:cNvPr>
        <xdr:cNvSpPr txBox="1"/>
      </xdr:nvSpPr>
      <xdr:spPr>
        <a:xfrm>
          <a:off x="1258062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7108" name="TextBox 7107">
          <a:extLst>
            <a:ext uri="{FF2B5EF4-FFF2-40B4-BE49-F238E27FC236}">
              <a16:creationId xmlns:a16="http://schemas.microsoft.com/office/drawing/2014/main" id="{C2E5D2F2-C3D3-4076-9C23-6385C6170403}"/>
            </a:ext>
          </a:extLst>
        </xdr:cNvPr>
        <xdr:cNvSpPr txBox="1"/>
      </xdr:nvSpPr>
      <xdr:spPr>
        <a:xfrm>
          <a:off x="1258062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7109" name="TextBox 7108">
          <a:extLst>
            <a:ext uri="{FF2B5EF4-FFF2-40B4-BE49-F238E27FC236}">
              <a16:creationId xmlns:a16="http://schemas.microsoft.com/office/drawing/2014/main" id="{0CC0DEC7-C3AF-42EA-94EC-D350CBC31A99}"/>
            </a:ext>
          </a:extLst>
        </xdr:cNvPr>
        <xdr:cNvSpPr txBox="1"/>
      </xdr:nvSpPr>
      <xdr:spPr>
        <a:xfrm>
          <a:off x="1258062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7110" name="TextBox 7109">
          <a:extLst>
            <a:ext uri="{FF2B5EF4-FFF2-40B4-BE49-F238E27FC236}">
              <a16:creationId xmlns:a16="http://schemas.microsoft.com/office/drawing/2014/main" id="{0E9B8ACD-B1D8-4CC2-8F2B-ECCD4EEDCDD3}"/>
            </a:ext>
          </a:extLst>
        </xdr:cNvPr>
        <xdr:cNvSpPr txBox="1"/>
      </xdr:nvSpPr>
      <xdr:spPr>
        <a:xfrm>
          <a:off x="1258062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7111" name="TextBox 7110">
          <a:extLst>
            <a:ext uri="{FF2B5EF4-FFF2-40B4-BE49-F238E27FC236}">
              <a16:creationId xmlns:a16="http://schemas.microsoft.com/office/drawing/2014/main" id="{6AAA95AE-55AC-41D4-94A1-E9CA12E9F664}"/>
            </a:ext>
          </a:extLst>
        </xdr:cNvPr>
        <xdr:cNvSpPr txBox="1"/>
      </xdr:nvSpPr>
      <xdr:spPr>
        <a:xfrm>
          <a:off x="1258062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7112" name="TextBox 7111">
          <a:extLst>
            <a:ext uri="{FF2B5EF4-FFF2-40B4-BE49-F238E27FC236}">
              <a16:creationId xmlns:a16="http://schemas.microsoft.com/office/drawing/2014/main" id="{4C69E6E3-6117-4172-828A-23771510E437}"/>
            </a:ext>
          </a:extLst>
        </xdr:cNvPr>
        <xdr:cNvSpPr txBox="1"/>
      </xdr:nvSpPr>
      <xdr:spPr>
        <a:xfrm>
          <a:off x="1258062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7113" name="TextBox 7112">
          <a:extLst>
            <a:ext uri="{FF2B5EF4-FFF2-40B4-BE49-F238E27FC236}">
              <a16:creationId xmlns:a16="http://schemas.microsoft.com/office/drawing/2014/main" id="{80091CAE-A51D-45EF-8456-4D0E39313CEE}"/>
            </a:ext>
          </a:extLst>
        </xdr:cNvPr>
        <xdr:cNvSpPr txBox="1"/>
      </xdr:nvSpPr>
      <xdr:spPr>
        <a:xfrm>
          <a:off x="1258062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7114" name="TextBox 7113">
          <a:extLst>
            <a:ext uri="{FF2B5EF4-FFF2-40B4-BE49-F238E27FC236}">
              <a16:creationId xmlns:a16="http://schemas.microsoft.com/office/drawing/2014/main" id="{9DD43BA4-AF1C-4C57-B63D-37574DCECEF0}"/>
            </a:ext>
          </a:extLst>
        </xdr:cNvPr>
        <xdr:cNvSpPr txBox="1"/>
      </xdr:nvSpPr>
      <xdr:spPr>
        <a:xfrm>
          <a:off x="1258062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7115" name="TextBox 7114">
          <a:extLst>
            <a:ext uri="{FF2B5EF4-FFF2-40B4-BE49-F238E27FC236}">
              <a16:creationId xmlns:a16="http://schemas.microsoft.com/office/drawing/2014/main" id="{AC6DDDCC-2F8C-4254-9032-9069AAB9C043}"/>
            </a:ext>
          </a:extLst>
        </xdr:cNvPr>
        <xdr:cNvSpPr txBox="1"/>
      </xdr:nvSpPr>
      <xdr:spPr>
        <a:xfrm>
          <a:off x="1258062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7116" name="TextBox 7115">
          <a:extLst>
            <a:ext uri="{FF2B5EF4-FFF2-40B4-BE49-F238E27FC236}">
              <a16:creationId xmlns:a16="http://schemas.microsoft.com/office/drawing/2014/main" id="{9D7DF2F8-D5BB-4957-B3C9-B9719926E87E}"/>
            </a:ext>
          </a:extLst>
        </xdr:cNvPr>
        <xdr:cNvSpPr txBox="1"/>
      </xdr:nvSpPr>
      <xdr:spPr>
        <a:xfrm>
          <a:off x="1258062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7117" name="TextBox 7116">
          <a:extLst>
            <a:ext uri="{FF2B5EF4-FFF2-40B4-BE49-F238E27FC236}">
              <a16:creationId xmlns:a16="http://schemas.microsoft.com/office/drawing/2014/main" id="{885C5DC7-791F-42DF-A8BD-D97FC586EB33}"/>
            </a:ext>
          </a:extLst>
        </xdr:cNvPr>
        <xdr:cNvSpPr txBox="1"/>
      </xdr:nvSpPr>
      <xdr:spPr>
        <a:xfrm>
          <a:off x="1258062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7118" name="TextBox 7117">
          <a:extLst>
            <a:ext uri="{FF2B5EF4-FFF2-40B4-BE49-F238E27FC236}">
              <a16:creationId xmlns:a16="http://schemas.microsoft.com/office/drawing/2014/main" id="{ECB0671C-2391-4309-AA2E-8A53AD8A8084}"/>
            </a:ext>
          </a:extLst>
        </xdr:cNvPr>
        <xdr:cNvSpPr txBox="1"/>
      </xdr:nvSpPr>
      <xdr:spPr>
        <a:xfrm>
          <a:off x="1258062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7119" name="TextBox 7118">
          <a:extLst>
            <a:ext uri="{FF2B5EF4-FFF2-40B4-BE49-F238E27FC236}">
              <a16:creationId xmlns:a16="http://schemas.microsoft.com/office/drawing/2014/main" id="{2BA66E58-2D0D-4F51-9847-F8E27C7ABD95}"/>
            </a:ext>
          </a:extLst>
        </xdr:cNvPr>
        <xdr:cNvSpPr txBox="1"/>
      </xdr:nvSpPr>
      <xdr:spPr>
        <a:xfrm>
          <a:off x="1258062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7120" name="TextBox 7119">
          <a:extLst>
            <a:ext uri="{FF2B5EF4-FFF2-40B4-BE49-F238E27FC236}">
              <a16:creationId xmlns:a16="http://schemas.microsoft.com/office/drawing/2014/main" id="{18920596-064C-460E-B316-496DB4E45844}"/>
            </a:ext>
          </a:extLst>
        </xdr:cNvPr>
        <xdr:cNvSpPr txBox="1"/>
      </xdr:nvSpPr>
      <xdr:spPr>
        <a:xfrm>
          <a:off x="1258062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7121" name="TextBox 7120">
          <a:extLst>
            <a:ext uri="{FF2B5EF4-FFF2-40B4-BE49-F238E27FC236}">
              <a16:creationId xmlns:a16="http://schemas.microsoft.com/office/drawing/2014/main" id="{F4D28A7F-48B2-4963-9A9A-62ACB40E05E2}"/>
            </a:ext>
          </a:extLst>
        </xdr:cNvPr>
        <xdr:cNvSpPr txBox="1"/>
      </xdr:nvSpPr>
      <xdr:spPr>
        <a:xfrm>
          <a:off x="1258062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7122" name="TextBox 7121">
          <a:extLst>
            <a:ext uri="{FF2B5EF4-FFF2-40B4-BE49-F238E27FC236}">
              <a16:creationId xmlns:a16="http://schemas.microsoft.com/office/drawing/2014/main" id="{172601BB-A273-48D3-8594-24B9080CE122}"/>
            </a:ext>
          </a:extLst>
        </xdr:cNvPr>
        <xdr:cNvSpPr txBox="1"/>
      </xdr:nvSpPr>
      <xdr:spPr>
        <a:xfrm>
          <a:off x="1258062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7123" name="TextBox 7122">
          <a:extLst>
            <a:ext uri="{FF2B5EF4-FFF2-40B4-BE49-F238E27FC236}">
              <a16:creationId xmlns:a16="http://schemas.microsoft.com/office/drawing/2014/main" id="{DCEB6B4C-AC98-453D-8FBD-D6ACAFC39AC3}"/>
            </a:ext>
          </a:extLst>
        </xdr:cNvPr>
        <xdr:cNvSpPr txBox="1"/>
      </xdr:nvSpPr>
      <xdr:spPr>
        <a:xfrm>
          <a:off x="1258062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7124" name="TextBox 7123">
          <a:extLst>
            <a:ext uri="{FF2B5EF4-FFF2-40B4-BE49-F238E27FC236}">
              <a16:creationId xmlns:a16="http://schemas.microsoft.com/office/drawing/2014/main" id="{5C17ED80-7961-4DC1-BB2A-9DE0F404EDC8}"/>
            </a:ext>
          </a:extLst>
        </xdr:cNvPr>
        <xdr:cNvSpPr txBox="1"/>
      </xdr:nvSpPr>
      <xdr:spPr>
        <a:xfrm>
          <a:off x="1258062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7125" name="TextBox 7124">
          <a:extLst>
            <a:ext uri="{FF2B5EF4-FFF2-40B4-BE49-F238E27FC236}">
              <a16:creationId xmlns:a16="http://schemas.microsoft.com/office/drawing/2014/main" id="{4C33F016-B4F3-4770-A984-CB3509151E10}"/>
            </a:ext>
          </a:extLst>
        </xdr:cNvPr>
        <xdr:cNvSpPr txBox="1"/>
      </xdr:nvSpPr>
      <xdr:spPr>
        <a:xfrm>
          <a:off x="1258062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7126" name="TextBox 7125">
          <a:extLst>
            <a:ext uri="{FF2B5EF4-FFF2-40B4-BE49-F238E27FC236}">
              <a16:creationId xmlns:a16="http://schemas.microsoft.com/office/drawing/2014/main" id="{EFF9D53C-A808-48B1-8B77-26200548DBEC}"/>
            </a:ext>
          </a:extLst>
        </xdr:cNvPr>
        <xdr:cNvSpPr txBox="1"/>
      </xdr:nvSpPr>
      <xdr:spPr>
        <a:xfrm>
          <a:off x="1258062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7127" name="TextBox 7126">
          <a:extLst>
            <a:ext uri="{FF2B5EF4-FFF2-40B4-BE49-F238E27FC236}">
              <a16:creationId xmlns:a16="http://schemas.microsoft.com/office/drawing/2014/main" id="{FA418557-798D-467D-A76C-EE7890605501}"/>
            </a:ext>
          </a:extLst>
        </xdr:cNvPr>
        <xdr:cNvSpPr txBox="1"/>
      </xdr:nvSpPr>
      <xdr:spPr>
        <a:xfrm>
          <a:off x="1258062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7128" name="TextBox 7127">
          <a:extLst>
            <a:ext uri="{FF2B5EF4-FFF2-40B4-BE49-F238E27FC236}">
              <a16:creationId xmlns:a16="http://schemas.microsoft.com/office/drawing/2014/main" id="{21D68521-84F2-4531-8046-00DBA48566ED}"/>
            </a:ext>
          </a:extLst>
        </xdr:cNvPr>
        <xdr:cNvSpPr txBox="1"/>
      </xdr:nvSpPr>
      <xdr:spPr>
        <a:xfrm>
          <a:off x="1258062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7129" name="TextBox 7128">
          <a:extLst>
            <a:ext uri="{FF2B5EF4-FFF2-40B4-BE49-F238E27FC236}">
              <a16:creationId xmlns:a16="http://schemas.microsoft.com/office/drawing/2014/main" id="{7E3702C8-4005-40F4-BBE4-677EE0EBC8C6}"/>
            </a:ext>
          </a:extLst>
        </xdr:cNvPr>
        <xdr:cNvSpPr txBox="1"/>
      </xdr:nvSpPr>
      <xdr:spPr>
        <a:xfrm>
          <a:off x="1258062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7130" name="TextBox 7129">
          <a:extLst>
            <a:ext uri="{FF2B5EF4-FFF2-40B4-BE49-F238E27FC236}">
              <a16:creationId xmlns:a16="http://schemas.microsoft.com/office/drawing/2014/main" id="{901C38A0-4573-45A4-AB5F-5E059FBD5A7F}"/>
            </a:ext>
          </a:extLst>
        </xdr:cNvPr>
        <xdr:cNvSpPr txBox="1"/>
      </xdr:nvSpPr>
      <xdr:spPr>
        <a:xfrm>
          <a:off x="1258062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7131" name="TextBox 7130">
          <a:extLst>
            <a:ext uri="{FF2B5EF4-FFF2-40B4-BE49-F238E27FC236}">
              <a16:creationId xmlns:a16="http://schemas.microsoft.com/office/drawing/2014/main" id="{7FBA9B72-EE01-4534-8518-8EA16BED9E21}"/>
            </a:ext>
          </a:extLst>
        </xdr:cNvPr>
        <xdr:cNvSpPr txBox="1"/>
      </xdr:nvSpPr>
      <xdr:spPr>
        <a:xfrm>
          <a:off x="1258062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132" name="TextBox 7131">
          <a:extLst>
            <a:ext uri="{FF2B5EF4-FFF2-40B4-BE49-F238E27FC236}">
              <a16:creationId xmlns:a16="http://schemas.microsoft.com/office/drawing/2014/main" id="{426DB5AA-6FC9-423D-9449-25C7957564C9}"/>
            </a:ext>
          </a:extLst>
        </xdr:cNvPr>
        <xdr:cNvSpPr txBox="1"/>
      </xdr:nvSpPr>
      <xdr:spPr>
        <a:xfrm>
          <a:off x="1258062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133" name="TextBox 7132">
          <a:extLst>
            <a:ext uri="{FF2B5EF4-FFF2-40B4-BE49-F238E27FC236}">
              <a16:creationId xmlns:a16="http://schemas.microsoft.com/office/drawing/2014/main" id="{BC83585C-9C69-4536-8284-B8DAE2F523BE}"/>
            </a:ext>
          </a:extLst>
        </xdr:cNvPr>
        <xdr:cNvSpPr txBox="1"/>
      </xdr:nvSpPr>
      <xdr:spPr>
        <a:xfrm>
          <a:off x="1258062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134" name="TextBox 7133">
          <a:extLst>
            <a:ext uri="{FF2B5EF4-FFF2-40B4-BE49-F238E27FC236}">
              <a16:creationId xmlns:a16="http://schemas.microsoft.com/office/drawing/2014/main" id="{B45223F6-D770-4D4E-AFD5-6343F2A04C94}"/>
            </a:ext>
          </a:extLst>
        </xdr:cNvPr>
        <xdr:cNvSpPr txBox="1"/>
      </xdr:nvSpPr>
      <xdr:spPr>
        <a:xfrm>
          <a:off x="1258062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135" name="TextBox 7134">
          <a:extLst>
            <a:ext uri="{FF2B5EF4-FFF2-40B4-BE49-F238E27FC236}">
              <a16:creationId xmlns:a16="http://schemas.microsoft.com/office/drawing/2014/main" id="{34B374C8-857A-49A0-9D4C-7CAE2C2CB443}"/>
            </a:ext>
          </a:extLst>
        </xdr:cNvPr>
        <xdr:cNvSpPr txBox="1"/>
      </xdr:nvSpPr>
      <xdr:spPr>
        <a:xfrm>
          <a:off x="1258062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136" name="TextBox 7135">
          <a:extLst>
            <a:ext uri="{FF2B5EF4-FFF2-40B4-BE49-F238E27FC236}">
              <a16:creationId xmlns:a16="http://schemas.microsoft.com/office/drawing/2014/main" id="{5EEC0772-7EA1-4458-AA65-02027BB8921F}"/>
            </a:ext>
          </a:extLst>
        </xdr:cNvPr>
        <xdr:cNvSpPr txBox="1"/>
      </xdr:nvSpPr>
      <xdr:spPr>
        <a:xfrm>
          <a:off x="1258062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137" name="TextBox 7136">
          <a:extLst>
            <a:ext uri="{FF2B5EF4-FFF2-40B4-BE49-F238E27FC236}">
              <a16:creationId xmlns:a16="http://schemas.microsoft.com/office/drawing/2014/main" id="{5E3A13B2-FB15-40B6-97CA-49C539BFB70B}"/>
            </a:ext>
          </a:extLst>
        </xdr:cNvPr>
        <xdr:cNvSpPr txBox="1"/>
      </xdr:nvSpPr>
      <xdr:spPr>
        <a:xfrm>
          <a:off x="1258062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138" name="TextBox 7137">
          <a:extLst>
            <a:ext uri="{FF2B5EF4-FFF2-40B4-BE49-F238E27FC236}">
              <a16:creationId xmlns:a16="http://schemas.microsoft.com/office/drawing/2014/main" id="{300407A3-C557-4019-9095-C2A56A5C7274}"/>
            </a:ext>
          </a:extLst>
        </xdr:cNvPr>
        <xdr:cNvSpPr txBox="1"/>
      </xdr:nvSpPr>
      <xdr:spPr>
        <a:xfrm>
          <a:off x="1258062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139" name="TextBox 7138">
          <a:extLst>
            <a:ext uri="{FF2B5EF4-FFF2-40B4-BE49-F238E27FC236}">
              <a16:creationId xmlns:a16="http://schemas.microsoft.com/office/drawing/2014/main" id="{1F3D0B01-720C-4727-9D79-BB8336620EEA}"/>
            </a:ext>
          </a:extLst>
        </xdr:cNvPr>
        <xdr:cNvSpPr txBox="1"/>
      </xdr:nvSpPr>
      <xdr:spPr>
        <a:xfrm>
          <a:off x="1258062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140" name="TextBox 7139">
          <a:extLst>
            <a:ext uri="{FF2B5EF4-FFF2-40B4-BE49-F238E27FC236}">
              <a16:creationId xmlns:a16="http://schemas.microsoft.com/office/drawing/2014/main" id="{99F8E329-40E6-4FA7-A8BC-BA62A66CDF50}"/>
            </a:ext>
          </a:extLst>
        </xdr:cNvPr>
        <xdr:cNvSpPr txBox="1"/>
      </xdr:nvSpPr>
      <xdr:spPr>
        <a:xfrm>
          <a:off x="1258062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141" name="TextBox 7140">
          <a:extLst>
            <a:ext uri="{FF2B5EF4-FFF2-40B4-BE49-F238E27FC236}">
              <a16:creationId xmlns:a16="http://schemas.microsoft.com/office/drawing/2014/main" id="{3A6C9952-D7D6-4E8D-A218-97ED16A4DC22}"/>
            </a:ext>
          </a:extLst>
        </xdr:cNvPr>
        <xdr:cNvSpPr txBox="1"/>
      </xdr:nvSpPr>
      <xdr:spPr>
        <a:xfrm>
          <a:off x="1258062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142" name="TextBox 7141">
          <a:extLst>
            <a:ext uri="{FF2B5EF4-FFF2-40B4-BE49-F238E27FC236}">
              <a16:creationId xmlns:a16="http://schemas.microsoft.com/office/drawing/2014/main" id="{C8040D33-2531-4CFD-ACDA-3AB6A0640E12}"/>
            </a:ext>
          </a:extLst>
        </xdr:cNvPr>
        <xdr:cNvSpPr txBox="1"/>
      </xdr:nvSpPr>
      <xdr:spPr>
        <a:xfrm>
          <a:off x="1258062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143" name="TextBox 7142">
          <a:extLst>
            <a:ext uri="{FF2B5EF4-FFF2-40B4-BE49-F238E27FC236}">
              <a16:creationId xmlns:a16="http://schemas.microsoft.com/office/drawing/2014/main" id="{3C0AF1C8-79B0-4643-A069-89270333C6DC}"/>
            </a:ext>
          </a:extLst>
        </xdr:cNvPr>
        <xdr:cNvSpPr txBox="1"/>
      </xdr:nvSpPr>
      <xdr:spPr>
        <a:xfrm>
          <a:off x="1258062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144" name="TextBox 7143">
          <a:extLst>
            <a:ext uri="{FF2B5EF4-FFF2-40B4-BE49-F238E27FC236}">
              <a16:creationId xmlns:a16="http://schemas.microsoft.com/office/drawing/2014/main" id="{5A7E7A0E-EDDF-41BF-B4D7-992EB5D8E0E9}"/>
            </a:ext>
          </a:extLst>
        </xdr:cNvPr>
        <xdr:cNvSpPr txBox="1"/>
      </xdr:nvSpPr>
      <xdr:spPr>
        <a:xfrm>
          <a:off x="1258062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145" name="TextBox 7144">
          <a:extLst>
            <a:ext uri="{FF2B5EF4-FFF2-40B4-BE49-F238E27FC236}">
              <a16:creationId xmlns:a16="http://schemas.microsoft.com/office/drawing/2014/main" id="{48A4571A-2A6B-43E6-8307-D257FEE252B5}"/>
            </a:ext>
          </a:extLst>
        </xdr:cNvPr>
        <xdr:cNvSpPr txBox="1"/>
      </xdr:nvSpPr>
      <xdr:spPr>
        <a:xfrm>
          <a:off x="1258062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146" name="TextBox 7145">
          <a:extLst>
            <a:ext uri="{FF2B5EF4-FFF2-40B4-BE49-F238E27FC236}">
              <a16:creationId xmlns:a16="http://schemas.microsoft.com/office/drawing/2014/main" id="{623A75F4-F705-462F-8E79-246F85160AAD}"/>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147" name="TextBox 7146">
          <a:extLst>
            <a:ext uri="{FF2B5EF4-FFF2-40B4-BE49-F238E27FC236}">
              <a16:creationId xmlns:a16="http://schemas.microsoft.com/office/drawing/2014/main" id="{4E29F2DA-9348-42B5-BB55-6B3A5D9FAF25}"/>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148" name="TextBox 7147">
          <a:extLst>
            <a:ext uri="{FF2B5EF4-FFF2-40B4-BE49-F238E27FC236}">
              <a16:creationId xmlns:a16="http://schemas.microsoft.com/office/drawing/2014/main" id="{34C7F6FA-7ACD-4131-A891-C0638BAE509C}"/>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149" name="TextBox 7148">
          <a:extLst>
            <a:ext uri="{FF2B5EF4-FFF2-40B4-BE49-F238E27FC236}">
              <a16:creationId xmlns:a16="http://schemas.microsoft.com/office/drawing/2014/main" id="{D16D5385-8B51-4897-AE61-34820A94E9DF}"/>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150" name="TextBox 7149">
          <a:extLst>
            <a:ext uri="{FF2B5EF4-FFF2-40B4-BE49-F238E27FC236}">
              <a16:creationId xmlns:a16="http://schemas.microsoft.com/office/drawing/2014/main" id="{666E924C-F5E4-46BD-AB9C-EDC7840B3D62}"/>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151" name="TextBox 7150">
          <a:extLst>
            <a:ext uri="{FF2B5EF4-FFF2-40B4-BE49-F238E27FC236}">
              <a16:creationId xmlns:a16="http://schemas.microsoft.com/office/drawing/2014/main" id="{04F6DCCF-81E6-4D9C-BBE5-0FE11829EB62}"/>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152" name="TextBox 7151">
          <a:extLst>
            <a:ext uri="{FF2B5EF4-FFF2-40B4-BE49-F238E27FC236}">
              <a16:creationId xmlns:a16="http://schemas.microsoft.com/office/drawing/2014/main" id="{0A3CD22E-52BD-4F8A-A852-EBC438CEF8B9}"/>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153" name="TextBox 7152">
          <a:extLst>
            <a:ext uri="{FF2B5EF4-FFF2-40B4-BE49-F238E27FC236}">
              <a16:creationId xmlns:a16="http://schemas.microsoft.com/office/drawing/2014/main" id="{74F25AF8-7664-484F-9098-DD8D23F2C65E}"/>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154" name="TextBox 7153">
          <a:extLst>
            <a:ext uri="{FF2B5EF4-FFF2-40B4-BE49-F238E27FC236}">
              <a16:creationId xmlns:a16="http://schemas.microsoft.com/office/drawing/2014/main" id="{83638271-DD25-44DC-8194-15E5B58C9A78}"/>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155" name="TextBox 7154">
          <a:extLst>
            <a:ext uri="{FF2B5EF4-FFF2-40B4-BE49-F238E27FC236}">
              <a16:creationId xmlns:a16="http://schemas.microsoft.com/office/drawing/2014/main" id="{45F96C37-B2D1-4DAD-B728-42780FCE09DC}"/>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156" name="TextBox 7155">
          <a:extLst>
            <a:ext uri="{FF2B5EF4-FFF2-40B4-BE49-F238E27FC236}">
              <a16:creationId xmlns:a16="http://schemas.microsoft.com/office/drawing/2014/main" id="{5B864850-A32F-4BE1-B2F6-755710BA5E74}"/>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157" name="TextBox 7156">
          <a:extLst>
            <a:ext uri="{FF2B5EF4-FFF2-40B4-BE49-F238E27FC236}">
              <a16:creationId xmlns:a16="http://schemas.microsoft.com/office/drawing/2014/main" id="{533C4A28-6FDB-4015-806A-954FFCB9E002}"/>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158" name="TextBox 7157">
          <a:extLst>
            <a:ext uri="{FF2B5EF4-FFF2-40B4-BE49-F238E27FC236}">
              <a16:creationId xmlns:a16="http://schemas.microsoft.com/office/drawing/2014/main" id="{F81618F8-798E-4259-A44E-219F7048A50E}"/>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159" name="TextBox 7158">
          <a:extLst>
            <a:ext uri="{FF2B5EF4-FFF2-40B4-BE49-F238E27FC236}">
              <a16:creationId xmlns:a16="http://schemas.microsoft.com/office/drawing/2014/main" id="{A63E9D8D-03B4-49C6-8EE3-9531081E5966}"/>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160" name="TextBox 7159">
          <a:extLst>
            <a:ext uri="{FF2B5EF4-FFF2-40B4-BE49-F238E27FC236}">
              <a16:creationId xmlns:a16="http://schemas.microsoft.com/office/drawing/2014/main" id="{02981572-A59D-45EA-9323-2F6796BD3C36}"/>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161" name="TextBox 7160">
          <a:extLst>
            <a:ext uri="{FF2B5EF4-FFF2-40B4-BE49-F238E27FC236}">
              <a16:creationId xmlns:a16="http://schemas.microsoft.com/office/drawing/2014/main" id="{E26D2993-630D-40D5-AC2D-BC5DFFBA943A}"/>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162" name="TextBox 7161">
          <a:extLst>
            <a:ext uri="{FF2B5EF4-FFF2-40B4-BE49-F238E27FC236}">
              <a16:creationId xmlns:a16="http://schemas.microsoft.com/office/drawing/2014/main" id="{B07A0205-A716-49AE-AC45-DDD62CC50BB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163" name="TextBox 7162">
          <a:extLst>
            <a:ext uri="{FF2B5EF4-FFF2-40B4-BE49-F238E27FC236}">
              <a16:creationId xmlns:a16="http://schemas.microsoft.com/office/drawing/2014/main" id="{110466E8-A909-405D-8383-2285258737C1}"/>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164" name="TextBox 7163">
          <a:extLst>
            <a:ext uri="{FF2B5EF4-FFF2-40B4-BE49-F238E27FC236}">
              <a16:creationId xmlns:a16="http://schemas.microsoft.com/office/drawing/2014/main" id="{86BF8DD8-D284-4847-AA46-262B390B3D11}"/>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165" name="TextBox 7164">
          <a:extLst>
            <a:ext uri="{FF2B5EF4-FFF2-40B4-BE49-F238E27FC236}">
              <a16:creationId xmlns:a16="http://schemas.microsoft.com/office/drawing/2014/main" id="{93A078A7-6A92-4AE1-8FA1-A4AB25D34993}"/>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166" name="TextBox 7165">
          <a:extLst>
            <a:ext uri="{FF2B5EF4-FFF2-40B4-BE49-F238E27FC236}">
              <a16:creationId xmlns:a16="http://schemas.microsoft.com/office/drawing/2014/main" id="{7A960991-568F-468E-94E2-98478BD82285}"/>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167" name="TextBox 7166">
          <a:extLst>
            <a:ext uri="{FF2B5EF4-FFF2-40B4-BE49-F238E27FC236}">
              <a16:creationId xmlns:a16="http://schemas.microsoft.com/office/drawing/2014/main" id="{FFF2E72A-E033-4665-A880-0CF0BF79B0D1}"/>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168" name="TextBox 7167">
          <a:extLst>
            <a:ext uri="{FF2B5EF4-FFF2-40B4-BE49-F238E27FC236}">
              <a16:creationId xmlns:a16="http://schemas.microsoft.com/office/drawing/2014/main" id="{CC42BD38-20BE-465D-9A99-D679C8DAE5C3}"/>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169" name="TextBox 7168">
          <a:extLst>
            <a:ext uri="{FF2B5EF4-FFF2-40B4-BE49-F238E27FC236}">
              <a16:creationId xmlns:a16="http://schemas.microsoft.com/office/drawing/2014/main" id="{6512ACF3-1A85-400B-A5C6-C8E1B8FAFE52}"/>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170" name="TextBox 7169">
          <a:extLst>
            <a:ext uri="{FF2B5EF4-FFF2-40B4-BE49-F238E27FC236}">
              <a16:creationId xmlns:a16="http://schemas.microsoft.com/office/drawing/2014/main" id="{79F97C13-94A4-475E-8F2F-1F5E40C7FF99}"/>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171" name="TextBox 7170">
          <a:extLst>
            <a:ext uri="{FF2B5EF4-FFF2-40B4-BE49-F238E27FC236}">
              <a16:creationId xmlns:a16="http://schemas.microsoft.com/office/drawing/2014/main" id="{DC1837BD-D8AC-4231-A8E0-439F4C971D44}"/>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172" name="TextBox 7171">
          <a:extLst>
            <a:ext uri="{FF2B5EF4-FFF2-40B4-BE49-F238E27FC236}">
              <a16:creationId xmlns:a16="http://schemas.microsoft.com/office/drawing/2014/main" id="{CC91899C-46CC-4846-B6B7-367BCDB7A9AA}"/>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173" name="TextBox 7172">
          <a:extLst>
            <a:ext uri="{FF2B5EF4-FFF2-40B4-BE49-F238E27FC236}">
              <a16:creationId xmlns:a16="http://schemas.microsoft.com/office/drawing/2014/main" id="{F4B13EE4-5E9E-4751-B033-B4F3092CB719}"/>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174" name="TextBox 7173">
          <a:extLst>
            <a:ext uri="{FF2B5EF4-FFF2-40B4-BE49-F238E27FC236}">
              <a16:creationId xmlns:a16="http://schemas.microsoft.com/office/drawing/2014/main" id="{3513AF6A-F6FE-4B91-BB16-FC44B37508C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175" name="TextBox 7174">
          <a:extLst>
            <a:ext uri="{FF2B5EF4-FFF2-40B4-BE49-F238E27FC236}">
              <a16:creationId xmlns:a16="http://schemas.microsoft.com/office/drawing/2014/main" id="{89A4D9BB-7D58-470A-B9E5-AB820AB1871F}"/>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176" name="TextBox 7175">
          <a:extLst>
            <a:ext uri="{FF2B5EF4-FFF2-40B4-BE49-F238E27FC236}">
              <a16:creationId xmlns:a16="http://schemas.microsoft.com/office/drawing/2014/main" id="{CC0B07A2-A276-4806-B6D2-124175FB96F8}"/>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177" name="TextBox 7176">
          <a:extLst>
            <a:ext uri="{FF2B5EF4-FFF2-40B4-BE49-F238E27FC236}">
              <a16:creationId xmlns:a16="http://schemas.microsoft.com/office/drawing/2014/main" id="{DF66F9DF-8F2C-42EB-92C7-76B21F9CB6F3}"/>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178" name="TextBox 7177">
          <a:extLst>
            <a:ext uri="{FF2B5EF4-FFF2-40B4-BE49-F238E27FC236}">
              <a16:creationId xmlns:a16="http://schemas.microsoft.com/office/drawing/2014/main" id="{8E0ABD95-3F16-43CC-B265-0095BADF002E}"/>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179" name="TextBox 7178">
          <a:extLst>
            <a:ext uri="{FF2B5EF4-FFF2-40B4-BE49-F238E27FC236}">
              <a16:creationId xmlns:a16="http://schemas.microsoft.com/office/drawing/2014/main" id="{CD42209F-974D-45D0-A624-94C23734A6E6}"/>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180" name="TextBox 7179">
          <a:extLst>
            <a:ext uri="{FF2B5EF4-FFF2-40B4-BE49-F238E27FC236}">
              <a16:creationId xmlns:a16="http://schemas.microsoft.com/office/drawing/2014/main" id="{27C8C9AF-ED05-45FA-9068-9A42F1134787}"/>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181" name="TextBox 7180">
          <a:extLst>
            <a:ext uri="{FF2B5EF4-FFF2-40B4-BE49-F238E27FC236}">
              <a16:creationId xmlns:a16="http://schemas.microsoft.com/office/drawing/2014/main" id="{A0EDDAC8-68CD-49FF-95B0-13F9987E0E19}"/>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182" name="TextBox 7181">
          <a:extLst>
            <a:ext uri="{FF2B5EF4-FFF2-40B4-BE49-F238E27FC236}">
              <a16:creationId xmlns:a16="http://schemas.microsoft.com/office/drawing/2014/main" id="{A9B51438-9235-4498-BF41-E2C9387B0166}"/>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183" name="TextBox 7182">
          <a:extLst>
            <a:ext uri="{FF2B5EF4-FFF2-40B4-BE49-F238E27FC236}">
              <a16:creationId xmlns:a16="http://schemas.microsoft.com/office/drawing/2014/main" id="{FDD472D5-E424-469B-AEE8-D41198940163}"/>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184" name="TextBox 7183">
          <a:extLst>
            <a:ext uri="{FF2B5EF4-FFF2-40B4-BE49-F238E27FC236}">
              <a16:creationId xmlns:a16="http://schemas.microsoft.com/office/drawing/2014/main" id="{2620D0D1-18D7-4854-A586-63FBDC46CF56}"/>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185" name="TextBox 7184">
          <a:extLst>
            <a:ext uri="{FF2B5EF4-FFF2-40B4-BE49-F238E27FC236}">
              <a16:creationId xmlns:a16="http://schemas.microsoft.com/office/drawing/2014/main" id="{A2931468-7B31-4683-A6E9-E719511E89E9}"/>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186" name="TextBox 7185">
          <a:extLst>
            <a:ext uri="{FF2B5EF4-FFF2-40B4-BE49-F238E27FC236}">
              <a16:creationId xmlns:a16="http://schemas.microsoft.com/office/drawing/2014/main" id="{617F7D4E-686F-4134-8341-01E75E61017E}"/>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187" name="TextBox 7186">
          <a:extLst>
            <a:ext uri="{FF2B5EF4-FFF2-40B4-BE49-F238E27FC236}">
              <a16:creationId xmlns:a16="http://schemas.microsoft.com/office/drawing/2014/main" id="{F30DB9A4-E5C2-412C-914F-F88177E1512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188" name="TextBox 7187">
          <a:extLst>
            <a:ext uri="{FF2B5EF4-FFF2-40B4-BE49-F238E27FC236}">
              <a16:creationId xmlns:a16="http://schemas.microsoft.com/office/drawing/2014/main" id="{57E4964E-8056-4D48-91F4-44073729FA41}"/>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189" name="TextBox 7188">
          <a:extLst>
            <a:ext uri="{FF2B5EF4-FFF2-40B4-BE49-F238E27FC236}">
              <a16:creationId xmlns:a16="http://schemas.microsoft.com/office/drawing/2014/main" id="{4420B687-862B-4D83-BBB9-92BBC1E24FF8}"/>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190" name="TextBox 7189">
          <a:extLst>
            <a:ext uri="{FF2B5EF4-FFF2-40B4-BE49-F238E27FC236}">
              <a16:creationId xmlns:a16="http://schemas.microsoft.com/office/drawing/2014/main" id="{6109BB46-3D57-4B4E-A0C5-4516B4A09848}"/>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191" name="TextBox 7190">
          <a:extLst>
            <a:ext uri="{FF2B5EF4-FFF2-40B4-BE49-F238E27FC236}">
              <a16:creationId xmlns:a16="http://schemas.microsoft.com/office/drawing/2014/main" id="{931330DF-996B-40D1-8EA7-A33F1A9847F1}"/>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192" name="TextBox 7191">
          <a:extLst>
            <a:ext uri="{FF2B5EF4-FFF2-40B4-BE49-F238E27FC236}">
              <a16:creationId xmlns:a16="http://schemas.microsoft.com/office/drawing/2014/main" id="{6F2167C9-93AB-4792-B5E6-DAEA5D44FAEB}"/>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193" name="TextBox 7192">
          <a:extLst>
            <a:ext uri="{FF2B5EF4-FFF2-40B4-BE49-F238E27FC236}">
              <a16:creationId xmlns:a16="http://schemas.microsoft.com/office/drawing/2014/main" id="{8D4D4BDD-6A9F-42D5-BCFF-5E5982787906}"/>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194" name="TextBox 7193">
          <a:extLst>
            <a:ext uri="{FF2B5EF4-FFF2-40B4-BE49-F238E27FC236}">
              <a16:creationId xmlns:a16="http://schemas.microsoft.com/office/drawing/2014/main" id="{62AD9906-FE9B-4FDD-A68B-46CF95FA296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195" name="TextBox 7194">
          <a:extLst>
            <a:ext uri="{FF2B5EF4-FFF2-40B4-BE49-F238E27FC236}">
              <a16:creationId xmlns:a16="http://schemas.microsoft.com/office/drawing/2014/main" id="{6BC8A854-5CBB-44F6-8B90-EDC7538EE4AF}"/>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196" name="TextBox 7195">
          <a:extLst>
            <a:ext uri="{FF2B5EF4-FFF2-40B4-BE49-F238E27FC236}">
              <a16:creationId xmlns:a16="http://schemas.microsoft.com/office/drawing/2014/main" id="{9907CF70-944C-42CE-8419-D0A81F8E2998}"/>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197" name="TextBox 7196">
          <a:extLst>
            <a:ext uri="{FF2B5EF4-FFF2-40B4-BE49-F238E27FC236}">
              <a16:creationId xmlns:a16="http://schemas.microsoft.com/office/drawing/2014/main" id="{56ED5389-C0C4-4D4F-A161-8A097C1C622E}"/>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198" name="TextBox 7197">
          <a:extLst>
            <a:ext uri="{FF2B5EF4-FFF2-40B4-BE49-F238E27FC236}">
              <a16:creationId xmlns:a16="http://schemas.microsoft.com/office/drawing/2014/main" id="{FECFA0CA-7D4C-47C5-AB1E-790708CC03C6}"/>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199" name="TextBox 7198">
          <a:extLst>
            <a:ext uri="{FF2B5EF4-FFF2-40B4-BE49-F238E27FC236}">
              <a16:creationId xmlns:a16="http://schemas.microsoft.com/office/drawing/2014/main" id="{C7A02519-07BC-4311-8FC7-800DA9129D9B}"/>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200" name="TextBox 7199">
          <a:extLst>
            <a:ext uri="{FF2B5EF4-FFF2-40B4-BE49-F238E27FC236}">
              <a16:creationId xmlns:a16="http://schemas.microsoft.com/office/drawing/2014/main" id="{AEFF34D7-148C-4CCB-A0D8-19F37B544AC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201" name="TextBox 7200">
          <a:extLst>
            <a:ext uri="{FF2B5EF4-FFF2-40B4-BE49-F238E27FC236}">
              <a16:creationId xmlns:a16="http://schemas.microsoft.com/office/drawing/2014/main" id="{92785E8F-D40C-45DF-A7AE-AC027255B736}"/>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202" name="TextBox 7201">
          <a:extLst>
            <a:ext uri="{FF2B5EF4-FFF2-40B4-BE49-F238E27FC236}">
              <a16:creationId xmlns:a16="http://schemas.microsoft.com/office/drawing/2014/main" id="{604A7D7D-6D81-4BE7-9ABC-725A42F9E1EA}"/>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203" name="TextBox 7202">
          <a:extLst>
            <a:ext uri="{FF2B5EF4-FFF2-40B4-BE49-F238E27FC236}">
              <a16:creationId xmlns:a16="http://schemas.microsoft.com/office/drawing/2014/main" id="{BFB11F25-1BBB-4DE5-A5B9-64AF144729C2}"/>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204" name="TextBox 7203">
          <a:extLst>
            <a:ext uri="{FF2B5EF4-FFF2-40B4-BE49-F238E27FC236}">
              <a16:creationId xmlns:a16="http://schemas.microsoft.com/office/drawing/2014/main" id="{4CBFE059-8EE1-4A97-B2E4-DA16EFD3761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205" name="TextBox 7204">
          <a:extLst>
            <a:ext uri="{FF2B5EF4-FFF2-40B4-BE49-F238E27FC236}">
              <a16:creationId xmlns:a16="http://schemas.microsoft.com/office/drawing/2014/main" id="{FCA7E1FD-61F9-4289-95A4-DD486F9A908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206" name="TextBox 7205">
          <a:extLst>
            <a:ext uri="{FF2B5EF4-FFF2-40B4-BE49-F238E27FC236}">
              <a16:creationId xmlns:a16="http://schemas.microsoft.com/office/drawing/2014/main" id="{348F6862-8E58-4046-8D32-99DF9E91ACAC}"/>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207" name="TextBox 7206">
          <a:extLst>
            <a:ext uri="{FF2B5EF4-FFF2-40B4-BE49-F238E27FC236}">
              <a16:creationId xmlns:a16="http://schemas.microsoft.com/office/drawing/2014/main" id="{34FDD654-E638-4FF7-82BC-790A9BF967AE}"/>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208" name="TextBox 7207">
          <a:extLst>
            <a:ext uri="{FF2B5EF4-FFF2-40B4-BE49-F238E27FC236}">
              <a16:creationId xmlns:a16="http://schemas.microsoft.com/office/drawing/2014/main" id="{A5DA0E4C-9A9B-460A-9EEA-20236D3CD2BF}"/>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209" name="TextBox 7208">
          <a:extLst>
            <a:ext uri="{FF2B5EF4-FFF2-40B4-BE49-F238E27FC236}">
              <a16:creationId xmlns:a16="http://schemas.microsoft.com/office/drawing/2014/main" id="{E165643A-B43B-4C9A-9B54-7139E29076C2}"/>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210" name="TextBox 7209">
          <a:extLst>
            <a:ext uri="{FF2B5EF4-FFF2-40B4-BE49-F238E27FC236}">
              <a16:creationId xmlns:a16="http://schemas.microsoft.com/office/drawing/2014/main" id="{3714FD61-D1A2-4BD0-9B73-8B1B0843126D}"/>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211" name="TextBox 7210">
          <a:extLst>
            <a:ext uri="{FF2B5EF4-FFF2-40B4-BE49-F238E27FC236}">
              <a16:creationId xmlns:a16="http://schemas.microsoft.com/office/drawing/2014/main" id="{4686F77C-EFB1-4701-9CCA-482CB458B522}"/>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212" name="TextBox 7211">
          <a:extLst>
            <a:ext uri="{FF2B5EF4-FFF2-40B4-BE49-F238E27FC236}">
              <a16:creationId xmlns:a16="http://schemas.microsoft.com/office/drawing/2014/main" id="{1CA4B930-A62D-4FA9-AD46-2CC8DCC9A732}"/>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213" name="TextBox 7212">
          <a:extLst>
            <a:ext uri="{FF2B5EF4-FFF2-40B4-BE49-F238E27FC236}">
              <a16:creationId xmlns:a16="http://schemas.microsoft.com/office/drawing/2014/main" id="{9A1EDD94-C686-4D34-A913-92C621E64D1B}"/>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214" name="TextBox 7213">
          <a:extLst>
            <a:ext uri="{FF2B5EF4-FFF2-40B4-BE49-F238E27FC236}">
              <a16:creationId xmlns:a16="http://schemas.microsoft.com/office/drawing/2014/main" id="{4DB473FD-AE79-41FB-BBA2-A751D013D672}"/>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215" name="TextBox 7214">
          <a:extLst>
            <a:ext uri="{FF2B5EF4-FFF2-40B4-BE49-F238E27FC236}">
              <a16:creationId xmlns:a16="http://schemas.microsoft.com/office/drawing/2014/main" id="{CAC6F1F5-0318-4EF1-A17E-9713993C0275}"/>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216" name="TextBox 7215">
          <a:extLst>
            <a:ext uri="{FF2B5EF4-FFF2-40B4-BE49-F238E27FC236}">
              <a16:creationId xmlns:a16="http://schemas.microsoft.com/office/drawing/2014/main" id="{2BEB2C9B-4E37-4D83-978B-6944A85550D0}"/>
            </a:ext>
          </a:extLst>
        </xdr:cNvPr>
        <xdr:cNvSpPr txBox="1"/>
      </xdr:nvSpPr>
      <xdr:spPr>
        <a:xfrm>
          <a:off x="1258062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217" name="TextBox 7216">
          <a:extLst>
            <a:ext uri="{FF2B5EF4-FFF2-40B4-BE49-F238E27FC236}">
              <a16:creationId xmlns:a16="http://schemas.microsoft.com/office/drawing/2014/main" id="{CD550287-B34D-4E1D-BBEF-D03695FD0054}"/>
            </a:ext>
          </a:extLst>
        </xdr:cNvPr>
        <xdr:cNvSpPr txBox="1"/>
      </xdr:nvSpPr>
      <xdr:spPr>
        <a:xfrm>
          <a:off x="1258062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218" name="TextBox 7217">
          <a:extLst>
            <a:ext uri="{FF2B5EF4-FFF2-40B4-BE49-F238E27FC236}">
              <a16:creationId xmlns:a16="http://schemas.microsoft.com/office/drawing/2014/main" id="{F2ABC44F-5B97-457A-B962-D1359A380D71}"/>
            </a:ext>
          </a:extLst>
        </xdr:cNvPr>
        <xdr:cNvSpPr txBox="1"/>
      </xdr:nvSpPr>
      <xdr:spPr>
        <a:xfrm>
          <a:off x="1258062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219" name="TextBox 7218">
          <a:extLst>
            <a:ext uri="{FF2B5EF4-FFF2-40B4-BE49-F238E27FC236}">
              <a16:creationId xmlns:a16="http://schemas.microsoft.com/office/drawing/2014/main" id="{96939F3D-72FB-4C1C-BD3C-89A06B46C24E}"/>
            </a:ext>
          </a:extLst>
        </xdr:cNvPr>
        <xdr:cNvSpPr txBox="1"/>
      </xdr:nvSpPr>
      <xdr:spPr>
        <a:xfrm>
          <a:off x="1258062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220" name="TextBox 7219">
          <a:extLst>
            <a:ext uri="{FF2B5EF4-FFF2-40B4-BE49-F238E27FC236}">
              <a16:creationId xmlns:a16="http://schemas.microsoft.com/office/drawing/2014/main" id="{94BF90D1-7C17-4662-B78F-32897ABFA19F}"/>
            </a:ext>
          </a:extLst>
        </xdr:cNvPr>
        <xdr:cNvSpPr txBox="1"/>
      </xdr:nvSpPr>
      <xdr:spPr>
        <a:xfrm>
          <a:off x="1258062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221" name="TextBox 7220">
          <a:extLst>
            <a:ext uri="{FF2B5EF4-FFF2-40B4-BE49-F238E27FC236}">
              <a16:creationId xmlns:a16="http://schemas.microsoft.com/office/drawing/2014/main" id="{453A51B0-4712-453A-A36D-8862511F2541}"/>
            </a:ext>
          </a:extLst>
        </xdr:cNvPr>
        <xdr:cNvSpPr txBox="1"/>
      </xdr:nvSpPr>
      <xdr:spPr>
        <a:xfrm>
          <a:off x="1258062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222" name="TextBox 7221">
          <a:extLst>
            <a:ext uri="{FF2B5EF4-FFF2-40B4-BE49-F238E27FC236}">
              <a16:creationId xmlns:a16="http://schemas.microsoft.com/office/drawing/2014/main" id="{F5236698-E5D3-47AA-81EA-AAFF7BC49F1C}"/>
            </a:ext>
          </a:extLst>
        </xdr:cNvPr>
        <xdr:cNvSpPr txBox="1"/>
      </xdr:nvSpPr>
      <xdr:spPr>
        <a:xfrm>
          <a:off x="1258062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223" name="TextBox 7222">
          <a:extLst>
            <a:ext uri="{FF2B5EF4-FFF2-40B4-BE49-F238E27FC236}">
              <a16:creationId xmlns:a16="http://schemas.microsoft.com/office/drawing/2014/main" id="{CB6F6FBB-D31C-4DF2-B5CF-F6F8F99341BE}"/>
            </a:ext>
          </a:extLst>
        </xdr:cNvPr>
        <xdr:cNvSpPr txBox="1"/>
      </xdr:nvSpPr>
      <xdr:spPr>
        <a:xfrm>
          <a:off x="1258062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224" name="TextBox 7223">
          <a:extLst>
            <a:ext uri="{FF2B5EF4-FFF2-40B4-BE49-F238E27FC236}">
              <a16:creationId xmlns:a16="http://schemas.microsoft.com/office/drawing/2014/main" id="{0E6EA0E6-3896-40AA-B2F5-8272253CCA84}"/>
            </a:ext>
          </a:extLst>
        </xdr:cNvPr>
        <xdr:cNvSpPr txBox="1"/>
      </xdr:nvSpPr>
      <xdr:spPr>
        <a:xfrm>
          <a:off x="1258062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225" name="TextBox 7224">
          <a:extLst>
            <a:ext uri="{FF2B5EF4-FFF2-40B4-BE49-F238E27FC236}">
              <a16:creationId xmlns:a16="http://schemas.microsoft.com/office/drawing/2014/main" id="{714A34DF-3BC7-48BE-A8E1-0A382AB25D98}"/>
            </a:ext>
          </a:extLst>
        </xdr:cNvPr>
        <xdr:cNvSpPr txBox="1"/>
      </xdr:nvSpPr>
      <xdr:spPr>
        <a:xfrm>
          <a:off x="1258062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226" name="TextBox 7225">
          <a:extLst>
            <a:ext uri="{FF2B5EF4-FFF2-40B4-BE49-F238E27FC236}">
              <a16:creationId xmlns:a16="http://schemas.microsoft.com/office/drawing/2014/main" id="{0EE264F1-325D-4E80-827F-A7CDBEE7E2B0}"/>
            </a:ext>
          </a:extLst>
        </xdr:cNvPr>
        <xdr:cNvSpPr txBox="1"/>
      </xdr:nvSpPr>
      <xdr:spPr>
        <a:xfrm>
          <a:off x="1258062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227" name="TextBox 7226">
          <a:extLst>
            <a:ext uri="{FF2B5EF4-FFF2-40B4-BE49-F238E27FC236}">
              <a16:creationId xmlns:a16="http://schemas.microsoft.com/office/drawing/2014/main" id="{8DFCAF67-A970-4779-9B1E-334B183D9E9C}"/>
            </a:ext>
          </a:extLst>
        </xdr:cNvPr>
        <xdr:cNvSpPr txBox="1"/>
      </xdr:nvSpPr>
      <xdr:spPr>
        <a:xfrm>
          <a:off x="1258062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228" name="TextBox 7227">
          <a:extLst>
            <a:ext uri="{FF2B5EF4-FFF2-40B4-BE49-F238E27FC236}">
              <a16:creationId xmlns:a16="http://schemas.microsoft.com/office/drawing/2014/main" id="{1721DFB1-C856-46DE-8B52-1459DC12DC1F}"/>
            </a:ext>
          </a:extLst>
        </xdr:cNvPr>
        <xdr:cNvSpPr txBox="1"/>
      </xdr:nvSpPr>
      <xdr:spPr>
        <a:xfrm>
          <a:off x="1258062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229" name="TextBox 7228">
          <a:extLst>
            <a:ext uri="{FF2B5EF4-FFF2-40B4-BE49-F238E27FC236}">
              <a16:creationId xmlns:a16="http://schemas.microsoft.com/office/drawing/2014/main" id="{EAD93977-2B6C-48AF-88BE-D3EEF076B82F}"/>
            </a:ext>
          </a:extLst>
        </xdr:cNvPr>
        <xdr:cNvSpPr txBox="1"/>
      </xdr:nvSpPr>
      <xdr:spPr>
        <a:xfrm>
          <a:off x="1258062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230" name="TextBox 7229">
          <a:extLst>
            <a:ext uri="{FF2B5EF4-FFF2-40B4-BE49-F238E27FC236}">
              <a16:creationId xmlns:a16="http://schemas.microsoft.com/office/drawing/2014/main" id="{FBB54F66-6C42-4482-B2E7-7384E314B0A0}"/>
            </a:ext>
          </a:extLst>
        </xdr:cNvPr>
        <xdr:cNvSpPr txBox="1"/>
      </xdr:nvSpPr>
      <xdr:spPr>
        <a:xfrm>
          <a:off x="1258062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231" name="TextBox 7230">
          <a:extLst>
            <a:ext uri="{FF2B5EF4-FFF2-40B4-BE49-F238E27FC236}">
              <a16:creationId xmlns:a16="http://schemas.microsoft.com/office/drawing/2014/main" id="{AEE8C017-5A75-4A1A-8541-8CAA7A85887F}"/>
            </a:ext>
          </a:extLst>
        </xdr:cNvPr>
        <xdr:cNvSpPr txBox="1"/>
      </xdr:nvSpPr>
      <xdr:spPr>
        <a:xfrm>
          <a:off x="1258062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232" name="TextBox 7231">
          <a:extLst>
            <a:ext uri="{FF2B5EF4-FFF2-40B4-BE49-F238E27FC236}">
              <a16:creationId xmlns:a16="http://schemas.microsoft.com/office/drawing/2014/main" id="{15CB6B7A-8903-4D46-B303-C78122F98AFA}"/>
            </a:ext>
          </a:extLst>
        </xdr:cNvPr>
        <xdr:cNvSpPr txBox="1"/>
      </xdr:nvSpPr>
      <xdr:spPr>
        <a:xfrm>
          <a:off x="1258062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233" name="TextBox 7232">
          <a:extLst>
            <a:ext uri="{FF2B5EF4-FFF2-40B4-BE49-F238E27FC236}">
              <a16:creationId xmlns:a16="http://schemas.microsoft.com/office/drawing/2014/main" id="{06B77017-1B83-4828-A6CD-A70B1530F846}"/>
            </a:ext>
          </a:extLst>
        </xdr:cNvPr>
        <xdr:cNvSpPr txBox="1"/>
      </xdr:nvSpPr>
      <xdr:spPr>
        <a:xfrm>
          <a:off x="1258062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234" name="TextBox 7233">
          <a:extLst>
            <a:ext uri="{FF2B5EF4-FFF2-40B4-BE49-F238E27FC236}">
              <a16:creationId xmlns:a16="http://schemas.microsoft.com/office/drawing/2014/main" id="{185D6A4C-28D0-4083-911A-BC73150EED28}"/>
            </a:ext>
          </a:extLst>
        </xdr:cNvPr>
        <xdr:cNvSpPr txBox="1"/>
      </xdr:nvSpPr>
      <xdr:spPr>
        <a:xfrm>
          <a:off x="1258062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235" name="TextBox 7234">
          <a:extLst>
            <a:ext uri="{FF2B5EF4-FFF2-40B4-BE49-F238E27FC236}">
              <a16:creationId xmlns:a16="http://schemas.microsoft.com/office/drawing/2014/main" id="{3791A6DE-A1C2-47DA-AD48-A46C3A2C9FDA}"/>
            </a:ext>
          </a:extLst>
        </xdr:cNvPr>
        <xdr:cNvSpPr txBox="1"/>
      </xdr:nvSpPr>
      <xdr:spPr>
        <a:xfrm>
          <a:off x="1258062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236" name="TextBox 7235">
          <a:extLst>
            <a:ext uri="{FF2B5EF4-FFF2-40B4-BE49-F238E27FC236}">
              <a16:creationId xmlns:a16="http://schemas.microsoft.com/office/drawing/2014/main" id="{81CE3CB0-7E4E-4E55-A8CA-42556C1B97B2}"/>
            </a:ext>
          </a:extLst>
        </xdr:cNvPr>
        <xdr:cNvSpPr txBox="1"/>
      </xdr:nvSpPr>
      <xdr:spPr>
        <a:xfrm>
          <a:off x="1258062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237" name="TextBox 7236">
          <a:extLst>
            <a:ext uri="{FF2B5EF4-FFF2-40B4-BE49-F238E27FC236}">
              <a16:creationId xmlns:a16="http://schemas.microsoft.com/office/drawing/2014/main" id="{4A007D76-46C2-4D13-B1B5-5850A74D5AB2}"/>
            </a:ext>
          </a:extLst>
        </xdr:cNvPr>
        <xdr:cNvSpPr txBox="1"/>
      </xdr:nvSpPr>
      <xdr:spPr>
        <a:xfrm>
          <a:off x="1258062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twoCellAnchor>
    <xdr:from>
      <xdr:col>0</xdr:col>
      <xdr:colOff>0</xdr:colOff>
      <xdr:row>69</xdr:row>
      <xdr:rowOff>95250</xdr:rowOff>
    </xdr:from>
    <xdr:to>
      <xdr:col>3</xdr:col>
      <xdr:colOff>561975</xdr:colOff>
      <xdr:row>83</xdr:row>
      <xdr:rowOff>171450</xdr:rowOff>
    </xdr:to>
    <xdr:graphicFrame macro="">
      <xdr:nvGraphicFramePr>
        <xdr:cNvPr id="7239" name="Chart 7238">
          <a:extLst>
            <a:ext uri="{FF2B5EF4-FFF2-40B4-BE49-F238E27FC236}">
              <a16:creationId xmlns:a16="http://schemas.microsoft.com/office/drawing/2014/main" id="{00000000-0008-0000-00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0</xdr:col>
      <xdr:colOff>0</xdr:colOff>
      <xdr:row>164</xdr:row>
      <xdr:rowOff>0</xdr:rowOff>
    </xdr:from>
    <xdr:ext cx="65" cy="172227"/>
    <xdr:sp macro="" textlink="">
      <xdr:nvSpPr>
        <xdr:cNvPr id="7240" name="TextBox 7239">
          <a:extLst>
            <a:ext uri="{FF2B5EF4-FFF2-40B4-BE49-F238E27FC236}">
              <a16:creationId xmlns:a16="http://schemas.microsoft.com/office/drawing/2014/main" id="{00000000-0008-0000-0000-000007000000}"/>
            </a:ext>
          </a:extLst>
        </xdr:cNvPr>
        <xdr:cNvSpPr txBox="1"/>
      </xdr:nvSpPr>
      <xdr:spPr>
        <a:xfrm>
          <a:off x="8267700" y="332841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164</xdr:row>
      <xdr:rowOff>0</xdr:rowOff>
    </xdr:from>
    <xdr:ext cx="65" cy="172227"/>
    <xdr:sp macro="" textlink="">
      <xdr:nvSpPr>
        <xdr:cNvPr id="7244" name="TextBox 7243">
          <a:extLst>
            <a:ext uri="{FF2B5EF4-FFF2-40B4-BE49-F238E27FC236}">
              <a16:creationId xmlns:a16="http://schemas.microsoft.com/office/drawing/2014/main" id="{00000000-0008-0000-0000-00000B000000}"/>
            </a:ext>
          </a:extLst>
        </xdr:cNvPr>
        <xdr:cNvSpPr txBox="1"/>
      </xdr:nvSpPr>
      <xdr:spPr>
        <a:xfrm>
          <a:off x="8267700" y="332841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7245" name="TextBox 7244">
          <a:extLst>
            <a:ext uri="{FF2B5EF4-FFF2-40B4-BE49-F238E27FC236}">
              <a16:creationId xmlns:a16="http://schemas.microsoft.com/office/drawing/2014/main" id="{00000000-0008-0000-0000-00000C000000}"/>
            </a:ext>
          </a:extLst>
        </xdr:cNvPr>
        <xdr:cNvSpPr txBox="1"/>
      </xdr:nvSpPr>
      <xdr:spPr>
        <a:xfrm>
          <a:off x="8267700" y="334822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7246" name="TextBox 7245">
          <a:extLst>
            <a:ext uri="{FF2B5EF4-FFF2-40B4-BE49-F238E27FC236}">
              <a16:creationId xmlns:a16="http://schemas.microsoft.com/office/drawing/2014/main" id="{00000000-0008-0000-0000-00000D000000}"/>
            </a:ext>
          </a:extLst>
        </xdr:cNvPr>
        <xdr:cNvSpPr txBox="1"/>
      </xdr:nvSpPr>
      <xdr:spPr>
        <a:xfrm>
          <a:off x="8267700" y="334822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7247" name="TextBox 7246">
          <a:extLst>
            <a:ext uri="{FF2B5EF4-FFF2-40B4-BE49-F238E27FC236}">
              <a16:creationId xmlns:a16="http://schemas.microsoft.com/office/drawing/2014/main" id="{00000000-0008-0000-0000-00000E000000}"/>
            </a:ext>
          </a:extLst>
        </xdr:cNvPr>
        <xdr:cNvSpPr txBox="1"/>
      </xdr:nvSpPr>
      <xdr:spPr>
        <a:xfrm>
          <a:off x="826770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7248" name="TextBox 7247">
          <a:extLst>
            <a:ext uri="{FF2B5EF4-FFF2-40B4-BE49-F238E27FC236}">
              <a16:creationId xmlns:a16="http://schemas.microsoft.com/office/drawing/2014/main" id="{00000000-0008-0000-0000-00000F000000}"/>
            </a:ext>
          </a:extLst>
        </xdr:cNvPr>
        <xdr:cNvSpPr txBox="1"/>
      </xdr:nvSpPr>
      <xdr:spPr>
        <a:xfrm>
          <a:off x="826770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7249" name="TextBox 7248">
          <a:extLst>
            <a:ext uri="{FF2B5EF4-FFF2-40B4-BE49-F238E27FC236}">
              <a16:creationId xmlns:a16="http://schemas.microsoft.com/office/drawing/2014/main" id="{00000000-0008-0000-0000-000010000000}"/>
            </a:ext>
          </a:extLst>
        </xdr:cNvPr>
        <xdr:cNvSpPr txBox="1"/>
      </xdr:nvSpPr>
      <xdr:spPr>
        <a:xfrm>
          <a:off x="826770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7250" name="TextBox 7249">
          <a:extLst>
            <a:ext uri="{FF2B5EF4-FFF2-40B4-BE49-F238E27FC236}">
              <a16:creationId xmlns:a16="http://schemas.microsoft.com/office/drawing/2014/main" id="{00000000-0008-0000-0000-000011000000}"/>
            </a:ext>
          </a:extLst>
        </xdr:cNvPr>
        <xdr:cNvSpPr txBox="1"/>
      </xdr:nvSpPr>
      <xdr:spPr>
        <a:xfrm>
          <a:off x="826770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7251" name="TextBox 7250">
          <a:extLst>
            <a:ext uri="{FF2B5EF4-FFF2-40B4-BE49-F238E27FC236}">
              <a16:creationId xmlns:a16="http://schemas.microsoft.com/office/drawing/2014/main" id="{00000000-0008-0000-0000-000012000000}"/>
            </a:ext>
          </a:extLst>
        </xdr:cNvPr>
        <xdr:cNvSpPr txBox="1"/>
      </xdr:nvSpPr>
      <xdr:spPr>
        <a:xfrm>
          <a:off x="826770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7252" name="TextBox 7251">
          <a:extLst>
            <a:ext uri="{FF2B5EF4-FFF2-40B4-BE49-F238E27FC236}">
              <a16:creationId xmlns:a16="http://schemas.microsoft.com/office/drawing/2014/main" id="{00000000-0008-0000-0000-000013000000}"/>
            </a:ext>
          </a:extLst>
        </xdr:cNvPr>
        <xdr:cNvSpPr txBox="1"/>
      </xdr:nvSpPr>
      <xdr:spPr>
        <a:xfrm>
          <a:off x="826770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253" name="TextBox 7252">
          <a:extLst>
            <a:ext uri="{FF2B5EF4-FFF2-40B4-BE49-F238E27FC236}">
              <a16:creationId xmlns:a16="http://schemas.microsoft.com/office/drawing/2014/main" id="{00000000-0008-0000-0000-000014000000}"/>
            </a:ext>
          </a:extLst>
        </xdr:cNvPr>
        <xdr:cNvSpPr txBox="1"/>
      </xdr:nvSpPr>
      <xdr:spPr>
        <a:xfrm>
          <a:off x="826770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254" name="TextBox 7253">
          <a:extLst>
            <a:ext uri="{FF2B5EF4-FFF2-40B4-BE49-F238E27FC236}">
              <a16:creationId xmlns:a16="http://schemas.microsoft.com/office/drawing/2014/main" id="{00000000-0008-0000-0000-000015000000}"/>
            </a:ext>
          </a:extLst>
        </xdr:cNvPr>
        <xdr:cNvSpPr txBox="1"/>
      </xdr:nvSpPr>
      <xdr:spPr>
        <a:xfrm>
          <a:off x="826770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255" name="TextBox 7254">
          <a:extLst>
            <a:ext uri="{FF2B5EF4-FFF2-40B4-BE49-F238E27FC236}">
              <a16:creationId xmlns:a16="http://schemas.microsoft.com/office/drawing/2014/main" id="{00000000-0008-0000-0000-00001600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256" name="TextBox 7255">
          <a:extLst>
            <a:ext uri="{FF2B5EF4-FFF2-40B4-BE49-F238E27FC236}">
              <a16:creationId xmlns:a16="http://schemas.microsoft.com/office/drawing/2014/main" id="{00000000-0008-0000-0000-00001700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7257" name="TextBox 7256">
          <a:extLst>
            <a:ext uri="{FF2B5EF4-FFF2-40B4-BE49-F238E27FC236}">
              <a16:creationId xmlns:a16="http://schemas.microsoft.com/office/drawing/2014/main" id="{00000000-0008-0000-0000-000018000000}"/>
            </a:ext>
          </a:extLst>
        </xdr:cNvPr>
        <xdr:cNvSpPr txBox="1"/>
      </xdr:nvSpPr>
      <xdr:spPr>
        <a:xfrm>
          <a:off x="8267700" y="34671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7258" name="TextBox 7257">
          <a:extLst>
            <a:ext uri="{FF2B5EF4-FFF2-40B4-BE49-F238E27FC236}">
              <a16:creationId xmlns:a16="http://schemas.microsoft.com/office/drawing/2014/main" id="{00000000-0008-0000-0000-000019000000}"/>
            </a:ext>
          </a:extLst>
        </xdr:cNvPr>
        <xdr:cNvSpPr txBox="1"/>
      </xdr:nvSpPr>
      <xdr:spPr>
        <a:xfrm>
          <a:off x="8267700" y="34671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172</xdr:row>
      <xdr:rowOff>0</xdr:rowOff>
    </xdr:from>
    <xdr:ext cx="65" cy="172227"/>
    <xdr:sp macro="" textlink="">
      <xdr:nvSpPr>
        <xdr:cNvPr id="7259" name="TextBox 7258">
          <a:extLst>
            <a:ext uri="{FF2B5EF4-FFF2-40B4-BE49-F238E27FC236}">
              <a16:creationId xmlns:a16="http://schemas.microsoft.com/office/drawing/2014/main" id="{00000000-0008-0000-0000-00001A000000}"/>
            </a:ext>
          </a:extLst>
        </xdr:cNvPr>
        <xdr:cNvSpPr txBox="1"/>
      </xdr:nvSpPr>
      <xdr:spPr>
        <a:xfrm>
          <a:off x="8267700" y="34853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172</xdr:row>
      <xdr:rowOff>0</xdr:rowOff>
    </xdr:from>
    <xdr:ext cx="65" cy="172227"/>
    <xdr:sp macro="" textlink="">
      <xdr:nvSpPr>
        <xdr:cNvPr id="7260" name="TextBox 7259">
          <a:extLst>
            <a:ext uri="{FF2B5EF4-FFF2-40B4-BE49-F238E27FC236}">
              <a16:creationId xmlns:a16="http://schemas.microsoft.com/office/drawing/2014/main" id="{00000000-0008-0000-0000-00001B000000}"/>
            </a:ext>
          </a:extLst>
        </xdr:cNvPr>
        <xdr:cNvSpPr txBox="1"/>
      </xdr:nvSpPr>
      <xdr:spPr>
        <a:xfrm>
          <a:off x="8267700" y="34853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173</xdr:row>
      <xdr:rowOff>0</xdr:rowOff>
    </xdr:from>
    <xdr:ext cx="65" cy="172227"/>
    <xdr:sp macro="" textlink="">
      <xdr:nvSpPr>
        <xdr:cNvPr id="7261" name="TextBox 7260">
          <a:extLst>
            <a:ext uri="{FF2B5EF4-FFF2-40B4-BE49-F238E27FC236}">
              <a16:creationId xmlns:a16="http://schemas.microsoft.com/office/drawing/2014/main" id="{00000000-0008-0000-0000-00001C000000}"/>
            </a:ext>
          </a:extLst>
        </xdr:cNvPr>
        <xdr:cNvSpPr txBox="1"/>
      </xdr:nvSpPr>
      <xdr:spPr>
        <a:xfrm>
          <a:off x="8267700" y="35036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173</xdr:row>
      <xdr:rowOff>0</xdr:rowOff>
    </xdr:from>
    <xdr:ext cx="65" cy="172227"/>
    <xdr:sp macro="" textlink="">
      <xdr:nvSpPr>
        <xdr:cNvPr id="7262" name="TextBox 7261">
          <a:extLst>
            <a:ext uri="{FF2B5EF4-FFF2-40B4-BE49-F238E27FC236}">
              <a16:creationId xmlns:a16="http://schemas.microsoft.com/office/drawing/2014/main" id="{00000000-0008-0000-0000-00001D000000}"/>
            </a:ext>
          </a:extLst>
        </xdr:cNvPr>
        <xdr:cNvSpPr txBox="1"/>
      </xdr:nvSpPr>
      <xdr:spPr>
        <a:xfrm>
          <a:off x="8267700" y="35036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179</xdr:row>
      <xdr:rowOff>0</xdr:rowOff>
    </xdr:from>
    <xdr:ext cx="65" cy="172227"/>
    <xdr:sp macro="" textlink="">
      <xdr:nvSpPr>
        <xdr:cNvPr id="7263" name="TextBox 7262">
          <a:extLst>
            <a:ext uri="{FF2B5EF4-FFF2-40B4-BE49-F238E27FC236}">
              <a16:creationId xmlns:a16="http://schemas.microsoft.com/office/drawing/2014/main" id="{00000000-0008-0000-0000-00001E000000}"/>
            </a:ext>
          </a:extLst>
        </xdr:cNvPr>
        <xdr:cNvSpPr txBox="1"/>
      </xdr:nvSpPr>
      <xdr:spPr>
        <a:xfrm>
          <a:off x="8267700" y="361340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179</xdr:row>
      <xdr:rowOff>0</xdr:rowOff>
    </xdr:from>
    <xdr:ext cx="65" cy="172227"/>
    <xdr:sp macro="" textlink="">
      <xdr:nvSpPr>
        <xdr:cNvPr id="7264" name="TextBox 7263">
          <a:extLst>
            <a:ext uri="{FF2B5EF4-FFF2-40B4-BE49-F238E27FC236}">
              <a16:creationId xmlns:a16="http://schemas.microsoft.com/office/drawing/2014/main" id="{00000000-0008-0000-0000-00001F000000}"/>
            </a:ext>
          </a:extLst>
        </xdr:cNvPr>
        <xdr:cNvSpPr txBox="1"/>
      </xdr:nvSpPr>
      <xdr:spPr>
        <a:xfrm>
          <a:off x="8267700" y="361340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180</xdr:row>
      <xdr:rowOff>0</xdr:rowOff>
    </xdr:from>
    <xdr:ext cx="65" cy="172227"/>
    <xdr:sp macro="" textlink="">
      <xdr:nvSpPr>
        <xdr:cNvPr id="7265" name="TextBox 7264">
          <a:extLst>
            <a:ext uri="{FF2B5EF4-FFF2-40B4-BE49-F238E27FC236}">
              <a16:creationId xmlns:a16="http://schemas.microsoft.com/office/drawing/2014/main" id="{00000000-0008-0000-0000-000020000000}"/>
            </a:ext>
          </a:extLst>
        </xdr:cNvPr>
        <xdr:cNvSpPr txBox="1"/>
      </xdr:nvSpPr>
      <xdr:spPr>
        <a:xfrm>
          <a:off x="8267700" y="363169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180</xdr:row>
      <xdr:rowOff>0</xdr:rowOff>
    </xdr:from>
    <xdr:ext cx="65" cy="172227"/>
    <xdr:sp macro="" textlink="">
      <xdr:nvSpPr>
        <xdr:cNvPr id="7266" name="TextBox 7265">
          <a:extLst>
            <a:ext uri="{FF2B5EF4-FFF2-40B4-BE49-F238E27FC236}">
              <a16:creationId xmlns:a16="http://schemas.microsoft.com/office/drawing/2014/main" id="{00000000-0008-0000-0000-000021000000}"/>
            </a:ext>
          </a:extLst>
        </xdr:cNvPr>
        <xdr:cNvSpPr txBox="1"/>
      </xdr:nvSpPr>
      <xdr:spPr>
        <a:xfrm>
          <a:off x="8267700" y="363169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181</xdr:row>
      <xdr:rowOff>0</xdr:rowOff>
    </xdr:from>
    <xdr:ext cx="65" cy="172227"/>
    <xdr:sp macro="" textlink="">
      <xdr:nvSpPr>
        <xdr:cNvPr id="7267" name="TextBox 7266">
          <a:extLst>
            <a:ext uri="{FF2B5EF4-FFF2-40B4-BE49-F238E27FC236}">
              <a16:creationId xmlns:a16="http://schemas.microsoft.com/office/drawing/2014/main" id="{00000000-0008-0000-0000-000022000000}"/>
            </a:ext>
          </a:extLst>
        </xdr:cNvPr>
        <xdr:cNvSpPr txBox="1"/>
      </xdr:nvSpPr>
      <xdr:spPr>
        <a:xfrm>
          <a:off x="8267700" y="36499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181</xdr:row>
      <xdr:rowOff>0</xdr:rowOff>
    </xdr:from>
    <xdr:ext cx="65" cy="172227"/>
    <xdr:sp macro="" textlink="">
      <xdr:nvSpPr>
        <xdr:cNvPr id="7268" name="TextBox 7267">
          <a:extLst>
            <a:ext uri="{FF2B5EF4-FFF2-40B4-BE49-F238E27FC236}">
              <a16:creationId xmlns:a16="http://schemas.microsoft.com/office/drawing/2014/main" id="{00000000-0008-0000-0000-000023000000}"/>
            </a:ext>
          </a:extLst>
        </xdr:cNvPr>
        <xdr:cNvSpPr txBox="1"/>
      </xdr:nvSpPr>
      <xdr:spPr>
        <a:xfrm>
          <a:off x="8267700" y="36499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182</xdr:row>
      <xdr:rowOff>0</xdr:rowOff>
    </xdr:from>
    <xdr:ext cx="65" cy="172227"/>
    <xdr:sp macro="" textlink="">
      <xdr:nvSpPr>
        <xdr:cNvPr id="7269" name="TextBox 7268">
          <a:extLst>
            <a:ext uri="{FF2B5EF4-FFF2-40B4-BE49-F238E27FC236}">
              <a16:creationId xmlns:a16="http://schemas.microsoft.com/office/drawing/2014/main" id="{00000000-0008-0000-0000-000024000000}"/>
            </a:ext>
          </a:extLst>
        </xdr:cNvPr>
        <xdr:cNvSpPr txBox="1"/>
      </xdr:nvSpPr>
      <xdr:spPr>
        <a:xfrm>
          <a:off x="8267700" y="366826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182</xdr:row>
      <xdr:rowOff>0</xdr:rowOff>
    </xdr:from>
    <xdr:ext cx="65" cy="172227"/>
    <xdr:sp macro="" textlink="">
      <xdr:nvSpPr>
        <xdr:cNvPr id="7270" name="TextBox 7269">
          <a:extLst>
            <a:ext uri="{FF2B5EF4-FFF2-40B4-BE49-F238E27FC236}">
              <a16:creationId xmlns:a16="http://schemas.microsoft.com/office/drawing/2014/main" id="{00000000-0008-0000-0000-000025000000}"/>
            </a:ext>
          </a:extLst>
        </xdr:cNvPr>
        <xdr:cNvSpPr txBox="1"/>
      </xdr:nvSpPr>
      <xdr:spPr>
        <a:xfrm>
          <a:off x="8267700" y="366826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183</xdr:row>
      <xdr:rowOff>0</xdr:rowOff>
    </xdr:from>
    <xdr:ext cx="65" cy="172227"/>
    <xdr:sp macro="" textlink="">
      <xdr:nvSpPr>
        <xdr:cNvPr id="7271" name="TextBox 7270">
          <a:extLst>
            <a:ext uri="{FF2B5EF4-FFF2-40B4-BE49-F238E27FC236}">
              <a16:creationId xmlns:a16="http://schemas.microsoft.com/office/drawing/2014/main" id="{00000000-0008-0000-0000-000026000000}"/>
            </a:ext>
          </a:extLst>
        </xdr:cNvPr>
        <xdr:cNvSpPr txBox="1"/>
      </xdr:nvSpPr>
      <xdr:spPr>
        <a:xfrm>
          <a:off x="8267700" y="368655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183</xdr:row>
      <xdr:rowOff>0</xdr:rowOff>
    </xdr:from>
    <xdr:ext cx="65" cy="172227"/>
    <xdr:sp macro="" textlink="">
      <xdr:nvSpPr>
        <xdr:cNvPr id="7272" name="TextBox 7271">
          <a:extLst>
            <a:ext uri="{FF2B5EF4-FFF2-40B4-BE49-F238E27FC236}">
              <a16:creationId xmlns:a16="http://schemas.microsoft.com/office/drawing/2014/main" id="{00000000-0008-0000-0000-000027000000}"/>
            </a:ext>
          </a:extLst>
        </xdr:cNvPr>
        <xdr:cNvSpPr txBox="1"/>
      </xdr:nvSpPr>
      <xdr:spPr>
        <a:xfrm>
          <a:off x="8267700" y="368655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189</xdr:row>
      <xdr:rowOff>0</xdr:rowOff>
    </xdr:from>
    <xdr:ext cx="65" cy="172227"/>
    <xdr:sp macro="" textlink="">
      <xdr:nvSpPr>
        <xdr:cNvPr id="7273" name="TextBox 7272">
          <a:extLst>
            <a:ext uri="{FF2B5EF4-FFF2-40B4-BE49-F238E27FC236}">
              <a16:creationId xmlns:a16="http://schemas.microsoft.com/office/drawing/2014/main" id="{00000000-0008-0000-0000-000028000000}"/>
            </a:ext>
          </a:extLst>
        </xdr:cNvPr>
        <xdr:cNvSpPr txBox="1"/>
      </xdr:nvSpPr>
      <xdr:spPr>
        <a:xfrm>
          <a:off x="8267700" y="379628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189</xdr:row>
      <xdr:rowOff>0</xdr:rowOff>
    </xdr:from>
    <xdr:ext cx="65" cy="172227"/>
    <xdr:sp macro="" textlink="">
      <xdr:nvSpPr>
        <xdr:cNvPr id="7274" name="TextBox 7273">
          <a:extLst>
            <a:ext uri="{FF2B5EF4-FFF2-40B4-BE49-F238E27FC236}">
              <a16:creationId xmlns:a16="http://schemas.microsoft.com/office/drawing/2014/main" id="{00000000-0008-0000-0000-000029000000}"/>
            </a:ext>
          </a:extLst>
        </xdr:cNvPr>
        <xdr:cNvSpPr txBox="1"/>
      </xdr:nvSpPr>
      <xdr:spPr>
        <a:xfrm>
          <a:off x="8267700" y="379628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190</xdr:row>
      <xdr:rowOff>0</xdr:rowOff>
    </xdr:from>
    <xdr:ext cx="65" cy="172227"/>
    <xdr:sp macro="" textlink="">
      <xdr:nvSpPr>
        <xdr:cNvPr id="7275" name="TextBox 7274">
          <a:extLst>
            <a:ext uri="{FF2B5EF4-FFF2-40B4-BE49-F238E27FC236}">
              <a16:creationId xmlns:a16="http://schemas.microsoft.com/office/drawing/2014/main" id="{00000000-0008-0000-0000-00002A000000}"/>
            </a:ext>
          </a:extLst>
        </xdr:cNvPr>
        <xdr:cNvSpPr txBox="1"/>
      </xdr:nvSpPr>
      <xdr:spPr>
        <a:xfrm>
          <a:off x="8267700" y="381457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190</xdr:row>
      <xdr:rowOff>0</xdr:rowOff>
    </xdr:from>
    <xdr:ext cx="65" cy="172227"/>
    <xdr:sp macro="" textlink="">
      <xdr:nvSpPr>
        <xdr:cNvPr id="7276" name="TextBox 7275">
          <a:extLst>
            <a:ext uri="{FF2B5EF4-FFF2-40B4-BE49-F238E27FC236}">
              <a16:creationId xmlns:a16="http://schemas.microsoft.com/office/drawing/2014/main" id="{00000000-0008-0000-0000-00002B000000}"/>
            </a:ext>
          </a:extLst>
        </xdr:cNvPr>
        <xdr:cNvSpPr txBox="1"/>
      </xdr:nvSpPr>
      <xdr:spPr>
        <a:xfrm>
          <a:off x="8267700" y="381457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191</xdr:row>
      <xdr:rowOff>0</xdr:rowOff>
    </xdr:from>
    <xdr:ext cx="65" cy="172227"/>
    <xdr:sp macro="" textlink="">
      <xdr:nvSpPr>
        <xdr:cNvPr id="7277" name="TextBox 7276">
          <a:extLst>
            <a:ext uri="{FF2B5EF4-FFF2-40B4-BE49-F238E27FC236}">
              <a16:creationId xmlns:a16="http://schemas.microsoft.com/office/drawing/2014/main" id="{00000000-0008-0000-0000-00002C000000}"/>
            </a:ext>
          </a:extLst>
        </xdr:cNvPr>
        <xdr:cNvSpPr txBox="1"/>
      </xdr:nvSpPr>
      <xdr:spPr>
        <a:xfrm>
          <a:off x="8267700" y="38328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191</xdr:row>
      <xdr:rowOff>0</xdr:rowOff>
    </xdr:from>
    <xdr:ext cx="65" cy="172227"/>
    <xdr:sp macro="" textlink="">
      <xdr:nvSpPr>
        <xdr:cNvPr id="7278" name="TextBox 7277">
          <a:extLst>
            <a:ext uri="{FF2B5EF4-FFF2-40B4-BE49-F238E27FC236}">
              <a16:creationId xmlns:a16="http://schemas.microsoft.com/office/drawing/2014/main" id="{00000000-0008-0000-0000-00002D000000}"/>
            </a:ext>
          </a:extLst>
        </xdr:cNvPr>
        <xdr:cNvSpPr txBox="1"/>
      </xdr:nvSpPr>
      <xdr:spPr>
        <a:xfrm>
          <a:off x="8267700" y="38328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192</xdr:row>
      <xdr:rowOff>0</xdr:rowOff>
    </xdr:from>
    <xdr:ext cx="65" cy="172227"/>
    <xdr:sp macro="" textlink="">
      <xdr:nvSpPr>
        <xdr:cNvPr id="7279" name="TextBox 7278">
          <a:extLst>
            <a:ext uri="{FF2B5EF4-FFF2-40B4-BE49-F238E27FC236}">
              <a16:creationId xmlns:a16="http://schemas.microsoft.com/office/drawing/2014/main" id="{00000000-0008-0000-0000-00002E000000}"/>
            </a:ext>
          </a:extLst>
        </xdr:cNvPr>
        <xdr:cNvSpPr txBox="1"/>
      </xdr:nvSpPr>
      <xdr:spPr>
        <a:xfrm>
          <a:off x="8267700" y="385114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192</xdr:row>
      <xdr:rowOff>0</xdr:rowOff>
    </xdr:from>
    <xdr:ext cx="65" cy="172227"/>
    <xdr:sp macro="" textlink="">
      <xdr:nvSpPr>
        <xdr:cNvPr id="7280" name="TextBox 7279">
          <a:extLst>
            <a:ext uri="{FF2B5EF4-FFF2-40B4-BE49-F238E27FC236}">
              <a16:creationId xmlns:a16="http://schemas.microsoft.com/office/drawing/2014/main" id="{00000000-0008-0000-0000-00002F000000}"/>
            </a:ext>
          </a:extLst>
        </xdr:cNvPr>
        <xdr:cNvSpPr txBox="1"/>
      </xdr:nvSpPr>
      <xdr:spPr>
        <a:xfrm>
          <a:off x="8267700" y="385114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193</xdr:row>
      <xdr:rowOff>0</xdr:rowOff>
    </xdr:from>
    <xdr:ext cx="65" cy="172227"/>
    <xdr:sp macro="" textlink="">
      <xdr:nvSpPr>
        <xdr:cNvPr id="7281" name="TextBox 7280">
          <a:extLst>
            <a:ext uri="{FF2B5EF4-FFF2-40B4-BE49-F238E27FC236}">
              <a16:creationId xmlns:a16="http://schemas.microsoft.com/office/drawing/2014/main" id="{00000000-0008-0000-0000-000030000000}"/>
            </a:ext>
          </a:extLst>
        </xdr:cNvPr>
        <xdr:cNvSpPr txBox="1"/>
      </xdr:nvSpPr>
      <xdr:spPr>
        <a:xfrm>
          <a:off x="8267700" y="386943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193</xdr:row>
      <xdr:rowOff>0</xdr:rowOff>
    </xdr:from>
    <xdr:ext cx="65" cy="172227"/>
    <xdr:sp macro="" textlink="">
      <xdr:nvSpPr>
        <xdr:cNvPr id="7282" name="TextBox 7281">
          <a:extLst>
            <a:ext uri="{FF2B5EF4-FFF2-40B4-BE49-F238E27FC236}">
              <a16:creationId xmlns:a16="http://schemas.microsoft.com/office/drawing/2014/main" id="{00000000-0008-0000-0000-000031000000}"/>
            </a:ext>
          </a:extLst>
        </xdr:cNvPr>
        <xdr:cNvSpPr txBox="1"/>
      </xdr:nvSpPr>
      <xdr:spPr>
        <a:xfrm>
          <a:off x="8267700" y="386943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7283" name="TextBox 7282">
          <a:extLst>
            <a:ext uri="{FF2B5EF4-FFF2-40B4-BE49-F238E27FC236}">
              <a16:creationId xmlns:a16="http://schemas.microsoft.com/office/drawing/2014/main" id="{00000000-0008-0000-0000-000032000000}"/>
            </a:ext>
          </a:extLst>
        </xdr:cNvPr>
        <xdr:cNvSpPr txBox="1"/>
      </xdr:nvSpPr>
      <xdr:spPr>
        <a:xfrm>
          <a:off x="8267700" y="39425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7284" name="TextBox 7283">
          <a:extLst>
            <a:ext uri="{FF2B5EF4-FFF2-40B4-BE49-F238E27FC236}">
              <a16:creationId xmlns:a16="http://schemas.microsoft.com/office/drawing/2014/main" id="{00000000-0008-0000-0000-000033000000}"/>
            </a:ext>
          </a:extLst>
        </xdr:cNvPr>
        <xdr:cNvSpPr txBox="1"/>
      </xdr:nvSpPr>
      <xdr:spPr>
        <a:xfrm>
          <a:off x="8267700" y="39425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7285" name="TextBox 7284">
          <a:extLst>
            <a:ext uri="{FF2B5EF4-FFF2-40B4-BE49-F238E27FC236}">
              <a16:creationId xmlns:a16="http://schemas.microsoft.com/office/drawing/2014/main" id="{00000000-0008-0000-0000-000034000000}"/>
            </a:ext>
          </a:extLst>
        </xdr:cNvPr>
        <xdr:cNvSpPr txBox="1"/>
      </xdr:nvSpPr>
      <xdr:spPr>
        <a:xfrm>
          <a:off x="8267700" y="39425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7286" name="TextBox 7285">
          <a:extLst>
            <a:ext uri="{FF2B5EF4-FFF2-40B4-BE49-F238E27FC236}">
              <a16:creationId xmlns:a16="http://schemas.microsoft.com/office/drawing/2014/main" id="{00000000-0008-0000-0000-000035000000}"/>
            </a:ext>
          </a:extLst>
        </xdr:cNvPr>
        <xdr:cNvSpPr txBox="1"/>
      </xdr:nvSpPr>
      <xdr:spPr>
        <a:xfrm>
          <a:off x="8267700" y="39425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7287" name="TextBox 7286">
          <a:extLst>
            <a:ext uri="{FF2B5EF4-FFF2-40B4-BE49-F238E27FC236}">
              <a16:creationId xmlns:a16="http://schemas.microsoft.com/office/drawing/2014/main" id="{00000000-0008-0000-0000-000036000000}"/>
            </a:ext>
          </a:extLst>
        </xdr:cNvPr>
        <xdr:cNvSpPr txBox="1"/>
      </xdr:nvSpPr>
      <xdr:spPr>
        <a:xfrm>
          <a:off x="8267700" y="39425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7288" name="TextBox 7287">
          <a:extLst>
            <a:ext uri="{FF2B5EF4-FFF2-40B4-BE49-F238E27FC236}">
              <a16:creationId xmlns:a16="http://schemas.microsoft.com/office/drawing/2014/main" id="{00000000-0008-0000-0000-000037000000}"/>
            </a:ext>
          </a:extLst>
        </xdr:cNvPr>
        <xdr:cNvSpPr txBox="1"/>
      </xdr:nvSpPr>
      <xdr:spPr>
        <a:xfrm>
          <a:off x="8267700" y="39425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7289" name="TextBox 7288">
          <a:extLst>
            <a:ext uri="{FF2B5EF4-FFF2-40B4-BE49-F238E27FC236}">
              <a16:creationId xmlns:a16="http://schemas.microsoft.com/office/drawing/2014/main" id="{00000000-0008-0000-0000-000038000000}"/>
            </a:ext>
          </a:extLst>
        </xdr:cNvPr>
        <xdr:cNvSpPr txBox="1"/>
      </xdr:nvSpPr>
      <xdr:spPr>
        <a:xfrm>
          <a:off x="8267700" y="39425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7290" name="TextBox 7289">
          <a:extLst>
            <a:ext uri="{FF2B5EF4-FFF2-40B4-BE49-F238E27FC236}">
              <a16:creationId xmlns:a16="http://schemas.microsoft.com/office/drawing/2014/main" id="{00000000-0008-0000-0000-000039000000}"/>
            </a:ext>
          </a:extLst>
        </xdr:cNvPr>
        <xdr:cNvSpPr txBox="1"/>
      </xdr:nvSpPr>
      <xdr:spPr>
        <a:xfrm>
          <a:off x="8267700" y="39425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7291" name="TextBox 7290">
          <a:extLst>
            <a:ext uri="{FF2B5EF4-FFF2-40B4-BE49-F238E27FC236}">
              <a16:creationId xmlns:a16="http://schemas.microsoft.com/office/drawing/2014/main" id="{00000000-0008-0000-0000-00003A000000}"/>
            </a:ext>
          </a:extLst>
        </xdr:cNvPr>
        <xdr:cNvSpPr txBox="1"/>
      </xdr:nvSpPr>
      <xdr:spPr>
        <a:xfrm>
          <a:off x="8267700" y="39425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7292" name="TextBox 7291">
          <a:extLst>
            <a:ext uri="{FF2B5EF4-FFF2-40B4-BE49-F238E27FC236}">
              <a16:creationId xmlns:a16="http://schemas.microsoft.com/office/drawing/2014/main" id="{00000000-0008-0000-0000-00003B000000}"/>
            </a:ext>
          </a:extLst>
        </xdr:cNvPr>
        <xdr:cNvSpPr txBox="1"/>
      </xdr:nvSpPr>
      <xdr:spPr>
        <a:xfrm>
          <a:off x="8267700" y="39425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7293" name="TextBox 7292">
          <a:extLst>
            <a:ext uri="{FF2B5EF4-FFF2-40B4-BE49-F238E27FC236}">
              <a16:creationId xmlns:a16="http://schemas.microsoft.com/office/drawing/2014/main" id="{00000000-0008-0000-0000-00003C000000}"/>
            </a:ext>
          </a:extLst>
        </xdr:cNvPr>
        <xdr:cNvSpPr txBox="1"/>
      </xdr:nvSpPr>
      <xdr:spPr>
        <a:xfrm>
          <a:off x="8267700" y="39425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7294" name="TextBox 7293">
          <a:extLst>
            <a:ext uri="{FF2B5EF4-FFF2-40B4-BE49-F238E27FC236}">
              <a16:creationId xmlns:a16="http://schemas.microsoft.com/office/drawing/2014/main" id="{00000000-0008-0000-0000-00003D000000}"/>
            </a:ext>
          </a:extLst>
        </xdr:cNvPr>
        <xdr:cNvSpPr txBox="1"/>
      </xdr:nvSpPr>
      <xdr:spPr>
        <a:xfrm>
          <a:off x="8267700" y="39425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7295" name="TextBox 7294">
          <a:extLst>
            <a:ext uri="{FF2B5EF4-FFF2-40B4-BE49-F238E27FC236}">
              <a16:creationId xmlns:a16="http://schemas.microsoft.com/office/drawing/2014/main" id="{00000000-0008-0000-0000-00003E000000}"/>
            </a:ext>
          </a:extLst>
        </xdr:cNvPr>
        <xdr:cNvSpPr txBox="1"/>
      </xdr:nvSpPr>
      <xdr:spPr>
        <a:xfrm>
          <a:off x="8267700" y="39425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7296" name="TextBox 7295">
          <a:extLst>
            <a:ext uri="{FF2B5EF4-FFF2-40B4-BE49-F238E27FC236}">
              <a16:creationId xmlns:a16="http://schemas.microsoft.com/office/drawing/2014/main" id="{00000000-0008-0000-0000-00003F000000}"/>
            </a:ext>
          </a:extLst>
        </xdr:cNvPr>
        <xdr:cNvSpPr txBox="1"/>
      </xdr:nvSpPr>
      <xdr:spPr>
        <a:xfrm>
          <a:off x="8267700" y="39425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7297" name="TextBox 7296">
          <a:extLst>
            <a:ext uri="{FF2B5EF4-FFF2-40B4-BE49-F238E27FC236}">
              <a16:creationId xmlns:a16="http://schemas.microsoft.com/office/drawing/2014/main" id="{00000000-0008-0000-0000-000040000000}"/>
            </a:ext>
          </a:extLst>
        </xdr:cNvPr>
        <xdr:cNvSpPr txBox="1"/>
      </xdr:nvSpPr>
      <xdr:spPr>
        <a:xfrm>
          <a:off x="8267700" y="39425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7298" name="TextBox 7297">
          <a:extLst>
            <a:ext uri="{FF2B5EF4-FFF2-40B4-BE49-F238E27FC236}">
              <a16:creationId xmlns:a16="http://schemas.microsoft.com/office/drawing/2014/main" id="{00000000-0008-0000-0000-000041000000}"/>
            </a:ext>
          </a:extLst>
        </xdr:cNvPr>
        <xdr:cNvSpPr txBox="1"/>
      </xdr:nvSpPr>
      <xdr:spPr>
        <a:xfrm>
          <a:off x="8267700" y="39425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7299" name="TextBox 7298">
          <a:extLst>
            <a:ext uri="{FF2B5EF4-FFF2-40B4-BE49-F238E27FC236}">
              <a16:creationId xmlns:a16="http://schemas.microsoft.com/office/drawing/2014/main" id="{00000000-0008-0000-0000-000042000000}"/>
            </a:ext>
          </a:extLst>
        </xdr:cNvPr>
        <xdr:cNvSpPr txBox="1"/>
      </xdr:nvSpPr>
      <xdr:spPr>
        <a:xfrm>
          <a:off x="8267700" y="39425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7300" name="TextBox 7299">
          <a:extLst>
            <a:ext uri="{FF2B5EF4-FFF2-40B4-BE49-F238E27FC236}">
              <a16:creationId xmlns:a16="http://schemas.microsoft.com/office/drawing/2014/main" id="{00000000-0008-0000-0000-000043000000}"/>
            </a:ext>
          </a:extLst>
        </xdr:cNvPr>
        <xdr:cNvSpPr txBox="1"/>
      </xdr:nvSpPr>
      <xdr:spPr>
        <a:xfrm>
          <a:off x="8267700" y="39425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7301" name="TextBox 7300">
          <a:extLst>
            <a:ext uri="{FF2B5EF4-FFF2-40B4-BE49-F238E27FC236}">
              <a16:creationId xmlns:a16="http://schemas.microsoft.com/office/drawing/2014/main" id="{00000000-0008-0000-0000-000044000000}"/>
            </a:ext>
          </a:extLst>
        </xdr:cNvPr>
        <xdr:cNvSpPr txBox="1"/>
      </xdr:nvSpPr>
      <xdr:spPr>
        <a:xfrm>
          <a:off x="8267700" y="39425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7302" name="TextBox 7301">
          <a:extLst>
            <a:ext uri="{FF2B5EF4-FFF2-40B4-BE49-F238E27FC236}">
              <a16:creationId xmlns:a16="http://schemas.microsoft.com/office/drawing/2014/main" id="{00000000-0008-0000-0000-000045000000}"/>
            </a:ext>
          </a:extLst>
        </xdr:cNvPr>
        <xdr:cNvSpPr txBox="1"/>
      </xdr:nvSpPr>
      <xdr:spPr>
        <a:xfrm>
          <a:off x="8267700" y="39425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7303" name="TextBox 7302">
          <a:extLst>
            <a:ext uri="{FF2B5EF4-FFF2-40B4-BE49-F238E27FC236}">
              <a16:creationId xmlns:a16="http://schemas.microsoft.com/office/drawing/2014/main" id="{00000000-0008-0000-0000-000048000000}"/>
            </a:ext>
          </a:extLst>
        </xdr:cNvPr>
        <xdr:cNvSpPr txBox="1"/>
      </xdr:nvSpPr>
      <xdr:spPr>
        <a:xfrm>
          <a:off x="826770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7304" name="TextBox 7303">
          <a:extLst>
            <a:ext uri="{FF2B5EF4-FFF2-40B4-BE49-F238E27FC236}">
              <a16:creationId xmlns:a16="http://schemas.microsoft.com/office/drawing/2014/main" id="{00000000-0008-0000-0000-000049000000}"/>
            </a:ext>
          </a:extLst>
        </xdr:cNvPr>
        <xdr:cNvSpPr txBox="1"/>
      </xdr:nvSpPr>
      <xdr:spPr>
        <a:xfrm>
          <a:off x="826770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7305" name="TextBox 7304">
          <a:extLst>
            <a:ext uri="{FF2B5EF4-FFF2-40B4-BE49-F238E27FC236}">
              <a16:creationId xmlns:a16="http://schemas.microsoft.com/office/drawing/2014/main" id="{00000000-0008-0000-0000-00004C000000}"/>
            </a:ext>
          </a:extLst>
        </xdr:cNvPr>
        <xdr:cNvSpPr txBox="1"/>
      </xdr:nvSpPr>
      <xdr:spPr>
        <a:xfrm>
          <a:off x="826770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7306" name="TextBox 7305">
          <a:extLst>
            <a:ext uri="{FF2B5EF4-FFF2-40B4-BE49-F238E27FC236}">
              <a16:creationId xmlns:a16="http://schemas.microsoft.com/office/drawing/2014/main" id="{00000000-0008-0000-0000-00004D000000}"/>
            </a:ext>
          </a:extLst>
        </xdr:cNvPr>
        <xdr:cNvSpPr txBox="1"/>
      </xdr:nvSpPr>
      <xdr:spPr>
        <a:xfrm>
          <a:off x="826770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7307" name="TextBox 7306">
          <a:extLst>
            <a:ext uri="{FF2B5EF4-FFF2-40B4-BE49-F238E27FC236}">
              <a16:creationId xmlns:a16="http://schemas.microsoft.com/office/drawing/2014/main" id="{00000000-0008-0000-0000-00004E000000}"/>
            </a:ext>
          </a:extLst>
        </xdr:cNvPr>
        <xdr:cNvSpPr txBox="1"/>
      </xdr:nvSpPr>
      <xdr:spPr>
        <a:xfrm>
          <a:off x="826770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7308" name="TextBox 7307">
          <a:extLst>
            <a:ext uri="{FF2B5EF4-FFF2-40B4-BE49-F238E27FC236}">
              <a16:creationId xmlns:a16="http://schemas.microsoft.com/office/drawing/2014/main" id="{00000000-0008-0000-0000-00004F000000}"/>
            </a:ext>
          </a:extLst>
        </xdr:cNvPr>
        <xdr:cNvSpPr txBox="1"/>
      </xdr:nvSpPr>
      <xdr:spPr>
        <a:xfrm>
          <a:off x="826770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7309" name="TextBox 7308">
          <a:extLst>
            <a:ext uri="{FF2B5EF4-FFF2-40B4-BE49-F238E27FC236}">
              <a16:creationId xmlns:a16="http://schemas.microsoft.com/office/drawing/2014/main" id="{00000000-0008-0000-0000-000050000000}"/>
            </a:ext>
          </a:extLst>
        </xdr:cNvPr>
        <xdr:cNvSpPr txBox="1"/>
      </xdr:nvSpPr>
      <xdr:spPr>
        <a:xfrm>
          <a:off x="826770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7310" name="TextBox 7309">
          <a:extLst>
            <a:ext uri="{FF2B5EF4-FFF2-40B4-BE49-F238E27FC236}">
              <a16:creationId xmlns:a16="http://schemas.microsoft.com/office/drawing/2014/main" id="{00000000-0008-0000-0000-000051000000}"/>
            </a:ext>
          </a:extLst>
        </xdr:cNvPr>
        <xdr:cNvSpPr txBox="1"/>
      </xdr:nvSpPr>
      <xdr:spPr>
        <a:xfrm>
          <a:off x="826770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7311" name="TextBox 7310">
          <a:extLst>
            <a:ext uri="{FF2B5EF4-FFF2-40B4-BE49-F238E27FC236}">
              <a16:creationId xmlns:a16="http://schemas.microsoft.com/office/drawing/2014/main" id="{00000000-0008-0000-0000-000052000000}"/>
            </a:ext>
          </a:extLst>
        </xdr:cNvPr>
        <xdr:cNvSpPr txBox="1"/>
      </xdr:nvSpPr>
      <xdr:spPr>
        <a:xfrm>
          <a:off x="8267700" y="334822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7312" name="TextBox 7311">
          <a:extLst>
            <a:ext uri="{FF2B5EF4-FFF2-40B4-BE49-F238E27FC236}">
              <a16:creationId xmlns:a16="http://schemas.microsoft.com/office/drawing/2014/main" id="{00000000-0008-0000-0000-000053000000}"/>
            </a:ext>
          </a:extLst>
        </xdr:cNvPr>
        <xdr:cNvSpPr txBox="1"/>
      </xdr:nvSpPr>
      <xdr:spPr>
        <a:xfrm>
          <a:off x="8267700" y="334822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7313" name="TextBox 7312">
          <a:extLst>
            <a:ext uri="{FF2B5EF4-FFF2-40B4-BE49-F238E27FC236}">
              <a16:creationId xmlns:a16="http://schemas.microsoft.com/office/drawing/2014/main" id="{00000000-0008-0000-0000-000054000000}"/>
            </a:ext>
          </a:extLst>
        </xdr:cNvPr>
        <xdr:cNvSpPr txBox="1"/>
      </xdr:nvSpPr>
      <xdr:spPr>
        <a:xfrm>
          <a:off x="826770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7314" name="TextBox 7313">
          <a:extLst>
            <a:ext uri="{FF2B5EF4-FFF2-40B4-BE49-F238E27FC236}">
              <a16:creationId xmlns:a16="http://schemas.microsoft.com/office/drawing/2014/main" id="{00000000-0008-0000-0000-000055000000}"/>
            </a:ext>
          </a:extLst>
        </xdr:cNvPr>
        <xdr:cNvSpPr txBox="1"/>
      </xdr:nvSpPr>
      <xdr:spPr>
        <a:xfrm>
          <a:off x="826770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7315" name="TextBox 7314">
          <a:extLst>
            <a:ext uri="{FF2B5EF4-FFF2-40B4-BE49-F238E27FC236}">
              <a16:creationId xmlns:a16="http://schemas.microsoft.com/office/drawing/2014/main" id="{00000000-0008-0000-0000-000056000000}"/>
            </a:ext>
          </a:extLst>
        </xdr:cNvPr>
        <xdr:cNvSpPr txBox="1"/>
      </xdr:nvSpPr>
      <xdr:spPr>
        <a:xfrm>
          <a:off x="826770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7316" name="TextBox 7315">
          <a:extLst>
            <a:ext uri="{FF2B5EF4-FFF2-40B4-BE49-F238E27FC236}">
              <a16:creationId xmlns:a16="http://schemas.microsoft.com/office/drawing/2014/main" id="{00000000-0008-0000-0000-000057000000}"/>
            </a:ext>
          </a:extLst>
        </xdr:cNvPr>
        <xdr:cNvSpPr txBox="1"/>
      </xdr:nvSpPr>
      <xdr:spPr>
        <a:xfrm>
          <a:off x="826770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7317" name="TextBox 7316">
          <a:extLst>
            <a:ext uri="{FF2B5EF4-FFF2-40B4-BE49-F238E27FC236}">
              <a16:creationId xmlns:a16="http://schemas.microsoft.com/office/drawing/2014/main" id="{00000000-0008-0000-0000-000058000000}"/>
            </a:ext>
          </a:extLst>
        </xdr:cNvPr>
        <xdr:cNvSpPr txBox="1"/>
      </xdr:nvSpPr>
      <xdr:spPr>
        <a:xfrm>
          <a:off x="826770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7318" name="TextBox 7317">
          <a:extLst>
            <a:ext uri="{FF2B5EF4-FFF2-40B4-BE49-F238E27FC236}">
              <a16:creationId xmlns:a16="http://schemas.microsoft.com/office/drawing/2014/main" id="{00000000-0008-0000-0000-000059000000}"/>
            </a:ext>
          </a:extLst>
        </xdr:cNvPr>
        <xdr:cNvSpPr txBox="1"/>
      </xdr:nvSpPr>
      <xdr:spPr>
        <a:xfrm>
          <a:off x="826770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7319" name="TextBox 7318">
          <a:extLst>
            <a:ext uri="{FF2B5EF4-FFF2-40B4-BE49-F238E27FC236}">
              <a16:creationId xmlns:a16="http://schemas.microsoft.com/office/drawing/2014/main" id="{00000000-0008-0000-0000-00005A000000}"/>
            </a:ext>
          </a:extLst>
        </xdr:cNvPr>
        <xdr:cNvSpPr txBox="1"/>
      </xdr:nvSpPr>
      <xdr:spPr>
        <a:xfrm>
          <a:off x="826770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7320" name="TextBox 7319">
          <a:extLst>
            <a:ext uri="{FF2B5EF4-FFF2-40B4-BE49-F238E27FC236}">
              <a16:creationId xmlns:a16="http://schemas.microsoft.com/office/drawing/2014/main" id="{00000000-0008-0000-0000-00005B000000}"/>
            </a:ext>
          </a:extLst>
        </xdr:cNvPr>
        <xdr:cNvSpPr txBox="1"/>
      </xdr:nvSpPr>
      <xdr:spPr>
        <a:xfrm>
          <a:off x="826770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7321" name="TextBox 7320">
          <a:extLst>
            <a:ext uri="{FF2B5EF4-FFF2-40B4-BE49-F238E27FC236}">
              <a16:creationId xmlns:a16="http://schemas.microsoft.com/office/drawing/2014/main" id="{00000000-0008-0000-0000-00005C000000}"/>
            </a:ext>
          </a:extLst>
        </xdr:cNvPr>
        <xdr:cNvSpPr txBox="1"/>
      </xdr:nvSpPr>
      <xdr:spPr>
        <a:xfrm>
          <a:off x="826770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7322" name="TextBox 7321">
          <a:extLst>
            <a:ext uri="{FF2B5EF4-FFF2-40B4-BE49-F238E27FC236}">
              <a16:creationId xmlns:a16="http://schemas.microsoft.com/office/drawing/2014/main" id="{00000000-0008-0000-0000-00005D000000}"/>
            </a:ext>
          </a:extLst>
        </xdr:cNvPr>
        <xdr:cNvSpPr txBox="1"/>
      </xdr:nvSpPr>
      <xdr:spPr>
        <a:xfrm>
          <a:off x="826770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7323" name="TextBox 7322">
          <a:extLst>
            <a:ext uri="{FF2B5EF4-FFF2-40B4-BE49-F238E27FC236}">
              <a16:creationId xmlns:a16="http://schemas.microsoft.com/office/drawing/2014/main" id="{00000000-0008-0000-0000-00005E000000}"/>
            </a:ext>
          </a:extLst>
        </xdr:cNvPr>
        <xdr:cNvSpPr txBox="1"/>
      </xdr:nvSpPr>
      <xdr:spPr>
        <a:xfrm>
          <a:off x="826770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7324" name="TextBox 7323">
          <a:extLst>
            <a:ext uri="{FF2B5EF4-FFF2-40B4-BE49-F238E27FC236}">
              <a16:creationId xmlns:a16="http://schemas.microsoft.com/office/drawing/2014/main" id="{00000000-0008-0000-0000-00005F000000}"/>
            </a:ext>
          </a:extLst>
        </xdr:cNvPr>
        <xdr:cNvSpPr txBox="1"/>
      </xdr:nvSpPr>
      <xdr:spPr>
        <a:xfrm>
          <a:off x="826770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7325" name="TextBox 7324">
          <a:extLst>
            <a:ext uri="{FF2B5EF4-FFF2-40B4-BE49-F238E27FC236}">
              <a16:creationId xmlns:a16="http://schemas.microsoft.com/office/drawing/2014/main" id="{00000000-0008-0000-0000-000060000000}"/>
            </a:ext>
          </a:extLst>
        </xdr:cNvPr>
        <xdr:cNvSpPr txBox="1"/>
      </xdr:nvSpPr>
      <xdr:spPr>
        <a:xfrm>
          <a:off x="8267700" y="334822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7326" name="TextBox 7325">
          <a:extLst>
            <a:ext uri="{FF2B5EF4-FFF2-40B4-BE49-F238E27FC236}">
              <a16:creationId xmlns:a16="http://schemas.microsoft.com/office/drawing/2014/main" id="{00000000-0008-0000-0000-000061000000}"/>
            </a:ext>
          </a:extLst>
        </xdr:cNvPr>
        <xdr:cNvSpPr txBox="1"/>
      </xdr:nvSpPr>
      <xdr:spPr>
        <a:xfrm>
          <a:off x="8267700" y="334822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7327" name="TextBox 7326">
          <a:extLst>
            <a:ext uri="{FF2B5EF4-FFF2-40B4-BE49-F238E27FC236}">
              <a16:creationId xmlns:a16="http://schemas.microsoft.com/office/drawing/2014/main" id="{00000000-0008-0000-0000-000062000000}"/>
            </a:ext>
          </a:extLst>
        </xdr:cNvPr>
        <xdr:cNvSpPr txBox="1"/>
      </xdr:nvSpPr>
      <xdr:spPr>
        <a:xfrm>
          <a:off x="8267700" y="334822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7328" name="TextBox 7327">
          <a:extLst>
            <a:ext uri="{FF2B5EF4-FFF2-40B4-BE49-F238E27FC236}">
              <a16:creationId xmlns:a16="http://schemas.microsoft.com/office/drawing/2014/main" id="{00000000-0008-0000-0000-000063000000}"/>
            </a:ext>
          </a:extLst>
        </xdr:cNvPr>
        <xdr:cNvSpPr txBox="1"/>
      </xdr:nvSpPr>
      <xdr:spPr>
        <a:xfrm>
          <a:off x="8267700" y="334822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7329" name="TextBox 7328">
          <a:extLst>
            <a:ext uri="{FF2B5EF4-FFF2-40B4-BE49-F238E27FC236}">
              <a16:creationId xmlns:a16="http://schemas.microsoft.com/office/drawing/2014/main" id="{00000000-0008-0000-0000-000064000000}"/>
            </a:ext>
          </a:extLst>
        </xdr:cNvPr>
        <xdr:cNvSpPr txBox="1"/>
      </xdr:nvSpPr>
      <xdr:spPr>
        <a:xfrm>
          <a:off x="826770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7330" name="TextBox 7329">
          <a:extLst>
            <a:ext uri="{FF2B5EF4-FFF2-40B4-BE49-F238E27FC236}">
              <a16:creationId xmlns:a16="http://schemas.microsoft.com/office/drawing/2014/main" id="{00000000-0008-0000-0000-000065000000}"/>
            </a:ext>
          </a:extLst>
        </xdr:cNvPr>
        <xdr:cNvSpPr txBox="1"/>
      </xdr:nvSpPr>
      <xdr:spPr>
        <a:xfrm>
          <a:off x="826770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7331" name="TextBox 7330">
          <a:extLst>
            <a:ext uri="{FF2B5EF4-FFF2-40B4-BE49-F238E27FC236}">
              <a16:creationId xmlns:a16="http://schemas.microsoft.com/office/drawing/2014/main" id="{00000000-0008-0000-0000-000066000000}"/>
            </a:ext>
          </a:extLst>
        </xdr:cNvPr>
        <xdr:cNvSpPr txBox="1"/>
      </xdr:nvSpPr>
      <xdr:spPr>
        <a:xfrm>
          <a:off x="826770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7332" name="TextBox 7331">
          <a:extLst>
            <a:ext uri="{FF2B5EF4-FFF2-40B4-BE49-F238E27FC236}">
              <a16:creationId xmlns:a16="http://schemas.microsoft.com/office/drawing/2014/main" id="{00000000-0008-0000-0000-000067000000}"/>
            </a:ext>
          </a:extLst>
        </xdr:cNvPr>
        <xdr:cNvSpPr txBox="1"/>
      </xdr:nvSpPr>
      <xdr:spPr>
        <a:xfrm>
          <a:off x="826770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7333" name="TextBox 7332">
          <a:extLst>
            <a:ext uri="{FF2B5EF4-FFF2-40B4-BE49-F238E27FC236}">
              <a16:creationId xmlns:a16="http://schemas.microsoft.com/office/drawing/2014/main" id="{00000000-0008-0000-0000-000068000000}"/>
            </a:ext>
          </a:extLst>
        </xdr:cNvPr>
        <xdr:cNvSpPr txBox="1"/>
      </xdr:nvSpPr>
      <xdr:spPr>
        <a:xfrm>
          <a:off x="826770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7334" name="TextBox 7333">
          <a:extLst>
            <a:ext uri="{FF2B5EF4-FFF2-40B4-BE49-F238E27FC236}">
              <a16:creationId xmlns:a16="http://schemas.microsoft.com/office/drawing/2014/main" id="{00000000-0008-0000-0000-000069000000}"/>
            </a:ext>
          </a:extLst>
        </xdr:cNvPr>
        <xdr:cNvSpPr txBox="1"/>
      </xdr:nvSpPr>
      <xdr:spPr>
        <a:xfrm>
          <a:off x="826770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7335" name="TextBox 7334">
          <a:extLst>
            <a:ext uri="{FF2B5EF4-FFF2-40B4-BE49-F238E27FC236}">
              <a16:creationId xmlns:a16="http://schemas.microsoft.com/office/drawing/2014/main" id="{00000000-0008-0000-0000-00006A000000}"/>
            </a:ext>
          </a:extLst>
        </xdr:cNvPr>
        <xdr:cNvSpPr txBox="1"/>
      </xdr:nvSpPr>
      <xdr:spPr>
        <a:xfrm>
          <a:off x="826770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7336" name="TextBox 7335">
          <a:extLst>
            <a:ext uri="{FF2B5EF4-FFF2-40B4-BE49-F238E27FC236}">
              <a16:creationId xmlns:a16="http://schemas.microsoft.com/office/drawing/2014/main" id="{00000000-0008-0000-0000-00006B000000}"/>
            </a:ext>
          </a:extLst>
        </xdr:cNvPr>
        <xdr:cNvSpPr txBox="1"/>
      </xdr:nvSpPr>
      <xdr:spPr>
        <a:xfrm>
          <a:off x="826770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7337" name="TextBox 7336">
          <a:extLst>
            <a:ext uri="{FF2B5EF4-FFF2-40B4-BE49-F238E27FC236}">
              <a16:creationId xmlns:a16="http://schemas.microsoft.com/office/drawing/2014/main" id="{00000000-0008-0000-0000-00006C000000}"/>
            </a:ext>
          </a:extLst>
        </xdr:cNvPr>
        <xdr:cNvSpPr txBox="1"/>
      </xdr:nvSpPr>
      <xdr:spPr>
        <a:xfrm>
          <a:off x="826770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7338" name="TextBox 7337">
          <a:extLst>
            <a:ext uri="{FF2B5EF4-FFF2-40B4-BE49-F238E27FC236}">
              <a16:creationId xmlns:a16="http://schemas.microsoft.com/office/drawing/2014/main" id="{00000000-0008-0000-0000-00006D000000}"/>
            </a:ext>
          </a:extLst>
        </xdr:cNvPr>
        <xdr:cNvSpPr txBox="1"/>
      </xdr:nvSpPr>
      <xdr:spPr>
        <a:xfrm>
          <a:off x="826770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7339" name="TextBox 7338">
          <a:extLst>
            <a:ext uri="{FF2B5EF4-FFF2-40B4-BE49-F238E27FC236}">
              <a16:creationId xmlns:a16="http://schemas.microsoft.com/office/drawing/2014/main" id="{00000000-0008-0000-0000-00006E000000}"/>
            </a:ext>
          </a:extLst>
        </xdr:cNvPr>
        <xdr:cNvSpPr txBox="1"/>
      </xdr:nvSpPr>
      <xdr:spPr>
        <a:xfrm>
          <a:off x="826770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7340" name="TextBox 7339">
          <a:extLst>
            <a:ext uri="{FF2B5EF4-FFF2-40B4-BE49-F238E27FC236}">
              <a16:creationId xmlns:a16="http://schemas.microsoft.com/office/drawing/2014/main" id="{00000000-0008-0000-0000-00006F000000}"/>
            </a:ext>
          </a:extLst>
        </xdr:cNvPr>
        <xdr:cNvSpPr txBox="1"/>
      </xdr:nvSpPr>
      <xdr:spPr>
        <a:xfrm>
          <a:off x="826770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7341" name="TextBox 7340">
          <a:extLst>
            <a:ext uri="{FF2B5EF4-FFF2-40B4-BE49-F238E27FC236}">
              <a16:creationId xmlns:a16="http://schemas.microsoft.com/office/drawing/2014/main" id="{00000000-0008-0000-0000-000070000000}"/>
            </a:ext>
          </a:extLst>
        </xdr:cNvPr>
        <xdr:cNvSpPr txBox="1"/>
      </xdr:nvSpPr>
      <xdr:spPr>
        <a:xfrm>
          <a:off x="826770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7342" name="TextBox 7341">
          <a:extLst>
            <a:ext uri="{FF2B5EF4-FFF2-40B4-BE49-F238E27FC236}">
              <a16:creationId xmlns:a16="http://schemas.microsoft.com/office/drawing/2014/main" id="{00000000-0008-0000-0000-000071000000}"/>
            </a:ext>
          </a:extLst>
        </xdr:cNvPr>
        <xdr:cNvSpPr txBox="1"/>
      </xdr:nvSpPr>
      <xdr:spPr>
        <a:xfrm>
          <a:off x="826770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7343" name="TextBox 7342">
          <a:extLst>
            <a:ext uri="{FF2B5EF4-FFF2-40B4-BE49-F238E27FC236}">
              <a16:creationId xmlns:a16="http://schemas.microsoft.com/office/drawing/2014/main" id="{00000000-0008-0000-0000-000072000000}"/>
            </a:ext>
          </a:extLst>
        </xdr:cNvPr>
        <xdr:cNvSpPr txBox="1"/>
      </xdr:nvSpPr>
      <xdr:spPr>
        <a:xfrm>
          <a:off x="826770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7344" name="TextBox 7343">
          <a:extLst>
            <a:ext uri="{FF2B5EF4-FFF2-40B4-BE49-F238E27FC236}">
              <a16:creationId xmlns:a16="http://schemas.microsoft.com/office/drawing/2014/main" id="{00000000-0008-0000-0000-000073000000}"/>
            </a:ext>
          </a:extLst>
        </xdr:cNvPr>
        <xdr:cNvSpPr txBox="1"/>
      </xdr:nvSpPr>
      <xdr:spPr>
        <a:xfrm>
          <a:off x="826770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7345" name="TextBox 7344">
          <a:extLst>
            <a:ext uri="{FF2B5EF4-FFF2-40B4-BE49-F238E27FC236}">
              <a16:creationId xmlns:a16="http://schemas.microsoft.com/office/drawing/2014/main" id="{00000000-0008-0000-0000-000074000000}"/>
            </a:ext>
          </a:extLst>
        </xdr:cNvPr>
        <xdr:cNvSpPr txBox="1"/>
      </xdr:nvSpPr>
      <xdr:spPr>
        <a:xfrm>
          <a:off x="1258062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7346" name="TextBox 7345">
          <a:extLst>
            <a:ext uri="{FF2B5EF4-FFF2-40B4-BE49-F238E27FC236}">
              <a16:creationId xmlns:a16="http://schemas.microsoft.com/office/drawing/2014/main" id="{00000000-0008-0000-0000-000075000000}"/>
            </a:ext>
          </a:extLst>
        </xdr:cNvPr>
        <xdr:cNvSpPr txBox="1"/>
      </xdr:nvSpPr>
      <xdr:spPr>
        <a:xfrm>
          <a:off x="1258062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7347" name="TextBox 7346">
          <a:extLst>
            <a:ext uri="{FF2B5EF4-FFF2-40B4-BE49-F238E27FC236}">
              <a16:creationId xmlns:a16="http://schemas.microsoft.com/office/drawing/2014/main" id="{00000000-0008-0000-0000-000076000000}"/>
            </a:ext>
          </a:extLst>
        </xdr:cNvPr>
        <xdr:cNvSpPr txBox="1"/>
      </xdr:nvSpPr>
      <xdr:spPr>
        <a:xfrm>
          <a:off x="1258062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7348" name="TextBox 7347">
          <a:extLst>
            <a:ext uri="{FF2B5EF4-FFF2-40B4-BE49-F238E27FC236}">
              <a16:creationId xmlns:a16="http://schemas.microsoft.com/office/drawing/2014/main" id="{00000000-0008-0000-0000-000077000000}"/>
            </a:ext>
          </a:extLst>
        </xdr:cNvPr>
        <xdr:cNvSpPr txBox="1"/>
      </xdr:nvSpPr>
      <xdr:spPr>
        <a:xfrm>
          <a:off x="1258062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7349" name="TextBox 7348">
          <a:extLst>
            <a:ext uri="{FF2B5EF4-FFF2-40B4-BE49-F238E27FC236}">
              <a16:creationId xmlns:a16="http://schemas.microsoft.com/office/drawing/2014/main" id="{00000000-0008-0000-0000-000078000000}"/>
            </a:ext>
          </a:extLst>
        </xdr:cNvPr>
        <xdr:cNvSpPr txBox="1"/>
      </xdr:nvSpPr>
      <xdr:spPr>
        <a:xfrm>
          <a:off x="1258062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7350" name="TextBox 7349">
          <a:extLst>
            <a:ext uri="{FF2B5EF4-FFF2-40B4-BE49-F238E27FC236}">
              <a16:creationId xmlns:a16="http://schemas.microsoft.com/office/drawing/2014/main" id="{00000000-0008-0000-0000-000079000000}"/>
            </a:ext>
          </a:extLst>
        </xdr:cNvPr>
        <xdr:cNvSpPr txBox="1"/>
      </xdr:nvSpPr>
      <xdr:spPr>
        <a:xfrm>
          <a:off x="1258062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7351" name="TextBox 7350">
          <a:extLst>
            <a:ext uri="{FF2B5EF4-FFF2-40B4-BE49-F238E27FC236}">
              <a16:creationId xmlns:a16="http://schemas.microsoft.com/office/drawing/2014/main" id="{00000000-0008-0000-0000-00007A000000}"/>
            </a:ext>
          </a:extLst>
        </xdr:cNvPr>
        <xdr:cNvSpPr txBox="1"/>
      </xdr:nvSpPr>
      <xdr:spPr>
        <a:xfrm>
          <a:off x="1258062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7352" name="TextBox 7351">
          <a:extLst>
            <a:ext uri="{FF2B5EF4-FFF2-40B4-BE49-F238E27FC236}">
              <a16:creationId xmlns:a16="http://schemas.microsoft.com/office/drawing/2014/main" id="{00000000-0008-0000-0000-00007B000000}"/>
            </a:ext>
          </a:extLst>
        </xdr:cNvPr>
        <xdr:cNvSpPr txBox="1"/>
      </xdr:nvSpPr>
      <xdr:spPr>
        <a:xfrm>
          <a:off x="1258062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7353" name="TextBox 7352">
          <a:extLst>
            <a:ext uri="{FF2B5EF4-FFF2-40B4-BE49-F238E27FC236}">
              <a16:creationId xmlns:a16="http://schemas.microsoft.com/office/drawing/2014/main" id="{00000000-0008-0000-0000-00007C000000}"/>
            </a:ext>
          </a:extLst>
        </xdr:cNvPr>
        <xdr:cNvSpPr txBox="1"/>
      </xdr:nvSpPr>
      <xdr:spPr>
        <a:xfrm>
          <a:off x="8267700" y="334822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7354" name="TextBox 7353">
          <a:extLst>
            <a:ext uri="{FF2B5EF4-FFF2-40B4-BE49-F238E27FC236}">
              <a16:creationId xmlns:a16="http://schemas.microsoft.com/office/drawing/2014/main" id="{00000000-0008-0000-0000-00007D000000}"/>
            </a:ext>
          </a:extLst>
        </xdr:cNvPr>
        <xdr:cNvSpPr txBox="1"/>
      </xdr:nvSpPr>
      <xdr:spPr>
        <a:xfrm>
          <a:off x="8267700" y="334822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7355" name="TextBox 7354">
          <a:extLst>
            <a:ext uri="{FF2B5EF4-FFF2-40B4-BE49-F238E27FC236}">
              <a16:creationId xmlns:a16="http://schemas.microsoft.com/office/drawing/2014/main" id="{00000000-0008-0000-0000-00007E000000}"/>
            </a:ext>
          </a:extLst>
        </xdr:cNvPr>
        <xdr:cNvSpPr txBox="1"/>
      </xdr:nvSpPr>
      <xdr:spPr>
        <a:xfrm>
          <a:off x="8267700" y="334822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7356" name="TextBox 7355">
          <a:extLst>
            <a:ext uri="{FF2B5EF4-FFF2-40B4-BE49-F238E27FC236}">
              <a16:creationId xmlns:a16="http://schemas.microsoft.com/office/drawing/2014/main" id="{00000000-0008-0000-0000-00007F000000}"/>
            </a:ext>
          </a:extLst>
        </xdr:cNvPr>
        <xdr:cNvSpPr txBox="1"/>
      </xdr:nvSpPr>
      <xdr:spPr>
        <a:xfrm>
          <a:off x="8267700" y="334822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7357" name="TextBox 7356">
          <a:extLst>
            <a:ext uri="{FF2B5EF4-FFF2-40B4-BE49-F238E27FC236}">
              <a16:creationId xmlns:a16="http://schemas.microsoft.com/office/drawing/2014/main" id="{00000000-0008-0000-0000-000080000000}"/>
            </a:ext>
          </a:extLst>
        </xdr:cNvPr>
        <xdr:cNvSpPr txBox="1"/>
      </xdr:nvSpPr>
      <xdr:spPr>
        <a:xfrm>
          <a:off x="826770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7358" name="TextBox 7357">
          <a:extLst>
            <a:ext uri="{FF2B5EF4-FFF2-40B4-BE49-F238E27FC236}">
              <a16:creationId xmlns:a16="http://schemas.microsoft.com/office/drawing/2014/main" id="{00000000-0008-0000-0000-000081000000}"/>
            </a:ext>
          </a:extLst>
        </xdr:cNvPr>
        <xdr:cNvSpPr txBox="1"/>
      </xdr:nvSpPr>
      <xdr:spPr>
        <a:xfrm>
          <a:off x="826770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7359" name="TextBox 7358">
          <a:extLst>
            <a:ext uri="{FF2B5EF4-FFF2-40B4-BE49-F238E27FC236}">
              <a16:creationId xmlns:a16="http://schemas.microsoft.com/office/drawing/2014/main" id="{00000000-0008-0000-0000-000082000000}"/>
            </a:ext>
          </a:extLst>
        </xdr:cNvPr>
        <xdr:cNvSpPr txBox="1"/>
      </xdr:nvSpPr>
      <xdr:spPr>
        <a:xfrm>
          <a:off x="826770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7360" name="TextBox 7359">
          <a:extLst>
            <a:ext uri="{FF2B5EF4-FFF2-40B4-BE49-F238E27FC236}">
              <a16:creationId xmlns:a16="http://schemas.microsoft.com/office/drawing/2014/main" id="{00000000-0008-0000-0000-000083000000}"/>
            </a:ext>
          </a:extLst>
        </xdr:cNvPr>
        <xdr:cNvSpPr txBox="1"/>
      </xdr:nvSpPr>
      <xdr:spPr>
        <a:xfrm>
          <a:off x="826770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7361" name="TextBox 7360">
          <a:extLst>
            <a:ext uri="{FF2B5EF4-FFF2-40B4-BE49-F238E27FC236}">
              <a16:creationId xmlns:a16="http://schemas.microsoft.com/office/drawing/2014/main" id="{00000000-0008-0000-0000-000084000000}"/>
            </a:ext>
          </a:extLst>
        </xdr:cNvPr>
        <xdr:cNvSpPr txBox="1"/>
      </xdr:nvSpPr>
      <xdr:spPr>
        <a:xfrm>
          <a:off x="826770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7362" name="TextBox 7361">
          <a:extLst>
            <a:ext uri="{FF2B5EF4-FFF2-40B4-BE49-F238E27FC236}">
              <a16:creationId xmlns:a16="http://schemas.microsoft.com/office/drawing/2014/main" id="{00000000-0008-0000-0000-000085000000}"/>
            </a:ext>
          </a:extLst>
        </xdr:cNvPr>
        <xdr:cNvSpPr txBox="1"/>
      </xdr:nvSpPr>
      <xdr:spPr>
        <a:xfrm>
          <a:off x="826770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7363" name="TextBox 7362">
          <a:extLst>
            <a:ext uri="{FF2B5EF4-FFF2-40B4-BE49-F238E27FC236}">
              <a16:creationId xmlns:a16="http://schemas.microsoft.com/office/drawing/2014/main" id="{00000000-0008-0000-0000-000086000000}"/>
            </a:ext>
          </a:extLst>
        </xdr:cNvPr>
        <xdr:cNvSpPr txBox="1"/>
      </xdr:nvSpPr>
      <xdr:spPr>
        <a:xfrm>
          <a:off x="826770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7364" name="TextBox 7363">
          <a:extLst>
            <a:ext uri="{FF2B5EF4-FFF2-40B4-BE49-F238E27FC236}">
              <a16:creationId xmlns:a16="http://schemas.microsoft.com/office/drawing/2014/main" id="{00000000-0008-0000-0000-000087000000}"/>
            </a:ext>
          </a:extLst>
        </xdr:cNvPr>
        <xdr:cNvSpPr txBox="1"/>
      </xdr:nvSpPr>
      <xdr:spPr>
        <a:xfrm>
          <a:off x="826770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7365" name="TextBox 7364">
          <a:extLst>
            <a:ext uri="{FF2B5EF4-FFF2-40B4-BE49-F238E27FC236}">
              <a16:creationId xmlns:a16="http://schemas.microsoft.com/office/drawing/2014/main" id="{00000000-0008-0000-0000-000088000000}"/>
            </a:ext>
          </a:extLst>
        </xdr:cNvPr>
        <xdr:cNvSpPr txBox="1"/>
      </xdr:nvSpPr>
      <xdr:spPr>
        <a:xfrm>
          <a:off x="826770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7366" name="TextBox 7365">
          <a:extLst>
            <a:ext uri="{FF2B5EF4-FFF2-40B4-BE49-F238E27FC236}">
              <a16:creationId xmlns:a16="http://schemas.microsoft.com/office/drawing/2014/main" id="{00000000-0008-0000-0000-000089000000}"/>
            </a:ext>
          </a:extLst>
        </xdr:cNvPr>
        <xdr:cNvSpPr txBox="1"/>
      </xdr:nvSpPr>
      <xdr:spPr>
        <a:xfrm>
          <a:off x="826770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7367" name="TextBox 7366">
          <a:extLst>
            <a:ext uri="{FF2B5EF4-FFF2-40B4-BE49-F238E27FC236}">
              <a16:creationId xmlns:a16="http://schemas.microsoft.com/office/drawing/2014/main" id="{00000000-0008-0000-0000-00008A000000}"/>
            </a:ext>
          </a:extLst>
        </xdr:cNvPr>
        <xdr:cNvSpPr txBox="1"/>
      </xdr:nvSpPr>
      <xdr:spPr>
        <a:xfrm>
          <a:off x="826770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7368" name="TextBox 7367">
          <a:extLst>
            <a:ext uri="{FF2B5EF4-FFF2-40B4-BE49-F238E27FC236}">
              <a16:creationId xmlns:a16="http://schemas.microsoft.com/office/drawing/2014/main" id="{00000000-0008-0000-0000-00008B000000}"/>
            </a:ext>
          </a:extLst>
        </xdr:cNvPr>
        <xdr:cNvSpPr txBox="1"/>
      </xdr:nvSpPr>
      <xdr:spPr>
        <a:xfrm>
          <a:off x="826770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7369" name="TextBox 7368">
          <a:extLst>
            <a:ext uri="{FF2B5EF4-FFF2-40B4-BE49-F238E27FC236}">
              <a16:creationId xmlns:a16="http://schemas.microsoft.com/office/drawing/2014/main" id="{00000000-0008-0000-0000-00008C000000}"/>
            </a:ext>
          </a:extLst>
        </xdr:cNvPr>
        <xdr:cNvSpPr txBox="1"/>
      </xdr:nvSpPr>
      <xdr:spPr>
        <a:xfrm>
          <a:off x="826770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7370" name="TextBox 7369">
          <a:extLst>
            <a:ext uri="{FF2B5EF4-FFF2-40B4-BE49-F238E27FC236}">
              <a16:creationId xmlns:a16="http://schemas.microsoft.com/office/drawing/2014/main" id="{00000000-0008-0000-0000-00008D000000}"/>
            </a:ext>
          </a:extLst>
        </xdr:cNvPr>
        <xdr:cNvSpPr txBox="1"/>
      </xdr:nvSpPr>
      <xdr:spPr>
        <a:xfrm>
          <a:off x="826770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7371" name="TextBox 7370">
          <a:extLst>
            <a:ext uri="{FF2B5EF4-FFF2-40B4-BE49-F238E27FC236}">
              <a16:creationId xmlns:a16="http://schemas.microsoft.com/office/drawing/2014/main" id="{00000000-0008-0000-0000-00008E000000}"/>
            </a:ext>
          </a:extLst>
        </xdr:cNvPr>
        <xdr:cNvSpPr txBox="1"/>
      </xdr:nvSpPr>
      <xdr:spPr>
        <a:xfrm>
          <a:off x="826770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7372" name="TextBox 7371">
          <a:extLst>
            <a:ext uri="{FF2B5EF4-FFF2-40B4-BE49-F238E27FC236}">
              <a16:creationId xmlns:a16="http://schemas.microsoft.com/office/drawing/2014/main" id="{00000000-0008-0000-0000-00008F000000}"/>
            </a:ext>
          </a:extLst>
        </xdr:cNvPr>
        <xdr:cNvSpPr txBox="1"/>
      </xdr:nvSpPr>
      <xdr:spPr>
        <a:xfrm>
          <a:off x="826770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7373" name="TextBox 7372">
          <a:extLst>
            <a:ext uri="{FF2B5EF4-FFF2-40B4-BE49-F238E27FC236}">
              <a16:creationId xmlns:a16="http://schemas.microsoft.com/office/drawing/2014/main" id="{00000000-0008-0000-0000-000090000000}"/>
            </a:ext>
          </a:extLst>
        </xdr:cNvPr>
        <xdr:cNvSpPr txBox="1"/>
      </xdr:nvSpPr>
      <xdr:spPr>
        <a:xfrm>
          <a:off x="826770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7374" name="TextBox 7373">
          <a:extLst>
            <a:ext uri="{FF2B5EF4-FFF2-40B4-BE49-F238E27FC236}">
              <a16:creationId xmlns:a16="http://schemas.microsoft.com/office/drawing/2014/main" id="{00000000-0008-0000-0000-000091000000}"/>
            </a:ext>
          </a:extLst>
        </xdr:cNvPr>
        <xdr:cNvSpPr txBox="1"/>
      </xdr:nvSpPr>
      <xdr:spPr>
        <a:xfrm>
          <a:off x="826770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7375" name="TextBox 7374">
          <a:extLst>
            <a:ext uri="{FF2B5EF4-FFF2-40B4-BE49-F238E27FC236}">
              <a16:creationId xmlns:a16="http://schemas.microsoft.com/office/drawing/2014/main" id="{00000000-0008-0000-0000-000092000000}"/>
            </a:ext>
          </a:extLst>
        </xdr:cNvPr>
        <xdr:cNvSpPr txBox="1"/>
      </xdr:nvSpPr>
      <xdr:spPr>
        <a:xfrm>
          <a:off x="826770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7376" name="TextBox 7375">
          <a:extLst>
            <a:ext uri="{FF2B5EF4-FFF2-40B4-BE49-F238E27FC236}">
              <a16:creationId xmlns:a16="http://schemas.microsoft.com/office/drawing/2014/main" id="{00000000-0008-0000-0000-000093000000}"/>
            </a:ext>
          </a:extLst>
        </xdr:cNvPr>
        <xdr:cNvSpPr txBox="1"/>
      </xdr:nvSpPr>
      <xdr:spPr>
        <a:xfrm>
          <a:off x="826770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7377" name="TextBox 7376">
          <a:extLst>
            <a:ext uri="{FF2B5EF4-FFF2-40B4-BE49-F238E27FC236}">
              <a16:creationId xmlns:a16="http://schemas.microsoft.com/office/drawing/2014/main" id="{00000000-0008-0000-0000-000094000000}"/>
            </a:ext>
          </a:extLst>
        </xdr:cNvPr>
        <xdr:cNvSpPr txBox="1"/>
      </xdr:nvSpPr>
      <xdr:spPr>
        <a:xfrm>
          <a:off x="826770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7378" name="TextBox 7377">
          <a:extLst>
            <a:ext uri="{FF2B5EF4-FFF2-40B4-BE49-F238E27FC236}">
              <a16:creationId xmlns:a16="http://schemas.microsoft.com/office/drawing/2014/main" id="{00000000-0008-0000-0000-000095000000}"/>
            </a:ext>
          </a:extLst>
        </xdr:cNvPr>
        <xdr:cNvSpPr txBox="1"/>
      </xdr:nvSpPr>
      <xdr:spPr>
        <a:xfrm>
          <a:off x="826770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7379" name="TextBox 7378">
          <a:extLst>
            <a:ext uri="{FF2B5EF4-FFF2-40B4-BE49-F238E27FC236}">
              <a16:creationId xmlns:a16="http://schemas.microsoft.com/office/drawing/2014/main" id="{00000000-0008-0000-0000-000096000000}"/>
            </a:ext>
          </a:extLst>
        </xdr:cNvPr>
        <xdr:cNvSpPr txBox="1"/>
      </xdr:nvSpPr>
      <xdr:spPr>
        <a:xfrm>
          <a:off x="826770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7380" name="TextBox 7379">
          <a:extLst>
            <a:ext uri="{FF2B5EF4-FFF2-40B4-BE49-F238E27FC236}">
              <a16:creationId xmlns:a16="http://schemas.microsoft.com/office/drawing/2014/main" id="{00000000-0008-0000-0000-000097000000}"/>
            </a:ext>
          </a:extLst>
        </xdr:cNvPr>
        <xdr:cNvSpPr txBox="1"/>
      </xdr:nvSpPr>
      <xdr:spPr>
        <a:xfrm>
          <a:off x="826770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7381" name="TextBox 7380">
          <a:extLst>
            <a:ext uri="{FF2B5EF4-FFF2-40B4-BE49-F238E27FC236}">
              <a16:creationId xmlns:a16="http://schemas.microsoft.com/office/drawing/2014/main" id="{00000000-0008-0000-0000-000098000000}"/>
            </a:ext>
          </a:extLst>
        </xdr:cNvPr>
        <xdr:cNvSpPr txBox="1"/>
      </xdr:nvSpPr>
      <xdr:spPr>
        <a:xfrm>
          <a:off x="826770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7382" name="TextBox 7381">
          <a:extLst>
            <a:ext uri="{FF2B5EF4-FFF2-40B4-BE49-F238E27FC236}">
              <a16:creationId xmlns:a16="http://schemas.microsoft.com/office/drawing/2014/main" id="{00000000-0008-0000-0000-000099000000}"/>
            </a:ext>
          </a:extLst>
        </xdr:cNvPr>
        <xdr:cNvSpPr txBox="1"/>
      </xdr:nvSpPr>
      <xdr:spPr>
        <a:xfrm>
          <a:off x="826770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7383" name="TextBox 7382">
          <a:extLst>
            <a:ext uri="{FF2B5EF4-FFF2-40B4-BE49-F238E27FC236}">
              <a16:creationId xmlns:a16="http://schemas.microsoft.com/office/drawing/2014/main" id="{00000000-0008-0000-0000-00009A000000}"/>
            </a:ext>
          </a:extLst>
        </xdr:cNvPr>
        <xdr:cNvSpPr txBox="1"/>
      </xdr:nvSpPr>
      <xdr:spPr>
        <a:xfrm>
          <a:off x="826770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7384" name="TextBox 7383">
          <a:extLst>
            <a:ext uri="{FF2B5EF4-FFF2-40B4-BE49-F238E27FC236}">
              <a16:creationId xmlns:a16="http://schemas.microsoft.com/office/drawing/2014/main" id="{00000000-0008-0000-0000-00009B000000}"/>
            </a:ext>
          </a:extLst>
        </xdr:cNvPr>
        <xdr:cNvSpPr txBox="1"/>
      </xdr:nvSpPr>
      <xdr:spPr>
        <a:xfrm>
          <a:off x="826770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7385" name="TextBox 7384">
          <a:extLst>
            <a:ext uri="{FF2B5EF4-FFF2-40B4-BE49-F238E27FC236}">
              <a16:creationId xmlns:a16="http://schemas.microsoft.com/office/drawing/2014/main" id="{00000000-0008-0000-0000-00009C000000}"/>
            </a:ext>
          </a:extLst>
        </xdr:cNvPr>
        <xdr:cNvSpPr txBox="1"/>
      </xdr:nvSpPr>
      <xdr:spPr>
        <a:xfrm>
          <a:off x="826770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7386" name="TextBox 7385">
          <a:extLst>
            <a:ext uri="{FF2B5EF4-FFF2-40B4-BE49-F238E27FC236}">
              <a16:creationId xmlns:a16="http://schemas.microsoft.com/office/drawing/2014/main" id="{00000000-0008-0000-0000-00009D000000}"/>
            </a:ext>
          </a:extLst>
        </xdr:cNvPr>
        <xdr:cNvSpPr txBox="1"/>
      </xdr:nvSpPr>
      <xdr:spPr>
        <a:xfrm>
          <a:off x="826770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7387" name="TextBox 7386">
          <a:extLst>
            <a:ext uri="{FF2B5EF4-FFF2-40B4-BE49-F238E27FC236}">
              <a16:creationId xmlns:a16="http://schemas.microsoft.com/office/drawing/2014/main" id="{00000000-0008-0000-0000-00009E000000}"/>
            </a:ext>
          </a:extLst>
        </xdr:cNvPr>
        <xdr:cNvSpPr txBox="1"/>
      </xdr:nvSpPr>
      <xdr:spPr>
        <a:xfrm>
          <a:off x="826770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7388" name="TextBox 7387">
          <a:extLst>
            <a:ext uri="{FF2B5EF4-FFF2-40B4-BE49-F238E27FC236}">
              <a16:creationId xmlns:a16="http://schemas.microsoft.com/office/drawing/2014/main" id="{00000000-0008-0000-0000-00009F000000}"/>
            </a:ext>
          </a:extLst>
        </xdr:cNvPr>
        <xdr:cNvSpPr txBox="1"/>
      </xdr:nvSpPr>
      <xdr:spPr>
        <a:xfrm>
          <a:off x="826770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7389" name="TextBox 7388">
          <a:extLst>
            <a:ext uri="{FF2B5EF4-FFF2-40B4-BE49-F238E27FC236}">
              <a16:creationId xmlns:a16="http://schemas.microsoft.com/office/drawing/2014/main" id="{00000000-0008-0000-0000-0000A0000000}"/>
            </a:ext>
          </a:extLst>
        </xdr:cNvPr>
        <xdr:cNvSpPr txBox="1"/>
      </xdr:nvSpPr>
      <xdr:spPr>
        <a:xfrm>
          <a:off x="826770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7390" name="TextBox 7389">
          <a:extLst>
            <a:ext uri="{FF2B5EF4-FFF2-40B4-BE49-F238E27FC236}">
              <a16:creationId xmlns:a16="http://schemas.microsoft.com/office/drawing/2014/main" id="{00000000-0008-0000-0000-0000A1000000}"/>
            </a:ext>
          </a:extLst>
        </xdr:cNvPr>
        <xdr:cNvSpPr txBox="1"/>
      </xdr:nvSpPr>
      <xdr:spPr>
        <a:xfrm>
          <a:off x="826770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7391" name="TextBox 7390">
          <a:extLst>
            <a:ext uri="{FF2B5EF4-FFF2-40B4-BE49-F238E27FC236}">
              <a16:creationId xmlns:a16="http://schemas.microsoft.com/office/drawing/2014/main" id="{00000000-0008-0000-0000-0000A2000000}"/>
            </a:ext>
          </a:extLst>
        </xdr:cNvPr>
        <xdr:cNvSpPr txBox="1"/>
      </xdr:nvSpPr>
      <xdr:spPr>
        <a:xfrm>
          <a:off x="826770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7392" name="TextBox 7391">
          <a:extLst>
            <a:ext uri="{FF2B5EF4-FFF2-40B4-BE49-F238E27FC236}">
              <a16:creationId xmlns:a16="http://schemas.microsoft.com/office/drawing/2014/main" id="{00000000-0008-0000-0000-0000A3000000}"/>
            </a:ext>
          </a:extLst>
        </xdr:cNvPr>
        <xdr:cNvSpPr txBox="1"/>
      </xdr:nvSpPr>
      <xdr:spPr>
        <a:xfrm>
          <a:off x="826770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7393" name="TextBox 7392">
          <a:extLst>
            <a:ext uri="{FF2B5EF4-FFF2-40B4-BE49-F238E27FC236}">
              <a16:creationId xmlns:a16="http://schemas.microsoft.com/office/drawing/2014/main" id="{00000000-0008-0000-0000-0000A4000000}"/>
            </a:ext>
          </a:extLst>
        </xdr:cNvPr>
        <xdr:cNvSpPr txBox="1"/>
      </xdr:nvSpPr>
      <xdr:spPr>
        <a:xfrm>
          <a:off x="826770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7394" name="TextBox 7393">
          <a:extLst>
            <a:ext uri="{FF2B5EF4-FFF2-40B4-BE49-F238E27FC236}">
              <a16:creationId xmlns:a16="http://schemas.microsoft.com/office/drawing/2014/main" id="{00000000-0008-0000-0000-0000A5000000}"/>
            </a:ext>
          </a:extLst>
        </xdr:cNvPr>
        <xdr:cNvSpPr txBox="1"/>
      </xdr:nvSpPr>
      <xdr:spPr>
        <a:xfrm>
          <a:off x="826770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7395" name="TextBox 7394">
          <a:extLst>
            <a:ext uri="{FF2B5EF4-FFF2-40B4-BE49-F238E27FC236}">
              <a16:creationId xmlns:a16="http://schemas.microsoft.com/office/drawing/2014/main" id="{00000000-0008-0000-0000-0000A6000000}"/>
            </a:ext>
          </a:extLst>
        </xdr:cNvPr>
        <xdr:cNvSpPr txBox="1"/>
      </xdr:nvSpPr>
      <xdr:spPr>
        <a:xfrm>
          <a:off x="826770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7396" name="TextBox 7395">
          <a:extLst>
            <a:ext uri="{FF2B5EF4-FFF2-40B4-BE49-F238E27FC236}">
              <a16:creationId xmlns:a16="http://schemas.microsoft.com/office/drawing/2014/main" id="{00000000-0008-0000-0000-0000A7000000}"/>
            </a:ext>
          </a:extLst>
        </xdr:cNvPr>
        <xdr:cNvSpPr txBox="1"/>
      </xdr:nvSpPr>
      <xdr:spPr>
        <a:xfrm>
          <a:off x="826770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7397" name="TextBox 7396">
          <a:extLst>
            <a:ext uri="{FF2B5EF4-FFF2-40B4-BE49-F238E27FC236}">
              <a16:creationId xmlns:a16="http://schemas.microsoft.com/office/drawing/2014/main" id="{00000000-0008-0000-0000-0000A8000000}"/>
            </a:ext>
          </a:extLst>
        </xdr:cNvPr>
        <xdr:cNvSpPr txBox="1"/>
      </xdr:nvSpPr>
      <xdr:spPr>
        <a:xfrm>
          <a:off x="826770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7398" name="TextBox 7397">
          <a:extLst>
            <a:ext uri="{FF2B5EF4-FFF2-40B4-BE49-F238E27FC236}">
              <a16:creationId xmlns:a16="http://schemas.microsoft.com/office/drawing/2014/main" id="{00000000-0008-0000-0000-0000A9000000}"/>
            </a:ext>
          </a:extLst>
        </xdr:cNvPr>
        <xdr:cNvSpPr txBox="1"/>
      </xdr:nvSpPr>
      <xdr:spPr>
        <a:xfrm>
          <a:off x="826770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7399" name="TextBox 7398">
          <a:extLst>
            <a:ext uri="{FF2B5EF4-FFF2-40B4-BE49-F238E27FC236}">
              <a16:creationId xmlns:a16="http://schemas.microsoft.com/office/drawing/2014/main" id="{00000000-0008-0000-0000-0000AA000000}"/>
            </a:ext>
          </a:extLst>
        </xdr:cNvPr>
        <xdr:cNvSpPr txBox="1"/>
      </xdr:nvSpPr>
      <xdr:spPr>
        <a:xfrm>
          <a:off x="826770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7400" name="TextBox 7399">
          <a:extLst>
            <a:ext uri="{FF2B5EF4-FFF2-40B4-BE49-F238E27FC236}">
              <a16:creationId xmlns:a16="http://schemas.microsoft.com/office/drawing/2014/main" id="{00000000-0008-0000-0000-0000AB000000}"/>
            </a:ext>
          </a:extLst>
        </xdr:cNvPr>
        <xdr:cNvSpPr txBox="1"/>
      </xdr:nvSpPr>
      <xdr:spPr>
        <a:xfrm>
          <a:off x="826770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7401" name="TextBox 7400">
          <a:extLst>
            <a:ext uri="{FF2B5EF4-FFF2-40B4-BE49-F238E27FC236}">
              <a16:creationId xmlns:a16="http://schemas.microsoft.com/office/drawing/2014/main" id="{00000000-0008-0000-0000-0000AC000000}"/>
            </a:ext>
          </a:extLst>
        </xdr:cNvPr>
        <xdr:cNvSpPr txBox="1"/>
      </xdr:nvSpPr>
      <xdr:spPr>
        <a:xfrm>
          <a:off x="826770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7402" name="TextBox 7401">
          <a:extLst>
            <a:ext uri="{FF2B5EF4-FFF2-40B4-BE49-F238E27FC236}">
              <a16:creationId xmlns:a16="http://schemas.microsoft.com/office/drawing/2014/main" id="{00000000-0008-0000-0000-0000AD000000}"/>
            </a:ext>
          </a:extLst>
        </xdr:cNvPr>
        <xdr:cNvSpPr txBox="1"/>
      </xdr:nvSpPr>
      <xdr:spPr>
        <a:xfrm>
          <a:off x="826770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7403" name="TextBox 7402">
          <a:extLst>
            <a:ext uri="{FF2B5EF4-FFF2-40B4-BE49-F238E27FC236}">
              <a16:creationId xmlns:a16="http://schemas.microsoft.com/office/drawing/2014/main" id="{00000000-0008-0000-0000-0000AE000000}"/>
            </a:ext>
          </a:extLst>
        </xdr:cNvPr>
        <xdr:cNvSpPr txBox="1"/>
      </xdr:nvSpPr>
      <xdr:spPr>
        <a:xfrm>
          <a:off x="826770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7404" name="TextBox 7403">
          <a:extLst>
            <a:ext uri="{FF2B5EF4-FFF2-40B4-BE49-F238E27FC236}">
              <a16:creationId xmlns:a16="http://schemas.microsoft.com/office/drawing/2014/main" id="{00000000-0008-0000-0000-0000AF000000}"/>
            </a:ext>
          </a:extLst>
        </xdr:cNvPr>
        <xdr:cNvSpPr txBox="1"/>
      </xdr:nvSpPr>
      <xdr:spPr>
        <a:xfrm>
          <a:off x="826770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7405" name="TextBox 7404">
          <a:extLst>
            <a:ext uri="{FF2B5EF4-FFF2-40B4-BE49-F238E27FC236}">
              <a16:creationId xmlns:a16="http://schemas.microsoft.com/office/drawing/2014/main" id="{00000000-0008-0000-0000-0000B0000000}"/>
            </a:ext>
          </a:extLst>
        </xdr:cNvPr>
        <xdr:cNvSpPr txBox="1"/>
      </xdr:nvSpPr>
      <xdr:spPr>
        <a:xfrm>
          <a:off x="1258062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7406" name="TextBox 7405">
          <a:extLst>
            <a:ext uri="{FF2B5EF4-FFF2-40B4-BE49-F238E27FC236}">
              <a16:creationId xmlns:a16="http://schemas.microsoft.com/office/drawing/2014/main" id="{00000000-0008-0000-0000-0000B1000000}"/>
            </a:ext>
          </a:extLst>
        </xdr:cNvPr>
        <xdr:cNvSpPr txBox="1"/>
      </xdr:nvSpPr>
      <xdr:spPr>
        <a:xfrm>
          <a:off x="1258062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7407" name="TextBox 7406">
          <a:extLst>
            <a:ext uri="{FF2B5EF4-FFF2-40B4-BE49-F238E27FC236}">
              <a16:creationId xmlns:a16="http://schemas.microsoft.com/office/drawing/2014/main" id="{00000000-0008-0000-0000-0000B2000000}"/>
            </a:ext>
          </a:extLst>
        </xdr:cNvPr>
        <xdr:cNvSpPr txBox="1"/>
      </xdr:nvSpPr>
      <xdr:spPr>
        <a:xfrm>
          <a:off x="1258062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7408" name="TextBox 7407">
          <a:extLst>
            <a:ext uri="{FF2B5EF4-FFF2-40B4-BE49-F238E27FC236}">
              <a16:creationId xmlns:a16="http://schemas.microsoft.com/office/drawing/2014/main" id="{00000000-0008-0000-0000-0000B3000000}"/>
            </a:ext>
          </a:extLst>
        </xdr:cNvPr>
        <xdr:cNvSpPr txBox="1"/>
      </xdr:nvSpPr>
      <xdr:spPr>
        <a:xfrm>
          <a:off x="1258062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7409" name="TextBox 7408">
          <a:extLst>
            <a:ext uri="{FF2B5EF4-FFF2-40B4-BE49-F238E27FC236}">
              <a16:creationId xmlns:a16="http://schemas.microsoft.com/office/drawing/2014/main" id="{00000000-0008-0000-0000-0000B4000000}"/>
            </a:ext>
          </a:extLst>
        </xdr:cNvPr>
        <xdr:cNvSpPr txBox="1"/>
      </xdr:nvSpPr>
      <xdr:spPr>
        <a:xfrm>
          <a:off x="1258062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7410" name="TextBox 7409">
          <a:extLst>
            <a:ext uri="{FF2B5EF4-FFF2-40B4-BE49-F238E27FC236}">
              <a16:creationId xmlns:a16="http://schemas.microsoft.com/office/drawing/2014/main" id="{00000000-0008-0000-0000-0000B5000000}"/>
            </a:ext>
          </a:extLst>
        </xdr:cNvPr>
        <xdr:cNvSpPr txBox="1"/>
      </xdr:nvSpPr>
      <xdr:spPr>
        <a:xfrm>
          <a:off x="1258062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7411" name="TextBox 7410">
          <a:extLst>
            <a:ext uri="{FF2B5EF4-FFF2-40B4-BE49-F238E27FC236}">
              <a16:creationId xmlns:a16="http://schemas.microsoft.com/office/drawing/2014/main" id="{00000000-0008-0000-0000-0000B6000000}"/>
            </a:ext>
          </a:extLst>
        </xdr:cNvPr>
        <xdr:cNvSpPr txBox="1"/>
      </xdr:nvSpPr>
      <xdr:spPr>
        <a:xfrm>
          <a:off x="1258062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7412" name="TextBox 7411">
          <a:extLst>
            <a:ext uri="{FF2B5EF4-FFF2-40B4-BE49-F238E27FC236}">
              <a16:creationId xmlns:a16="http://schemas.microsoft.com/office/drawing/2014/main" id="{00000000-0008-0000-0000-0000B7000000}"/>
            </a:ext>
          </a:extLst>
        </xdr:cNvPr>
        <xdr:cNvSpPr txBox="1"/>
      </xdr:nvSpPr>
      <xdr:spPr>
        <a:xfrm>
          <a:off x="1258062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7413" name="TextBox 7412">
          <a:extLst>
            <a:ext uri="{FF2B5EF4-FFF2-40B4-BE49-F238E27FC236}">
              <a16:creationId xmlns:a16="http://schemas.microsoft.com/office/drawing/2014/main" id="{00000000-0008-0000-0000-0000B8000000}"/>
            </a:ext>
          </a:extLst>
        </xdr:cNvPr>
        <xdr:cNvSpPr txBox="1"/>
      </xdr:nvSpPr>
      <xdr:spPr>
        <a:xfrm>
          <a:off x="826770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7414" name="TextBox 7413">
          <a:extLst>
            <a:ext uri="{FF2B5EF4-FFF2-40B4-BE49-F238E27FC236}">
              <a16:creationId xmlns:a16="http://schemas.microsoft.com/office/drawing/2014/main" id="{00000000-0008-0000-0000-0000B9000000}"/>
            </a:ext>
          </a:extLst>
        </xdr:cNvPr>
        <xdr:cNvSpPr txBox="1"/>
      </xdr:nvSpPr>
      <xdr:spPr>
        <a:xfrm>
          <a:off x="826770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7415" name="TextBox 7414">
          <a:extLst>
            <a:ext uri="{FF2B5EF4-FFF2-40B4-BE49-F238E27FC236}">
              <a16:creationId xmlns:a16="http://schemas.microsoft.com/office/drawing/2014/main" id="{00000000-0008-0000-0000-0000BA000000}"/>
            </a:ext>
          </a:extLst>
        </xdr:cNvPr>
        <xdr:cNvSpPr txBox="1"/>
      </xdr:nvSpPr>
      <xdr:spPr>
        <a:xfrm>
          <a:off x="826770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7416" name="TextBox 7415">
          <a:extLst>
            <a:ext uri="{FF2B5EF4-FFF2-40B4-BE49-F238E27FC236}">
              <a16:creationId xmlns:a16="http://schemas.microsoft.com/office/drawing/2014/main" id="{00000000-0008-0000-0000-0000BB000000}"/>
            </a:ext>
          </a:extLst>
        </xdr:cNvPr>
        <xdr:cNvSpPr txBox="1"/>
      </xdr:nvSpPr>
      <xdr:spPr>
        <a:xfrm>
          <a:off x="826770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7417" name="TextBox 7416">
          <a:extLst>
            <a:ext uri="{FF2B5EF4-FFF2-40B4-BE49-F238E27FC236}">
              <a16:creationId xmlns:a16="http://schemas.microsoft.com/office/drawing/2014/main" id="{00000000-0008-0000-0000-0000BC000000}"/>
            </a:ext>
          </a:extLst>
        </xdr:cNvPr>
        <xdr:cNvSpPr txBox="1"/>
      </xdr:nvSpPr>
      <xdr:spPr>
        <a:xfrm>
          <a:off x="826770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7418" name="TextBox 7417">
          <a:extLst>
            <a:ext uri="{FF2B5EF4-FFF2-40B4-BE49-F238E27FC236}">
              <a16:creationId xmlns:a16="http://schemas.microsoft.com/office/drawing/2014/main" id="{00000000-0008-0000-0000-0000BD000000}"/>
            </a:ext>
          </a:extLst>
        </xdr:cNvPr>
        <xdr:cNvSpPr txBox="1"/>
      </xdr:nvSpPr>
      <xdr:spPr>
        <a:xfrm>
          <a:off x="826770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7419" name="TextBox 7418">
          <a:extLst>
            <a:ext uri="{FF2B5EF4-FFF2-40B4-BE49-F238E27FC236}">
              <a16:creationId xmlns:a16="http://schemas.microsoft.com/office/drawing/2014/main" id="{00000000-0008-0000-0000-0000BE000000}"/>
            </a:ext>
          </a:extLst>
        </xdr:cNvPr>
        <xdr:cNvSpPr txBox="1"/>
      </xdr:nvSpPr>
      <xdr:spPr>
        <a:xfrm>
          <a:off x="826770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7420" name="TextBox 7419">
          <a:extLst>
            <a:ext uri="{FF2B5EF4-FFF2-40B4-BE49-F238E27FC236}">
              <a16:creationId xmlns:a16="http://schemas.microsoft.com/office/drawing/2014/main" id="{00000000-0008-0000-0000-0000BF000000}"/>
            </a:ext>
          </a:extLst>
        </xdr:cNvPr>
        <xdr:cNvSpPr txBox="1"/>
      </xdr:nvSpPr>
      <xdr:spPr>
        <a:xfrm>
          <a:off x="826770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7421" name="TextBox 7420">
          <a:extLst>
            <a:ext uri="{FF2B5EF4-FFF2-40B4-BE49-F238E27FC236}">
              <a16:creationId xmlns:a16="http://schemas.microsoft.com/office/drawing/2014/main" id="{00000000-0008-0000-0000-0000C0000000}"/>
            </a:ext>
          </a:extLst>
        </xdr:cNvPr>
        <xdr:cNvSpPr txBox="1"/>
      </xdr:nvSpPr>
      <xdr:spPr>
        <a:xfrm>
          <a:off x="826770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7422" name="TextBox 7421">
          <a:extLst>
            <a:ext uri="{FF2B5EF4-FFF2-40B4-BE49-F238E27FC236}">
              <a16:creationId xmlns:a16="http://schemas.microsoft.com/office/drawing/2014/main" id="{00000000-0008-0000-0000-0000C1000000}"/>
            </a:ext>
          </a:extLst>
        </xdr:cNvPr>
        <xdr:cNvSpPr txBox="1"/>
      </xdr:nvSpPr>
      <xdr:spPr>
        <a:xfrm>
          <a:off x="826770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7423" name="TextBox 7422">
          <a:extLst>
            <a:ext uri="{FF2B5EF4-FFF2-40B4-BE49-F238E27FC236}">
              <a16:creationId xmlns:a16="http://schemas.microsoft.com/office/drawing/2014/main" id="{00000000-0008-0000-0000-0000C2000000}"/>
            </a:ext>
          </a:extLst>
        </xdr:cNvPr>
        <xdr:cNvSpPr txBox="1"/>
      </xdr:nvSpPr>
      <xdr:spPr>
        <a:xfrm>
          <a:off x="826770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7424" name="TextBox 7423">
          <a:extLst>
            <a:ext uri="{FF2B5EF4-FFF2-40B4-BE49-F238E27FC236}">
              <a16:creationId xmlns:a16="http://schemas.microsoft.com/office/drawing/2014/main" id="{00000000-0008-0000-0000-0000C3000000}"/>
            </a:ext>
          </a:extLst>
        </xdr:cNvPr>
        <xdr:cNvSpPr txBox="1"/>
      </xdr:nvSpPr>
      <xdr:spPr>
        <a:xfrm>
          <a:off x="826770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7425" name="TextBox 7424">
          <a:extLst>
            <a:ext uri="{FF2B5EF4-FFF2-40B4-BE49-F238E27FC236}">
              <a16:creationId xmlns:a16="http://schemas.microsoft.com/office/drawing/2014/main" id="{00000000-0008-0000-0000-0000C4000000}"/>
            </a:ext>
          </a:extLst>
        </xdr:cNvPr>
        <xdr:cNvSpPr txBox="1"/>
      </xdr:nvSpPr>
      <xdr:spPr>
        <a:xfrm>
          <a:off x="826770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7426" name="TextBox 7425">
          <a:extLst>
            <a:ext uri="{FF2B5EF4-FFF2-40B4-BE49-F238E27FC236}">
              <a16:creationId xmlns:a16="http://schemas.microsoft.com/office/drawing/2014/main" id="{00000000-0008-0000-0000-0000C5000000}"/>
            </a:ext>
          </a:extLst>
        </xdr:cNvPr>
        <xdr:cNvSpPr txBox="1"/>
      </xdr:nvSpPr>
      <xdr:spPr>
        <a:xfrm>
          <a:off x="826770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7427" name="TextBox 7426">
          <a:extLst>
            <a:ext uri="{FF2B5EF4-FFF2-40B4-BE49-F238E27FC236}">
              <a16:creationId xmlns:a16="http://schemas.microsoft.com/office/drawing/2014/main" id="{00000000-0008-0000-0000-0000C6000000}"/>
            </a:ext>
          </a:extLst>
        </xdr:cNvPr>
        <xdr:cNvSpPr txBox="1"/>
      </xdr:nvSpPr>
      <xdr:spPr>
        <a:xfrm>
          <a:off x="826770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7428" name="TextBox 7427">
          <a:extLst>
            <a:ext uri="{FF2B5EF4-FFF2-40B4-BE49-F238E27FC236}">
              <a16:creationId xmlns:a16="http://schemas.microsoft.com/office/drawing/2014/main" id="{00000000-0008-0000-0000-0000C7000000}"/>
            </a:ext>
          </a:extLst>
        </xdr:cNvPr>
        <xdr:cNvSpPr txBox="1"/>
      </xdr:nvSpPr>
      <xdr:spPr>
        <a:xfrm>
          <a:off x="826770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7429" name="TextBox 7428">
          <a:extLst>
            <a:ext uri="{FF2B5EF4-FFF2-40B4-BE49-F238E27FC236}">
              <a16:creationId xmlns:a16="http://schemas.microsoft.com/office/drawing/2014/main" id="{00000000-0008-0000-0000-0000C8000000}"/>
            </a:ext>
          </a:extLst>
        </xdr:cNvPr>
        <xdr:cNvSpPr txBox="1"/>
      </xdr:nvSpPr>
      <xdr:spPr>
        <a:xfrm>
          <a:off x="826770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7430" name="TextBox 7429">
          <a:extLst>
            <a:ext uri="{FF2B5EF4-FFF2-40B4-BE49-F238E27FC236}">
              <a16:creationId xmlns:a16="http://schemas.microsoft.com/office/drawing/2014/main" id="{00000000-0008-0000-0000-0000C9000000}"/>
            </a:ext>
          </a:extLst>
        </xdr:cNvPr>
        <xdr:cNvSpPr txBox="1"/>
      </xdr:nvSpPr>
      <xdr:spPr>
        <a:xfrm>
          <a:off x="826770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7431" name="TextBox 7430">
          <a:extLst>
            <a:ext uri="{FF2B5EF4-FFF2-40B4-BE49-F238E27FC236}">
              <a16:creationId xmlns:a16="http://schemas.microsoft.com/office/drawing/2014/main" id="{00000000-0008-0000-0000-0000CA000000}"/>
            </a:ext>
          </a:extLst>
        </xdr:cNvPr>
        <xdr:cNvSpPr txBox="1"/>
      </xdr:nvSpPr>
      <xdr:spPr>
        <a:xfrm>
          <a:off x="826770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7432" name="TextBox 7431">
          <a:extLst>
            <a:ext uri="{FF2B5EF4-FFF2-40B4-BE49-F238E27FC236}">
              <a16:creationId xmlns:a16="http://schemas.microsoft.com/office/drawing/2014/main" id="{00000000-0008-0000-0000-0000CB000000}"/>
            </a:ext>
          </a:extLst>
        </xdr:cNvPr>
        <xdr:cNvSpPr txBox="1"/>
      </xdr:nvSpPr>
      <xdr:spPr>
        <a:xfrm>
          <a:off x="826770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7433" name="TextBox 7432">
          <a:extLst>
            <a:ext uri="{FF2B5EF4-FFF2-40B4-BE49-F238E27FC236}">
              <a16:creationId xmlns:a16="http://schemas.microsoft.com/office/drawing/2014/main" id="{00000000-0008-0000-0000-0000CC000000}"/>
            </a:ext>
          </a:extLst>
        </xdr:cNvPr>
        <xdr:cNvSpPr txBox="1"/>
      </xdr:nvSpPr>
      <xdr:spPr>
        <a:xfrm>
          <a:off x="826770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7434" name="TextBox 7433">
          <a:extLst>
            <a:ext uri="{FF2B5EF4-FFF2-40B4-BE49-F238E27FC236}">
              <a16:creationId xmlns:a16="http://schemas.microsoft.com/office/drawing/2014/main" id="{00000000-0008-0000-0000-0000CD000000}"/>
            </a:ext>
          </a:extLst>
        </xdr:cNvPr>
        <xdr:cNvSpPr txBox="1"/>
      </xdr:nvSpPr>
      <xdr:spPr>
        <a:xfrm>
          <a:off x="826770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7435" name="TextBox 7434">
          <a:extLst>
            <a:ext uri="{FF2B5EF4-FFF2-40B4-BE49-F238E27FC236}">
              <a16:creationId xmlns:a16="http://schemas.microsoft.com/office/drawing/2014/main" id="{00000000-0008-0000-0000-0000CE000000}"/>
            </a:ext>
          </a:extLst>
        </xdr:cNvPr>
        <xdr:cNvSpPr txBox="1"/>
      </xdr:nvSpPr>
      <xdr:spPr>
        <a:xfrm>
          <a:off x="826770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7436" name="TextBox 7435">
          <a:extLst>
            <a:ext uri="{FF2B5EF4-FFF2-40B4-BE49-F238E27FC236}">
              <a16:creationId xmlns:a16="http://schemas.microsoft.com/office/drawing/2014/main" id="{00000000-0008-0000-0000-0000CF000000}"/>
            </a:ext>
          </a:extLst>
        </xdr:cNvPr>
        <xdr:cNvSpPr txBox="1"/>
      </xdr:nvSpPr>
      <xdr:spPr>
        <a:xfrm>
          <a:off x="826770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7437" name="TextBox 7436">
          <a:extLst>
            <a:ext uri="{FF2B5EF4-FFF2-40B4-BE49-F238E27FC236}">
              <a16:creationId xmlns:a16="http://schemas.microsoft.com/office/drawing/2014/main" id="{00000000-0008-0000-0000-0000D0000000}"/>
            </a:ext>
          </a:extLst>
        </xdr:cNvPr>
        <xdr:cNvSpPr txBox="1"/>
      </xdr:nvSpPr>
      <xdr:spPr>
        <a:xfrm>
          <a:off x="826770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7438" name="TextBox 7437">
          <a:extLst>
            <a:ext uri="{FF2B5EF4-FFF2-40B4-BE49-F238E27FC236}">
              <a16:creationId xmlns:a16="http://schemas.microsoft.com/office/drawing/2014/main" id="{00000000-0008-0000-0000-0000D1000000}"/>
            </a:ext>
          </a:extLst>
        </xdr:cNvPr>
        <xdr:cNvSpPr txBox="1"/>
      </xdr:nvSpPr>
      <xdr:spPr>
        <a:xfrm>
          <a:off x="826770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7439" name="TextBox 7438">
          <a:extLst>
            <a:ext uri="{FF2B5EF4-FFF2-40B4-BE49-F238E27FC236}">
              <a16:creationId xmlns:a16="http://schemas.microsoft.com/office/drawing/2014/main" id="{00000000-0008-0000-0000-0000D2000000}"/>
            </a:ext>
          </a:extLst>
        </xdr:cNvPr>
        <xdr:cNvSpPr txBox="1"/>
      </xdr:nvSpPr>
      <xdr:spPr>
        <a:xfrm>
          <a:off x="826770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7440" name="TextBox 7439">
          <a:extLst>
            <a:ext uri="{FF2B5EF4-FFF2-40B4-BE49-F238E27FC236}">
              <a16:creationId xmlns:a16="http://schemas.microsoft.com/office/drawing/2014/main" id="{00000000-0008-0000-0000-0000D3000000}"/>
            </a:ext>
          </a:extLst>
        </xdr:cNvPr>
        <xdr:cNvSpPr txBox="1"/>
      </xdr:nvSpPr>
      <xdr:spPr>
        <a:xfrm>
          <a:off x="826770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7441" name="TextBox 7440">
          <a:extLst>
            <a:ext uri="{FF2B5EF4-FFF2-40B4-BE49-F238E27FC236}">
              <a16:creationId xmlns:a16="http://schemas.microsoft.com/office/drawing/2014/main" id="{00000000-0008-0000-0000-0000D4000000}"/>
            </a:ext>
          </a:extLst>
        </xdr:cNvPr>
        <xdr:cNvSpPr txBox="1"/>
      </xdr:nvSpPr>
      <xdr:spPr>
        <a:xfrm>
          <a:off x="826770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7442" name="TextBox 7441">
          <a:extLst>
            <a:ext uri="{FF2B5EF4-FFF2-40B4-BE49-F238E27FC236}">
              <a16:creationId xmlns:a16="http://schemas.microsoft.com/office/drawing/2014/main" id="{00000000-0008-0000-0000-0000D5000000}"/>
            </a:ext>
          </a:extLst>
        </xdr:cNvPr>
        <xdr:cNvSpPr txBox="1"/>
      </xdr:nvSpPr>
      <xdr:spPr>
        <a:xfrm>
          <a:off x="826770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7443" name="TextBox 7442">
          <a:extLst>
            <a:ext uri="{FF2B5EF4-FFF2-40B4-BE49-F238E27FC236}">
              <a16:creationId xmlns:a16="http://schemas.microsoft.com/office/drawing/2014/main" id="{00000000-0008-0000-0000-0000D6000000}"/>
            </a:ext>
          </a:extLst>
        </xdr:cNvPr>
        <xdr:cNvSpPr txBox="1"/>
      </xdr:nvSpPr>
      <xdr:spPr>
        <a:xfrm>
          <a:off x="826770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7444" name="TextBox 7443">
          <a:extLst>
            <a:ext uri="{FF2B5EF4-FFF2-40B4-BE49-F238E27FC236}">
              <a16:creationId xmlns:a16="http://schemas.microsoft.com/office/drawing/2014/main" id="{00000000-0008-0000-0000-0000D7000000}"/>
            </a:ext>
          </a:extLst>
        </xdr:cNvPr>
        <xdr:cNvSpPr txBox="1"/>
      </xdr:nvSpPr>
      <xdr:spPr>
        <a:xfrm>
          <a:off x="826770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7445" name="TextBox 7444">
          <a:extLst>
            <a:ext uri="{FF2B5EF4-FFF2-40B4-BE49-F238E27FC236}">
              <a16:creationId xmlns:a16="http://schemas.microsoft.com/office/drawing/2014/main" id="{00000000-0008-0000-0000-0000D8000000}"/>
            </a:ext>
          </a:extLst>
        </xdr:cNvPr>
        <xdr:cNvSpPr txBox="1"/>
      </xdr:nvSpPr>
      <xdr:spPr>
        <a:xfrm>
          <a:off x="826770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7446" name="TextBox 7445">
          <a:extLst>
            <a:ext uri="{FF2B5EF4-FFF2-40B4-BE49-F238E27FC236}">
              <a16:creationId xmlns:a16="http://schemas.microsoft.com/office/drawing/2014/main" id="{00000000-0008-0000-0000-0000D9000000}"/>
            </a:ext>
          </a:extLst>
        </xdr:cNvPr>
        <xdr:cNvSpPr txBox="1"/>
      </xdr:nvSpPr>
      <xdr:spPr>
        <a:xfrm>
          <a:off x="826770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7447" name="TextBox 7446">
          <a:extLst>
            <a:ext uri="{FF2B5EF4-FFF2-40B4-BE49-F238E27FC236}">
              <a16:creationId xmlns:a16="http://schemas.microsoft.com/office/drawing/2014/main" id="{00000000-0008-0000-0000-0000DA000000}"/>
            </a:ext>
          </a:extLst>
        </xdr:cNvPr>
        <xdr:cNvSpPr txBox="1"/>
      </xdr:nvSpPr>
      <xdr:spPr>
        <a:xfrm>
          <a:off x="826770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7448" name="TextBox 7447">
          <a:extLst>
            <a:ext uri="{FF2B5EF4-FFF2-40B4-BE49-F238E27FC236}">
              <a16:creationId xmlns:a16="http://schemas.microsoft.com/office/drawing/2014/main" id="{00000000-0008-0000-0000-0000DB000000}"/>
            </a:ext>
          </a:extLst>
        </xdr:cNvPr>
        <xdr:cNvSpPr txBox="1"/>
      </xdr:nvSpPr>
      <xdr:spPr>
        <a:xfrm>
          <a:off x="826770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7449" name="TextBox 7448">
          <a:extLst>
            <a:ext uri="{FF2B5EF4-FFF2-40B4-BE49-F238E27FC236}">
              <a16:creationId xmlns:a16="http://schemas.microsoft.com/office/drawing/2014/main" id="{00000000-0008-0000-0000-0000DC000000}"/>
            </a:ext>
          </a:extLst>
        </xdr:cNvPr>
        <xdr:cNvSpPr txBox="1"/>
      </xdr:nvSpPr>
      <xdr:spPr>
        <a:xfrm>
          <a:off x="826770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7450" name="TextBox 7449">
          <a:extLst>
            <a:ext uri="{FF2B5EF4-FFF2-40B4-BE49-F238E27FC236}">
              <a16:creationId xmlns:a16="http://schemas.microsoft.com/office/drawing/2014/main" id="{00000000-0008-0000-0000-0000DD000000}"/>
            </a:ext>
          </a:extLst>
        </xdr:cNvPr>
        <xdr:cNvSpPr txBox="1"/>
      </xdr:nvSpPr>
      <xdr:spPr>
        <a:xfrm>
          <a:off x="826770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7451" name="TextBox 7450">
          <a:extLst>
            <a:ext uri="{FF2B5EF4-FFF2-40B4-BE49-F238E27FC236}">
              <a16:creationId xmlns:a16="http://schemas.microsoft.com/office/drawing/2014/main" id="{00000000-0008-0000-0000-0000DE000000}"/>
            </a:ext>
          </a:extLst>
        </xdr:cNvPr>
        <xdr:cNvSpPr txBox="1"/>
      </xdr:nvSpPr>
      <xdr:spPr>
        <a:xfrm>
          <a:off x="826770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7452" name="TextBox 7451">
          <a:extLst>
            <a:ext uri="{FF2B5EF4-FFF2-40B4-BE49-F238E27FC236}">
              <a16:creationId xmlns:a16="http://schemas.microsoft.com/office/drawing/2014/main" id="{00000000-0008-0000-0000-0000DF000000}"/>
            </a:ext>
          </a:extLst>
        </xdr:cNvPr>
        <xdr:cNvSpPr txBox="1"/>
      </xdr:nvSpPr>
      <xdr:spPr>
        <a:xfrm>
          <a:off x="826770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7453" name="TextBox 7452">
          <a:extLst>
            <a:ext uri="{FF2B5EF4-FFF2-40B4-BE49-F238E27FC236}">
              <a16:creationId xmlns:a16="http://schemas.microsoft.com/office/drawing/2014/main" id="{00000000-0008-0000-0000-0000E0000000}"/>
            </a:ext>
          </a:extLst>
        </xdr:cNvPr>
        <xdr:cNvSpPr txBox="1"/>
      </xdr:nvSpPr>
      <xdr:spPr>
        <a:xfrm>
          <a:off x="826770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7454" name="TextBox 7453">
          <a:extLst>
            <a:ext uri="{FF2B5EF4-FFF2-40B4-BE49-F238E27FC236}">
              <a16:creationId xmlns:a16="http://schemas.microsoft.com/office/drawing/2014/main" id="{00000000-0008-0000-0000-0000E1000000}"/>
            </a:ext>
          </a:extLst>
        </xdr:cNvPr>
        <xdr:cNvSpPr txBox="1"/>
      </xdr:nvSpPr>
      <xdr:spPr>
        <a:xfrm>
          <a:off x="826770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7455" name="TextBox 7454">
          <a:extLst>
            <a:ext uri="{FF2B5EF4-FFF2-40B4-BE49-F238E27FC236}">
              <a16:creationId xmlns:a16="http://schemas.microsoft.com/office/drawing/2014/main" id="{00000000-0008-0000-0000-0000E2000000}"/>
            </a:ext>
          </a:extLst>
        </xdr:cNvPr>
        <xdr:cNvSpPr txBox="1"/>
      </xdr:nvSpPr>
      <xdr:spPr>
        <a:xfrm>
          <a:off x="826770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7456" name="TextBox 7455">
          <a:extLst>
            <a:ext uri="{FF2B5EF4-FFF2-40B4-BE49-F238E27FC236}">
              <a16:creationId xmlns:a16="http://schemas.microsoft.com/office/drawing/2014/main" id="{00000000-0008-0000-0000-0000E3000000}"/>
            </a:ext>
          </a:extLst>
        </xdr:cNvPr>
        <xdr:cNvSpPr txBox="1"/>
      </xdr:nvSpPr>
      <xdr:spPr>
        <a:xfrm>
          <a:off x="826770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7457" name="TextBox 7456">
          <a:extLst>
            <a:ext uri="{FF2B5EF4-FFF2-40B4-BE49-F238E27FC236}">
              <a16:creationId xmlns:a16="http://schemas.microsoft.com/office/drawing/2014/main" id="{00000000-0008-0000-0000-0000E4000000}"/>
            </a:ext>
          </a:extLst>
        </xdr:cNvPr>
        <xdr:cNvSpPr txBox="1"/>
      </xdr:nvSpPr>
      <xdr:spPr>
        <a:xfrm>
          <a:off x="826770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7458" name="TextBox 7457">
          <a:extLst>
            <a:ext uri="{FF2B5EF4-FFF2-40B4-BE49-F238E27FC236}">
              <a16:creationId xmlns:a16="http://schemas.microsoft.com/office/drawing/2014/main" id="{00000000-0008-0000-0000-0000E5000000}"/>
            </a:ext>
          </a:extLst>
        </xdr:cNvPr>
        <xdr:cNvSpPr txBox="1"/>
      </xdr:nvSpPr>
      <xdr:spPr>
        <a:xfrm>
          <a:off x="826770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7459" name="TextBox 7458">
          <a:extLst>
            <a:ext uri="{FF2B5EF4-FFF2-40B4-BE49-F238E27FC236}">
              <a16:creationId xmlns:a16="http://schemas.microsoft.com/office/drawing/2014/main" id="{00000000-0008-0000-0000-0000E6000000}"/>
            </a:ext>
          </a:extLst>
        </xdr:cNvPr>
        <xdr:cNvSpPr txBox="1"/>
      </xdr:nvSpPr>
      <xdr:spPr>
        <a:xfrm>
          <a:off x="826770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7460" name="TextBox 7459">
          <a:extLst>
            <a:ext uri="{FF2B5EF4-FFF2-40B4-BE49-F238E27FC236}">
              <a16:creationId xmlns:a16="http://schemas.microsoft.com/office/drawing/2014/main" id="{00000000-0008-0000-0000-0000E7000000}"/>
            </a:ext>
          </a:extLst>
        </xdr:cNvPr>
        <xdr:cNvSpPr txBox="1"/>
      </xdr:nvSpPr>
      <xdr:spPr>
        <a:xfrm>
          <a:off x="826770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7461" name="TextBox 7460">
          <a:extLst>
            <a:ext uri="{FF2B5EF4-FFF2-40B4-BE49-F238E27FC236}">
              <a16:creationId xmlns:a16="http://schemas.microsoft.com/office/drawing/2014/main" id="{00000000-0008-0000-0000-0000E8000000}"/>
            </a:ext>
          </a:extLst>
        </xdr:cNvPr>
        <xdr:cNvSpPr txBox="1"/>
      </xdr:nvSpPr>
      <xdr:spPr>
        <a:xfrm>
          <a:off x="1258062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7462" name="TextBox 7461">
          <a:extLst>
            <a:ext uri="{FF2B5EF4-FFF2-40B4-BE49-F238E27FC236}">
              <a16:creationId xmlns:a16="http://schemas.microsoft.com/office/drawing/2014/main" id="{00000000-0008-0000-0000-0000E9000000}"/>
            </a:ext>
          </a:extLst>
        </xdr:cNvPr>
        <xdr:cNvSpPr txBox="1"/>
      </xdr:nvSpPr>
      <xdr:spPr>
        <a:xfrm>
          <a:off x="1258062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7463" name="TextBox 7462">
          <a:extLst>
            <a:ext uri="{FF2B5EF4-FFF2-40B4-BE49-F238E27FC236}">
              <a16:creationId xmlns:a16="http://schemas.microsoft.com/office/drawing/2014/main" id="{00000000-0008-0000-0000-0000EA000000}"/>
            </a:ext>
          </a:extLst>
        </xdr:cNvPr>
        <xdr:cNvSpPr txBox="1"/>
      </xdr:nvSpPr>
      <xdr:spPr>
        <a:xfrm>
          <a:off x="1258062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7464" name="TextBox 7463">
          <a:extLst>
            <a:ext uri="{FF2B5EF4-FFF2-40B4-BE49-F238E27FC236}">
              <a16:creationId xmlns:a16="http://schemas.microsoft.com/office/drawing/2014/main" id="{00000000-0008-0000-0000-0000EB000000}"/>
            </a:ext>
          </a:extLst>
        </xdr:cNvPr>
        <xdr:cNvSpPr txBox="1"/>
      </xdr:nvSpPr>
      <xdr:spPr>
        <a:xfrm>
          <a:off x="1258062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7465" name="TextBox 7464">
          <a:extLst>
            <a:ext uri="{FF2B5EF4-FFF2-40B4-BE49-F238E27FC236}">
              <a16:creationId xmlns:a16="http://schemas.microsoft.com/office/drawing/2014/main" id="{00000000-0008-0000-0000-0000EC000000}"/>
            </a:ext>
          </a:extLst>
        </xdr:cNvPr>
        <xdr:cNvSpPr txBox="1"/>
      </xdr:nvSpPr>
      <xdr:spPr>
        <a:xfrm>
          <a:off x="1258062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7466" name="TextBox 7465">
          <a:extLst>
            <a:ext uri="{FF2B5EF4-FFF2-40B4-BE49-F238E27FC236}">
              <a16:creationId xmlns:a16="http://schemas.microsoft.com/office/drawing/2014/main" id="{00000000-0008-0000-0000-0000ED000000}"/>
            </a:ext>
          </a:extLst>
        </xdr:cNvPr>
        <xdr:cNvSpPr txBox="1"/>
      </xdr:nvSpPr>
      <xdr:spPr>
        <a:xfrm>
          <a:off x="1258062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7467" name="TextBox 7466">
          <a:extLst>
            <a:ext uri="{FF2B5EF4-FFF2-40B4-BE49-F238E27FC236}">
              <a16:creationId xmlns:a16="http://schemas.microsoft.com/office/drawing/2014/main" id="{00000000-0008-0000-0000-0000EE000000}"/>
            </a:ext>
          </a:extLst>
        </xdr:cNvPr>
        <xdr:cNvSpPr txBox="1"/>
      </xdr:nvSpPr>
      <xdr:spPr>
        <a:xfrm>
          <a:off x="1258062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7468" name="TextBox 7467">
          <a:extLst>
            <a:ext uri="{FF2B5EF4-FFF2-40B4-BE49-F238E27FC236}">
              <a16:creationId xmlns:a16="http://schemas.microsoft.com/office/drawing/2014/main" id="{00000000-0008-0000-0000-0000EF000000}"/>
            </a:ext>
          </a:extLst>
        </xdr:cNvPr>
        <xdr:cNvSpPr txBox="1"/>
      </xdr:nvSpPr>
      <xdr:spPr>
        <a:xfrm>
          <a:off x="1258062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469" name="TextBox 7468">
          <a:extLst>
            <a:ext uri="{FF2B5EF4-FFF2-40B4-BE49-F238E27FC236}">
              <a16:creationId xmlns:a16="http://schemas.microsoft.com/office/drawing/2014/main" id="{00000000-0008-0000-0000-0000F0000000}"/>
            </a:ext>
          </a:extLst>
        </xdr:cNvPr>
        <xdr:cNvSpPr txBox="1"/>
      </xdr:nvSpPr>
      <xdr:spPr>
        <a:xfrm>
          <a:off x="826770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470" name="TextBox 7469">
          <a:extLst>
            <a:ext uri="{FF2B5EF4-FFF2-40B4-BE49-F238E27FC236}">
              <a16:creationId xmlns:a16="http://schemas.microsoft.com/office/drawing/2014/main" id="{00000000-0008-0000-0000-0000F1000000}"/>
            </a:ext>
          </a:extLst>
        </xdr:cNvPr>
        <xdr:cNvSpPr txBox="1"/>
      </xdr:nvSpPr>
      <xdr:spPr>
        <a:xfrm>
          <a:off x="826770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471" name="TextBox 7470">
          <a:extLst>
            <a:ext uri="{FF2B5EF4-FFF2-40B4-BE49-F238E27FC236}">
              <a16:creationId xmlns:a16="http://schemas.microsoft.com/office/drawing/2014/main" id="{00000000-0008-0000-0000-0000F2000000}"/>
            </a:ext>
          </a:extLst>
        </xdr:cNvPr>
        <xdr:cNvSpPr txBox="1"/>
      </xdr:nvSpPr>
      <xdr:spPr>
        <a:xfrm>
          <a:off x="826770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472" name="TextBox 7471">
          <a:extLst>
            <a:ext uri="{FF2B5EF4-FFF2-40B4-BE49-F238E27FC236}">
              <a16:creationId xmlns:a16="http://schemas.microsoft.com/office/drawing/2014/main" id="{00000000-0008-0000-0000-0000F3000000}"/>
            </a:ext>
          </a:extLst>
        </xdr:cNvPr>
        <xdr:cNvSpPr txBox="1"/>
      </xdr:nvSpPr>
      <xdr:spPr>
        <a:xfrm>
          <a:off x="826770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473" name="TextBox 7472">
          <a:extLst>
            <a:ext uri="{FF2B5EF4-FFF2-40B4-BE49-F238E27FC236}">
              <a16:creationId xmlns:a16="http://schemas.microsoft.com/office/drawing/2014/main" id="{00000000-0008-0000-0000-0000F4000000}"/>
            </a:ext>
          </a:extLst>
        </xdr:cNvPr>
        <xdr:cNvSpPr txBox="1"/>
      </xdr:nvSpPr>
      <xdr:spPr>
        <a:xfrm>
          <a:off x="826770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474" name="TextBox 7473">
          <a:extLst>
            <a:ext uri="{FF2B5EF4-FFF2-40B4-BE49-F238E27FC236}">
              <a16:creationId xmlns:a16="http://schemas.microsoft.com/office/drawing/2014/main" id="{00000000-0008-0000-0000-0000F5000000}"/>
            </a:ext>
          </a:extLst>
        </xdr:cNvPr>
        <xdr:cNvSpPr txBox="1"/>
      </xdr:nvSpPr>
      <xdr:spPr>
        <a:xfrm>
          <a:off x="826770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475" name="TextBox 7474">
          <a:extLst>
            <a:ext uri="{FF2B5EF4-FFF2-40B4-BE49-F238E27FC236}">
              <a16:creationId xmlns:a16="http://schemas.microsoft.com/office/drawing/2014/main" id="{00000000-0008-0000-0000-0000F6000000}"/>
            </a:ext>
          </a:extLst>
        </xdr:cNvPr>
        <xdr:cNvSpPr txBox="1"/>
      </xdr:nvSpPr>
      <xdr:spPr>
        <a:xfrm>
          <a:off x="826770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476" name="TextBox 7475">
          <a:extLst>
            <a:ext uri="{FF2B5EF4-FFF2-40B4-BE49-F238E27FC236}">
              <a16:creationId xmlns:a16="http://schemas.microsoft.com/office/drawing/2014/main" id="{00000000-0008-0000-0000-0000F7000000}"/>
            </a:ext>
          </a:extLst>
        </xdr:cNvPr>
        <xdr:cNvSpPr txBox="1"/>
      </xdr:nvSpPr>
      <xdr:spPr>
        <a:xfrm>
          <a:off x="826770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477" name="TextBox 7476">
          <a:extLst>
            <a:ext uri="{FF2B5EF4-FFF2-40B4-BE49-F238E27FC236}">
              <a16:creationId xmlns:a16="http://schemas.microsoft.com/office/drawing/2014/main" id="{00000000-0008-0000-0000-0000F8000000}"/>
            </a:ext>
          </a:extLst>
        </xdr:cNvPr>
        <xdr:cNvSpPr txBox="1"/>
      </xdr:nvSpPr>
      <xdr:spPr>
        <a:xfrm>
          <a:off x="826770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478" name="TextBox 7477">
          <a:extLst>
            <a:ext uri="{FF2B5EF4-FFF2-40B4-BE49-F238E27FC236}">
              <a16:creationId xmlns:a16="http://schemas.microsoft.com/office/drawing/2014/main" id="{00000000-0008-0000-0000-0000F9000000}"/>
            </a:ext>
          </a:extLst>
        </xdr:cNvPr>
        <xdr:cNvSpPr txBox="1"/>
      </xdr:nvSpPr>
      <xdr:spPr>
        <a:xfrm>
          <a:off x="826770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479" name="TextBox 7478">
          <a:extLst>
            <a:ext uri="{FF2B5EF4-FFF2-40B4-BE49-F238E27FC236}">
              <a16:creationId xmlns:a16="http://schemas.microsoft.com/office/drawing/2014/main" id="{00000000-0008-0000-0000-0000FA000000}"/>
            </a:ext>
          </a:extLst>
        </xdr:cNvPr>
        <xdr:cNvSpPr txBox="1"/>
      </xdr:nvSpPr>
      <xdr:spPr>
        <a:xfrm>
          <a:off x="826770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480" name="TextBox 7479">
          <a:extLst>
            <a:ext uri="{FF2B5EF4-FFF2-40B4-BE49-F238E27FC236}">
              <a16:creationId xmlns:a16="http://schemas.microsoft.com/office/drawing/2014/main" id="{00000000-0008-0000-0000-0000FB000000}"/>
            </a:ext>
          </a:extLst>
        </xdr:cNvPr>
        <xdr:cNvSpPr txBox="1"/>
      </xdr:nvSpPr>
      <xdr:spPr>
        <a:xfrm>
          <a:off x="826770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481" name="TextBox 7480">
          <a:extLst>
            <a:ext uri="{FF2B5EF4-FFF2-40B4-BE49-F238E27FC236}">
              <a16:creationId xmlns:a16="http://schemas.microsoft.com/office/drawing/2014/main" id="{00000000-0008-0000-0000-0000FC000000}"/>
            </a:ext>
          </a:extLst>
        </xdr:cNvPr>
        <xdr:cNvSpPr txBox="1"/>
      </xdr:nvSpPr>
      <xdr:spPr>
        <a:xfrm>
          <a:off x="826770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482" name="TextBox 7481">
          <a:extLst>
            <a:ext uri="{FF2B5EF4-FFF2-40B4-BE49-F238E27FC236}">
              <a16:creationId xmlns:a16="http://schemas.microsoft.com/office/drawing/2014/main" id="{00000000-0008-0000-0000-0000FD000000}"/>
            </a:ext>
          </a:extLst>
        </xdr:cNvPr>
        <xdr:cNvSpPr txBox="1"/>
      </xdr:nvSpPr>
      <xdr:spPr>
        <a:xfrm>
          <a:off x="826770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483" name="TextBox 7482">
          <a:extLst>
            <a:ext uri="{FF2B5EF4-FFF2-40B4-BE49-F238E27FC236}">
              <a16:creationId xmlns:a16="http://schemas.microsoft.com/office/drawing/2014/main" id="{00000000-0008-0000-0000-0000FE000000}"/>
            </a:ext>
          </a:extLst>
        </xdr:cNvPr>
        <xdr:cNvSpPr txBox="1"/>
      </xdr:nvSpPr>
      <xdr:spPr>
        <a:xfrm>
          <a:off x="826770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484" name="TextBox 7483">
          <a:extLst>
            <a:ext uri="{FF2B5EF4-FFF2-40B4-BE49-F238E27FC236}">
              <a16:creationId xmlns:a16="http://schemas.microsoft.com/office/drawing/2014/main" id="{00000000-0008-0000-0000-0000FF000000}"/>
            </a:ext>
          </a:extLst>
        </xdr:cNvPr>
        <xdr:cNvSpPr txBox="1"/>
      </xdr:nvSpPr>
      <xdr:spPr>
        <a:xfrm>
          <a:off x="826770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485" name="TextBox 7484">
          <a:extLst>
            <a:ext uri="{FF2B5EF4-FFF2-40B4-BE49-F238E27FC236}">
              <a16:creationId xmlns:a16="http://schemas.microsoft.com/office/drawing/2014/main" id="{00000000-0008-0000-0000-000000010000}"/>
            </a:ext>
          </a:extLst>
        </xdr:cNvPr>
        <xdr:cNvSpPr txBox="1"/>
      </xdr:nvSpPr>
      <xdr:spPr>
        <a:xfrm>
          <a:off x="826770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486" name="TextBox 7485">
          <a:extLst>
            <a:ext uri="{FF2B5EF4-FFF2-40B4-BE49-F238E27FC236}">
              <a16:creationId xmlns:a16="http://schemas.microsoft.com/office/drawing/2014/main" id="{00000000-0008-0000-0000-000001010000}"/>
            </a:ext>
          </a:extLst>
        </xdr:cNvPr>
        <xdr:cNvSpPr txBox="1"/>
      </xdr:nvSpPr>
      <xdr:spPr>
        <a:xfrm>
          <a:off x="826770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487" name="TextBox 7486">
          <a:extLst>
            <a:ext uri="{FF2B5EF4-FFF2-40B4-BE49-F238E27FC236}">
              <a16:creationId xmlns:a16="http://schemas.microsoft.com/office/drawing/2014/main" id="{00000000-0008-0000-0000-000002010000}"/>
            </a:ext>
          </a:extLst>
        </xdr:cNvPr>
        <xdr:cNvSpPr txBox="1"/>
      </xdr:nvSpPr>
      <xdr:spPr>
        <a:xfrm>
          <a:off x="826770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488" name="TextBox 7487">
          <a:extLst>
            <a:ext uri="{FF2B5EF4-FFF2-40B4-BE49-F238E27FC236}">
              <a16:creationId xmlns:a16="http://schemas.microsoft.com/office/drawing/2014/main" id="{00000000-0008-0000-0000-000003010000}"/>
            </a:ext>
          </a:extLst>
        </xdr:cNvPr>
        <xdr:cNvSpPr txBox="1"/>
      </xdr:nvSpPr>
      <xdr:spPr>
        <a:xfrm>
          <a:off x="826770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489" name="TextBox 7488">
          <a:extLst>
            <a:ext uri="{FF2B5EF4-FFF2-40B4-BE49-F238E27FC236}">
              <a16:creationId xmlns:a16="http://schemas.microsoft.com/office/drawing/2014/main" id="{00000000-0008-0000-0000-000004010000}"/>
            </a:ext>
          </a:extLst>
        </xdr:cNvPr>
        <xdr:cNvSpPr txBox="1"/>
      </xdr:nvSpPr>
      <xdr:spPr>
        <a:xfrm>
          <a:off x="826770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490" name="TextBox 7489">
          <a:extLst>
            <a:ext uri="{FF2B5EF4-FFF2-40B4-BE49-F238E27FC236}">
              <a16:creationId xmlns:a16="http://schemas.microsoft.com/office/drawing/2014/main" id="{00000000-0008-0000-0000-000005010000}"/>
            </a:ext>
          </a:extLst>
        </xdr:cNvPr>
        <xdr:cNvSpPr txBox="1"/>
      </xdr:nvSpPr>
      <xdr:spPr>
        <a:xfrm>
          <a:off x="826770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491" name="TextBox 7490">
          <a:extLst>
            <a:ext uri="{FF2B5EF4-FFF2-40B4-BE49-F238E27FC236}">
              <a16:creationId xmlns:a16="http://schemas.microsoft.com/office/drawing/2014/main" id="{00000000-0008-0000-0000-000006010000}"/>
            </a:ext>
          </a:extLst>
        </xdr:cNvPr>
        <xdr:cNvSpPr txBox="1"/>
      </xdr:nvSpPr>
      <xdr:spPr>
        <a:xfrm>
          <a:off x="826770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492" name="TextBox 7491">
          <a:extLst>
            <a:ext uri="{FF2B5EF4-FFF2-40B4-BE49-F238E27FC236}">
              <a16:creationId xmlns:a16="http://schemas.microsoft.com/office/drawing/2014/main" id="{00000000-0008-0000-0000-000007010000}"/>
            </a:ext>
          </a:extLst>
        </xdr:cNvPr>
        <xdr:cNvSpPr txBox="1"/>
      </xdr:nvSpPr>
      <xdr:spPr>
        <a:xfrm>
          <a:off x="826770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493" name="TextBox 7492">
          <a:extLst>
            <a:ext uri="{FF2B5EF4-FFF2-40B4-BE49-F238E27FC236}">
              <a16:creationId xmlns:a16="http://schemas.microsoft.com/office/drawing/2014/main" id="{00000000-0008-0000-0000-000008010000}"/>
            </a:ext>
          </a:extLst>
        </xdr:cNvPr>
        <xdr:cNvSpPr txBox="1"/>
      </xdr:nvSpPr>
      <xdr:spPr>
        <a:xfrm>
          <a:off x="826770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494" name="TextBox 7493">
          <a:extLst>
            <a:ext uri="{FF2B5EF4-FFF2-40B4-BE49-F238E27FC236}">
              <a16:creationId xmlns:a16="http://schemas.microsoft.com/office/drawing/2014/main" id="{00000000-0008-0000-0000-000009010000}"/>
            </a:ext>
          </a:extLst>
        </xdr:cNvPr>
        <xdr:cNvSpPr txBox="1"/>
      </xdr:nvSpPr>
      <xdr:spPr>
        <a:xfrm>
          <a:off x="826770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495" name="TextBox 7494">
          <a:extLst>
            <a:ext uri="{FF2B5EF4-FFF2-40B4-BE49-F238E27FC236}">
              <a16:creationId xmlns:a16="http://schemas.microsoft.com/office/drawing/2014/main" id="{00000000-0008-0000-0000-00000A010000}"/>
            </a:ext>
          </a:extLst>
        </xdr:cNvPr>
        <xdr:cNvSpPr txBox="1"/>
      </xdr:nvSpPr>
      <xdr:spPr>
        <a:xfrm>
          <a:off x="826770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496" name="TextBox 7495">
          <a:extLst>
            <a:ext uri="{FF2B5EF4-FFF2-40B4-BE49-F238E27FC236}">
              <a16:creationId xmlns:a16="http://schemas.microsoft.com/office/drawing/2014/main" id="{00000000-0008-0000-0000-00000B010000}"/>
            </a:ext>
          </a:extLst>
        </xdr:cNvPr>
        <xdr:cNvSpPr txBox="1"/>
      </xdr:nvSpPr>
      <xdr:spPr>
        <a:xfrm>
          <a:off x="826770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497" name="TextBox 7496">
          <a:extLst>
            <a:ext uri="{FF2B5EF4-FFF2-40B4-BE49-F238E27FC236}">
              <a16:creationId xmlns:a16="http://schemas.microsoft.com/office/drawing/2014/main" id="{00000000-0008-0000-0000-00000C010000}"/>
            </a:ext>
          </a:extLst>
        </xdr:cNvPr>
        <xdr:cNvSpPr txBox="1"/>
      </xdr:nvSpPr>
      <xdr:spPr>
        <a:xfrm>
          <a:off x="826770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498" name="TextBox 7497">
          <a:extLst>
            <a:ext uri="{FF2B5EF4-FFF2-40B4-BE49-F238E27FC236}">
              <a16:creationId xmlns:a16="http://schemas.microsoft.com/office/drawing/2014/main" id="{00000000-0008-0000-0000-00000D010000}"/>
            </a:ext>
          </a:extLst>
        </xdr:cNvPr>
        <xdr:cNvSpPr txBox="1"/>
      </xdr:nvSpPr>
      <xdr:spPr>
        <a:xfrm>
          <a:off x="826770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499" name="TextBox 7498">
          <a:extLst>
            <a:ext uri="{FF2B5EF4-FFF2-40B4-BE49-F238E27FC236}">
              <a16:creationId xmlns:a16="http://schemas.microsoft.com/office/drawing/2014/main" id="{00000000-0008-0000-0000-00000E010000}"/>
            </a:ext>
          </a:extLst>
        </xdr:cNvPr>
        <xdr:cNvSpPr txBox="1"/>
      </xdr:nvSpPr>
      <xdr:spPr>
        <a:xfrm>
          <a:off x="826770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500" name="TextBox 7499">
          <a:extLst>
            <a:ext uri="{FF2B5EF4-FFF2-40B4-BE49-F238E27FC236}">
              <a16:creationId xmlns:a16="http://schemas.microsoft.com/office/drawing/2014/main" id="{00000000-0008-0000-0000-00000F010000}"/>
            </a:ext>
          </a:extLst>
        </xdr:cNvPr>
        <xdr:cNvSpPr txBox="1"/>
      </xdr:nvSpPr>
      <xdr:spPr>
        <a:xfrm>
          <a:off x="826770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501" name="TextBox 7500">
          <a:extLst>
            <a:ext uri="{FF2B5EF4-FFF2-40B4-BE49-F238E27FC236}">
              <a16:creationId xmlns:a16="http://schemas.microsoft.com/office/drawing/2014/main" id="{00000000-0008-0000-0000-000010010000}"/>
            </a:ext>
          </a:extLst>
        </xdr:cNvPr>
        <xdr:cNvSpPr txBox="1"/>
      </xdr:nvSpPr>
      <xdr:spPr>
        <a:xfrm>
          <a:off x="826770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502" name="TextBox 7501">
          <a:extLst>
            <a:ext uri="{FF2B5EF4-FFF2-40B4-BE49-F238E27FC236}">
              <a16:creationId xmlns:a16="http://schemas.microsoft.com/office/drawing/2014/main" id="{00000000-0008-0000-0000-000011010000}"/>
            </a:ext>
          </a:extLst>
        </xdr:cNvPr>
        <xdr:cNvSpPr txBox="1"/>
      </xdr:nvSpPr>
      <xdr:spPr>
        <a:xfrm>
          <a:off x="826770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503" name="TextBox 7502">
          <a:extLst>
            <a:ext uri="{FF2B5EF4-FFF2-40B4-BE49-F238E27FC236}">
              <a16:creationId xmlns:a16="http://schemas.microsoft.com/office/drawing/2014/main" id="{00000000-0008-0000-0000-000012010000}"/>
            </a:ext>
          </a:extLst>
        </xdr:cNvPr>
        <xdr:cNvSpPr txBox="1"/>
      </xdr:nvSpPr>
      <xdr:spPr>
        <a:xfrm>
          <a:off x="826770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504" name="TextBox 7503">
          <a:extLst>
            <a:ext uri="{FF2B5EF4-FFF2-40B4-BE49-F238E27FC236}">
              <a16:creationId xmlns:a16="http://schemas.microsoft.com/office/drawing/2014/main" id="{00000000-0008-0000-0000-000013010000}"/>
            </a:ext>
          </a:extLst>
        </xdr:cNvPr>
        <xdr:cNvSpPr txBox="1"/>
      </xdr:nvSpPr>
      <xdr:spPr>
        <a:xfrm>
          <a:off x="826770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505" name="TextBox 7504">
          <a:extLst>
            <a:ext uri="{FF2B5EF4-FFF2-40B4-BE49-F238E27FC236}">
              <a16:creationId xmlns:a16="http://schemas.microsoft.com/office/drawing/2014/main" id="{00000000-0008-0000-0000-000014010000}"/>
            </a:ext>
          </a:extLst>
        </xdr:cNvPr>
        <xdr:cNvSpPr txBox="1"/>
      </xdr:nvSpPr>
      <xdr:spPr>
        <a:xfrm>
          <a:off x="826770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506" name="TextBox 7505">
          <a:extLst>
            <a:ext uri="{FF2B5EF4-FFF2-40B4-BE49-F238E27FC236}">
              <a16:creationId xmlns:a16="http://schemas.microsoft.com/office/drawing/2014/main" id="{00000000-0008-0000-0000-000015010000}"/>
            </a:ext>
          </a:extLst>
        </xdr:cNvPr>
        <xdr:cNvSpPr txBox="1"/>
      </xdr:nvSpPr>
      <xdr:spPr>
        <a:xfrm>
          <a:off x="826770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507" name="TextBox 7506">
          <a:extLst>
            <a:ext uri="{FF2B5EF4-FFF2-40B4-BE49-F238E27FC236}">
              <a16:creationId xmlns:a16="http://schemas.microsoft.com/office/drawing/2014/main" id="{00000000-0008-0000-0000-000016010000}"/>
            </a:ext>
          </a:extLst>
        </xdr:cNvPr>
        <xdr:cNvSpPr txBox="1"/>
      </xdr:nvSpPr>
      <xdr:spPr>
        <a:xfrm>
          <a:off x="826770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508" name="TextBox 7507">
          <a:extLst>
            <a:ext uri="{FF2B5EF4-FFF2-40B4-BE49-F238E27FC236}">
              <a16:creationId xmlns:a16="http://schemas.microsoft.com/office/drawing/2014/main" id="{00000000-0008-0000-0000-000017010000}"/>
            </a:ext>
          </a:extLst>
        </xdr:cNvPr>
        <xdr:cNvSpPr txBox="1"/>
      </xdr:nvSpPr>
      <xdr:spPr>
        <a:xfrm>
          <a:off x="826770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509" name="TextBox 7508">
          <a:extLst>
            <a:ext uri="{FF2B5EF4-FFF2-40B4-BE49-F238E27FC236}">
              <a16:creationId xmlns:a16="http://schemas.microsoft.com/office/drawing/2014/main" id="{00000000-0008-0000-0000-000018010000}"/>
            </a:ext>
          </a:extLst>
        </xdr:cNvPr>
        <xdr:cNvSpPr txBox="1"/>
      </xdr:nvSpPr>
      <xdr:spPr>
        <a:xfrm>
          <a:off x="826770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510" name="TextBox 7509">
          <a:extLst>
            <a:ext uri="{FF2B5EF4-FFF2-40B4-BE49-F238E27FC236}">
              <a16:creationId xmlns:a16="http://schemas.microsoft.com/office/drawing/2014/main" id="{00000000-0008-0000-0000-000019010000}"/>
            </a:ext>
          </a:extLst>
        </xdr:cNvPr>
        <xdr:cNvSpPr txBox="1"/>
      </xdr:nvSpPr>
      <xdr:spPr>
        <a:xfrm>
          <a:off x="826770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511" name="TextBox 7510">
          <a:extLst>
            <a:ext uri="{FF2B5EF4-FFF2-40B4-BE49-F238E27FC236}">
              <a16:creationId xmlns:a16="http://schemas.microsoft.com/office/drawing/2014/main" id="{00000000-0008-0000-0000-00001A010000}"/>
            </a:ext>
          </a:extLst>
        </xdr:cNvPr>
        <xdr:cNvSpPr txBox="1"/>
      </xdr:nvSpPr>
      <xdr:spPr>
        <a:xfrm>
          <a:off x="826770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512" name="TextBox 7511">
          <a:extLst>
            <a:ext uri="{FF2B5EF4-FFF2-40B4-BE49-F238E27FC236}">
              <a16:creationId xmlns:a16="http://schemas.microsoft.com/office/drawing/2014/main" id="{00000000-0008-0000-0000-00001B010000}"/>
            </a:ext>
          </a:extLst>
        </xdr:cNvPr>
        <xdr:cNvSpPr txBox="1"/>
      </xdr:nvSpPr>
      <xdr:spPr>
        <a:xfrm>
          <a:off x="826770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513" name="TextBox 7512">
          <a:extLst>
            <a:ext uri="{FF2B5EF4-FFF2-40B4-BE49-F238E27FC236}">
              <a16:creationId xmlns:a16="http://schemas.microsoft.com/office/drawing/2014/main" id="{00000000-0008-0000-0000-00001C010000}"/>
            </a:ext>
          </a:extLst>
        </xdr:cNvPr>
        <xdr:cNvSpPr txBox="1"/>
      </xdr:nvSpPr>
      <xdr:spPr>
        <a:xfrm>
          <a:off x="826770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514" name="TextBox 7513">
          <a:extLst>
            <a:ext uri="{FF2B5EF4-FFF2-40B4-BE49-F238E27FC236}">
              <a16:creationId xmlns:a16="http://schemas.microsoft.com/office/drawing/2014/main" id="{00000000-0008-0000-0000-00001D010000}"/>
            </a:ext>
          </a:extLst>
        </xdr:cNvPr>
        <xdr:cNvSpPr txBox="1"/>
      </xdr:nvSpPr>
      <xdr:spPr>
        <a:xfrm>
          <a:off x="826770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515" name="TextBox 7514">
          <a:extLst>
            <a:ext uri="{FF2B5EF4-FFF2-40B4-BE49-F238E27FC236}">
              <a16:creationId xmlns:a16="http://schemas.microsoft.com/office/drawing/2014/main" id="{00000000-0008-0000-0000-00001E010000}"/>
            </a:ext>
          </a:extLst>
        </xdr:cNvPr>
        <xdr:cNvSpPr txBox="1"/>
      </xdr:nvSpPr>
      <xdr:spPr>
        <a:xfrm>
          <a:off x="826770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516" name="TextBox 7515">
          <a:extLst>
            <a:ext uri="{FF2B5EF4-FFF2-40B4-BE49-F238E27FC236}">
              <a16:creationId xmlns:a16="http://schemas.microsoft.com/office/drawing/2014/main" id="{00000000-0008-0000-0000-00001F010000}"/>
            </a:ext>
          </a:extLst>
        </xdr:cNvPr>
        <xdr:cNvSpPr txBox="1"/>
      </xdr:nvSpPr>
      <xdr:spPr>
        <a:xfrm>
          <a:off x="826770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517" name="TextBox 7516">
          <a:extLst>
            <a:ext uri="{FF2B5EF4-FFF2-40B4-BE49-F238E27FC236}">
              <a16:creationId xmlns:a16="http://schemas.microsoft.com/office/drawing/2014/main" id="{00000000-0008-0000-0000-000020010000}"/>
            </a:ext>
          </a:extLst>
        </xdr:cNvPr>
        <xdr:cNvSpPr txBox="1"/>
      </xdr:nvSpPr>
      <xdr:spPr>
        <a:xfrm>
          <a:off x="826770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518" name="TextBox 7517">
          <a:extLst>
            <a:ext uri="{FF2B5EF4-FFF2-40B4-BE49-F238E27FC236}">
              <a16:creationId xmlns:a16="http://schemas.microsoft.com/office/drawing/2014/main" id="{00000000-0008-0000-0000-000021010000}"/>
            </a:ext>
          </a:extLst>
        </xdr:cNvPr>
        <xdr:cNvSpPr txBox="1"/>
      </xdr:nvSpPr>
      <xdr:spPr>
        <a:xfrm>
          <a:off x="826770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519" name="TextBox 7518">
          <a:extLst>
            <a:ext uri="{FF2B5EF4-FFF2-40B4-BE49-F238E27FC236}">
              <a16:creationId xmlns:a16="http://schemas.microsoft.com/office/drawing/2014/main" id="{00000000-0008-0000-0000-000022010000}"/>
            </a:ext>
          </a:extLst>
        </xdr:cNvPr>
        <xdr:cNvSpPr txBox="1"/>
      </xdr:nvSpPr>
      <xdr:spPr>
        <a:xfrm>
          <a:off x="826770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520" name="TextBox 7519">
          <a:extLst>
            <a:ext uri="{FF2B5EF4-FFF2-40B4-BE49-F238E27FC236}">
              <a16:creationId xmlns:a16="http://schemas.microsoft.com/office/drawing/2014/main" id="{00000000-0008-0000-0000-000023010000}"/>
            </a:ext>
          </a:extLst>
        </xdr:cNvPr>
        <xdr:cNvSpPr txBox="1"/>
      </xdr:nvSpPr>
      <xdr:spPr>
        <a:xfrm>
          <a:off x="826770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521" name="TextBox 7520">
          <a:extLst>
            <a:ext uri="{FF2B5EF4-FFF2-40B4-BE49-F238E27FC236}">
              <a16:creationId xmlns:a16="http://schemas.microsoft.com/office/drawing/2014/main" id="{00000000-0008-0000-0000-000024010000}"/>
            </a:ext>
          </a:extLst>
        </xdr:cNvPr>
        <xdr:cNvSpPr txBox="1"/>
      </xdr:nvSpPr>
      <xdr:spPr>
        <a:xfrm>
          <a:off x="826770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522" name="TextBox 7521">
          <a:extLst>
            <a:ext uri="{FF2B5EF4-FFF2-40B4-BE49-F238E27FC236}">
              <a16:creationId xmlns:a16="http://schemas.microsoft.com/office/drawing/2014/main" id="{00000000-0008-0000-0000-000025010000}"/>
            </a:ext>
          </a:extLst>
        </xdr:cNvPr>
        <xdr:cNvSpPr txBox="1"/>
      </xdr:nvSpPr>
      <xdr:spPr>
        <a:xfrm>
          <a:off x="826770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523" name="TextBox 7522">
          <a:extLst>
            <a:ext uri="{FF2B5EF4-FFF2-40B4-BE49-F238E27FC236}">
              <a16:creationId xmlns:a16="http://schemas.microsoft.com/office/drawing/2014/main" id="{00000000-0008-0000-0000-000026010000}"/>
            </a:ext>
          </a:extLst>
        </xdr:cNvPr>
        <xdr:cNvSpPr txBox="1"/>
      </xdr:nvSpPr>
      <xdr:spPr>
        <a:xfrm>
          <a:off x="1258062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524" name="TextBox 7523">
          <a:extLst>
            <a:ext uri="{FF2B5EF4-FFF2-40B4-BE49-F238E27FC236}">
              <a16:creationId xmlns:a16="http://schemas.microsoft.com/office/drawing/2014/main" id="{00000000-0008-0000-0000-000027010000}"/>
            </a:ext>
          </a:extLst>
        </xdr:cNvPr>
        <xdr:cNvSpPr txBox="1"/>
      </xdr:nvSpPr>
      <xdr:spPr>
        <a:xfrm>
          <a:off x="1258062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525" name="TextBox 7524">
          <a:extLst>
            <a:ext uri="{FF2B5EF4-FFF2-40B4-BE49-F238E27FC236}">
              <a16:creationId xmlns:a16="http://schemas.microsoft.com/office/drawing/2014/main" id="{00000000-0008-0000-0000-000028010000}"/>
            </a:ext>
          </a:extLst>
        </xdr:cNvPr>
        <xdr:cNvSpPr txBox="1"/>
      </xdr:nvSpPr>
      <xdr:spPr>
        <a:xfrm>
          <a:off x="1258062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526" name="TextBox 7525">
          <a:extLst>
            <a:ext uri="{FF2B5EF4-FFF2-40B4-BE49-F238E27FC236}">
              <a16:creationId xmlns:a16="http://schemas.microsoft.com/office/drawing/2014/main" id="{00000000-0008-0000-0000-000029010000}"/>
            </a:ext>
          </a:extLst>
        </xdr:cNvPr>
        <xdr:cNvSpPr txBox="1"/>
      </xdr:nvSpPr>
      <xdr:spPr>
        <a:xfrm>
          <a:off x="1258062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527" name="TextBox 7526">
          <a:extLst>
            <a:ext uri="{FF2B5EF4-FFF2-40B4-BE49-F238E27FC236}">
              <a16:creationId xmlns:a16="http://schemas.microsoft.com/office/drawing/2014/main" id="{00000000-0008-0000-0000-00002A010000}"/>
            </a:ext>
          </a:extLst>
        </xdr:cNvPr>
        <xdr:cNvSpPr txBox="1"/>
      </xdr:nvSpPr>
      <xdr:spPr>
        <a:xfrm>
          <a:off x="1258062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528" name="TextBox 7527">
          <a:extLst>
            <a:ext uri="{FF2B5EF4-FFF2-40B4-BE49-F238E27FC236}">
              <a16:creationId xmlns:a16="http://schemas.microsoft.com/office/drawing/2014/main" id="{00000000-0008-0000-0000-00002B010000}"/>
            </a:ext>
          </a:extLst>
        </xdr:cNvPr>
        <xdr:cNvSpPr txBox="1"/>
      </xdr:nvSpPr>
      <xdr:spPr>
        <a:xfrm>
          <a:off x="1258062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529" name="TextBox 7528">
          <a:extLst>
            <a:ext uri="{FF2B5EF4-FFF2-40B4-BE49-F238E27FC236}">
              <a16:creationId xmlns:a16="http://schemas.microsoft.com/office/drawing/2014/main" id="{00000000-0008-0000-0000-00002C010000}"/>
            </a:ext>
          </a:extLst>
        </xdr:cNvPr>
        <xdr:cNvSpPr txBox="1"/>
      </xdr:nvSpPr>
      <xdr:spPr>
        <a:xfrm>
          <a:off x="1258062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530" name="TextBox 7529">
          <a:extLst>
            <a:ext uri="{FF2B5EF4-FFF2-40B4-BE49-F238E27FC236}">
              <a16:creationId xmlns:a16="http://schemas.microsoft.com/office/drawing/2014/main" id="{00000000-0008-0000-0000-00002D010000}"/>
            </a:ext>
          </a:extLst>
        </xdr:cNvPr>
        <xdr:cNvSpPr txBox="1"/>
      </xdr:nvSpPr>
      <xdr:spPr>
        <a:xfrm>
          <a:off x="1258062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531" name="TextBox 7530">
          <a:extLst>
            <a:ext uri="{FF2B5EF4-FFF2-40B4-BE49-F238E27FC236}">
              <a16:creationId xmlns:a16="http://schemas.microsoft.com/office/drawing/2014/main" id="{00000000-0008-0000-0000-00002E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532" name="TextBox 7531">
          <a:extLst>
            <a:ext uri="{FF2B5EF4-FFF2-40B4-BE49-F238E27FC236}">
              <a16:creationId xmlns:a16="http://schemas.microsoft.com/office/drawing/2014/main" id="{00000000-0008-0000-0000-00002F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533" name="TextBox 7532">
          <a:extLst>
            <a:ext uri="{FF2B5EF4-FFF2-40B4-BE49-F238E27FC236}">
              <a16:creationId xmlns:a16="http://schemas.microsoft.com/office/drawing/2014/main" id="{00000000-0008-0000-0000-000030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534" name="TextBox 7533">
          <a:extLst>
            <a:ext uri="{FF2B5EF4-FFF2-40B4-BE49-F238E27FC236}">
              <a16:creationId xmlns:a16="http://schemas.microsoft.com/office/drawing/2014/main" id="{00000000-0008-0000-0000-000031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535" name="TextBox 7534">
          <a:extLst>
            <a:ext uri="{FF2B5EF4-FFF2-40B4-BE49-F238E27FC236}">
              <a16:creationId xmlns:a16="http://schemas.microsoft.com/office/drawing/2014/main" id="{00000000-0008-0000-0000-000032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536" name="TextBox 7535">
          <a:extLst>
            <a:ext uri="{FF2B5EF4-FFF2-40B4-BE49-F238E27FC236}">
              <a16:creationId xmlns:a16="http://schemas.microsoft.com/office/drawing/2014/main" id="{00000000-0008-0000-0000-000033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537" name="TextBox 7536">
          <a:extLst>
            <a:ext uri="{FF2B5EF4-FFF2-40B4-BE49-F238E27FC236}">
              <a16:creationId xmlns:a16="http://schemas.microsoft.com/office/drawing/2014/main" id="{00000000-0008-0000-0000-000034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538" name="TextBox 7537">
          <a:extLst>
            <a:ext uri="{FF2B5EF4-FFF2-40B4-BE49-F238E27FC236}">
              <a16:creationId xmlns:a16="http://schemas.microsoft.com/office/drawing/2014/main" id="{00000000-0008-0000-0000-000035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539" name="TextBox 7538">
          <a:extLst>
            <a:ext uri="{FF2B5EF4-FFF2-40B4-BE49-F238E27FC236}">
              <a16:creationId xmlns:a16="http://schemas.microsoft.com/office/drawing/2014/main" id="{00000000-0008-0000-0000-000036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540" name="TextBox 7539">
          <a:extLst>
            <a:ext uri="{FF2B5EF4-FFF2-40B4-BE49-F238E27FC236}">
              <a16:creationId xmlns:a16="http://schemas.microsoft.com/office/drawing/2014/main" id="{00000000-0008-0000-0000-000037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541" name="TextBox 7540">
          <a:extLst>
            <a:ext uri="{FF2B5EF4-FFF2-40B4-BE49-F238E27FC236}">
              <a16:creationId xmlns:a16="http://schemas.microsoft.com/office/drawing/2014/main" id="{00000000-0008-0000-0000-000038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542" name="TextBox 7541">
          <a:extLst>
            <a:ext uri="{FF2B5EF4-FFF2-40B4-BE49-F238E27FC236}">
              <a16:creationId xmlns:a16="http://schemas.microsoft.com/office/drawing/2014/main" id="{00000000-0008-0000-0000-000039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543" name="TextBox 7542">
          <a:extLst>
            <a:ext uri="{FF2B5EF4-FFF2-40B4-BE49-F238E27FC236}">
              <a16:creationId xmlns:a16="http://schemas.microsoft.com/office/drawing/2014/main" id="{00000000-0008-0000-0000-00003A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544" name="TextBox 7543">
          <a:extLst>
            <a:ext uri="{FF2B5EF4-FFF2-40B4-BE49-F238E27FC236}">
              <a16:creationId xmlns:a16="http://schemas.microsoft.com/office/drawing/2014/main" id="{00000000-0008-0000-0000-00003B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545" name="TextBox 7544">
          <a:extLst>
            <a:ext uri="{FF2B5EF4-FFF2-40B4-BE49-F238E27FC236}">
              <a16:creationId xmlns:a16="http://schemas.microsoft.com/office/drawing/2014/main" id="{00000000-0008-0000-0000-00003C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546" name="TextBox 7545">
          <a:extLst>
            <a:ext uri="{FF2B5EF4-FFF2-40B4-BE49-F238E27FC236}">
              <a16:creationId xmlns:a16="http://schemas.microsoft.com/office/drawing/2014/main" id="{00000000-0008-0000-0000-00003D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547" name="TextBox 7546">
          <a:extLst>
            <a:ext uri="{FF2B5EF4-FFF2-40B4-BE49-F238E27FC236}">
              <a16:creationId xmlns:a16="http://schemas.microsoft.com/office/drawing/2014/main" id="{00000000-0008-0000-0000-00003E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548" name="TextBox 7547">
          <a:extLst>
            <a:ext uri="{FF2B5EF4-FFF2-40B4-BE49-F238E27FC236}">
              <a16:creationId xmlns:a16="http://schemas.microsoft.com/office/drawing/2014/main" id="{00000000-0008-0000-0000-00003F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549" name="TextBox 7548">
          <a:extLst>
            <a:ext uri="{FF2B5EF4-FFF2-40B4-BE49-F238E27FC236}">
              <a16:creationId xmlns:a16="http://schemas.microsoft.com/office/drawing/2014/main" id="{00000000-0008-0000-0000-000040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550" name="TextBox 7549">
          <a:extLst>
            <a:ext uri="{FF2B5EF4-FFF2-40B4-BE49-F238E27FC236}">
              <a16:creationId xmlns:a16="http://schemas.microsoft.com/office/drawing/2014/main" id="{00000000-0008-0000-0000-000041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551" name="TextBox 7550">
          <a:extLst>
            <a:ext uri="{FF2B5EF4-FFF2-40B4-BE49-F238E27FC236}">
              <a16:creationId xmlns:a16="http://schemas.microsoft.com/office/drawing/2014/main" id="{00000000-0008-0000-0000-000042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552" name="TextBox 7551">
          <a:extLst>
            <a:ext uri="{FF2B5EF4-FFF2-40B4-BE49-F238E27FC236}">
              <a16:creationId xmlns:a16="http://schemas.microsoft.com/office/drawing/2014/main" id="{00000000-0008-0000-0000-000043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553" name="TextBox 7552">
          <a:extLst>
            <a:ext uri="{FF2B5EF4-FFF2-40B4-BE49-F238E27FC236}">
              <a16:creationId xmlns:a16="http://schemas.microsoft.com/office/drawing/2014/main" id="{00000000-0008-0000-0000-000044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554" name="TextBox 7553">
          <a:extLst>
            <a:ext uri="{FF2B5EF4-FFF2-40B4-BE49-F238E27FC236}">
              <a16:creationId xmlns:a16="http://schemas.microsoft.com/office/drawing/2014/main" id="{00000000-0008-0000-0000-000045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555" name="TextBox 7554">
          <a:extLst>
            <a:ext uri="{FF2B5EF4-FFF2-40B4-BE49-F238E27FC236}">
              <a16:creationId xmlns:a16="http://schemas.microsoft.com/office/drawing/2014/main" id="{00000000-0008-0000-0000-000046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556" name="TextBox 7555">
          <a:extLst>
            <a:ext uri="{FF2B5EF4-FFF2-40B4-BE49-F238E27FC236}">
              <a16:creationId xmlns:a16="http://schemas.microsoft.com/office/drawing/2014/main" id="{00000000-0008-0000-0000-000047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557" name="TextBox 7556">
          <a:extLst>
            <a:ext uri="{FF2B5EF4-FFF2-40B4-BE49-F238E27FC236}">
              <a16:creationId xmlns:a16="http://schemas.microsoft.com/office/drawing/2014/main" id="{00000000-0008-0000-0000-000048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558" name="TextBox 7557">
          <a:extLst>
            <a:ext uri="{FF2B5EF4-FFF2-40B4-BE49-F238E27FC236}">
              <a16:creationId xmlns:a16="http://schemas.microsoft.com/office/drawing/2014/main" id="{00000000-0008-0000-0000-000049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559" name="TextBox 7558">
          <a:extLst>
            <a:ext uri="{FF2B5EF4-FFF2-40B4-BE49-F238E27FC236}">
              <a16:creationId xmlns:a16="http://schemas.microsoft.com/office/drawing/2014/main" id="{00000000-0008-0000-0000-00004A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560" name="TextBox 7559">
          <a:extLst>
            <a:ext uri="{FF2B5EF4-FFF2-40B4-BE49-F238E27FC236}">
              <a16:creationId xmlns:a16="http://schemas.microsoft.com/office/drawing/2014/main" id="{00000000-0008-0000-0000-00004B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561" name="TextBox 7560">
          <a:extLst>
            <a:ext uri="{FF2B5EF4-FFF2-40B4-BE49-F238E27FC236}">
              <a16:creationId xmlns:a16="http://schemas.microsoft.com/office/drawing/2014/main" id="{00000000-0008-0000-0000-00004C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562" name="TextBox 7561">
          <a:extLst>
            <a:ext uri="{FF2B5EF4-FFF2-40B4-BE49-F238E27FC236}">
              <a16:creationId xmlns:a16="http://schemas.microsoft.com/office/drawing/2014/main" id="{00000000-0008-0000-0000-00004D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563" name="TextBox 7562">
          <a:extLst>
            <a:ext uri="{FF2B5EF4-FFF2-40B4-BE49-F238E27FC236}">
              <a16:creationId xmlns:a16="http://schemas.microsoft.com/office/drawing/2014/main" id="{00000000-0008-0000-0000-00004E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564" name="TextBox 7563">
          <a:extLst>
            <a:ext uri="{FF2B5EF4-FFF2-40B4-BE49-F238E27FC236}">
              <a16:creationId xmlns:a16="http://schemas.microsoft.com/office/drawing/2014/main" id="{00000000-0008-0000-0000-00004F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565" name="TextBox 7564">
          <a:extLst>
            <a:ext uri="{FF2B5EF4-FFF2-40B4-BE49-F238E27FC236}">
              <a16:creationId xmlns:a16="http://schemas.microsoft.com/office/drawing/2014/main" id="{00000000-0008-0000-0000-000050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566" name="TextBox 7565">
          <a:extLst>
            <a:ext uri="{FF2B5EF4-FFF2-40B4-BE49-F238E27FC236}">
              <a16:creationId xmlns:a16="http://schemas.microsoft.com/office/drawing/2014/main" id="{00000000-0008-0000-0000-000051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567" name="TextBox 7566">
          <a:extLst>
            <a:ext uri="{FF2B5EF4-FFF2-40B4-BE49-F238E27FC236}">
              <a16:creationId xmlns:a16="http://schemas.microsoft.com/office/drawing/2014/main" id="{00000000-0008-0000-0000-000052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568" name="TextBox 7567">
          <a:extLst>
            <a:ext uri="{FF2B5EF4-FFF2-40B4-BE49-F238E27FC236}">
              <a16:creationId xmlns:a16="http://schemas.microsoft.com/office/drawing/2014/main" id="{00000000-0008-0000-0000-000053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569" name="TextBox 7568">
          <a:extLst>
            <a:ext uri="{FF2B5EF4-FFF2-40B4-BE49-F238E27FC236}">
              <a16:creationId xmlns:a16="http://schemas.microsoft.com/office/drawing/2014/main" id="{00000000-0008-0000-0000-000054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570" name="TextBox 7569">
          <a:extLst>
            <a:ext uri="{FF2B5EF4-FFF2-40B4-BE49-F238E27FC236}">
              <a16:creationId xmlns:a16="http://schemas.microsoft.com/office/drawing/2014/main" id="{00000000-0008-0000-0000-000055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571" name="TextBox 7570">
          <a:extLst>
            <a:ext uri="{FF2B5EF4-FFF2-40B4-BE49-F238E27FC236}">
              <a16:creationId xmlns:a16="http://schemas.microsoft.com/office/drawing/2014/main" id="{00000000-0008-0000-0000-000056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572" name="TextBox 7571">
          <a:extLst>
            <a:ext uri="{FF2B5EF4-FFF2-40B4-BE49-F238E27FC236}">
              <a16:creationId xmlns:a16="http://schemas.microsoft.com/office/drawing/2014/main" id="{00000000-0008-0000-0000-000057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573" name="TextBox 7572">
          <a:extLst>
            <a:ext uri="{FF2B5EF4-FFF2-40B4-BE49-F238E27FC236}">
              <a16:creationId xmlns:a16="http://schemas.microsoft.com/office/drawing/2014/main" id="{00000000-0008-0000-0000-000058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574" name="TextBox 7573">
          <a:extLst>
            <a:ext uri="{FF2B5EF4-FFF2-40B4-BE49-F238E27FC236}">
              <a16:creationId xmlns:a16="http://schemas.microsoft.com/office/drawing/2014/main" id="{00000000-0008-0000-0000-000059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575" name="TextBox 7574">
          <a:extLst>
            <a:ext uri="{FF2B5EF4-FFF2-40B4-BE49-F238E27FC236}">
              <a16:creationId xmlns:a16="http://schemas.microsoft.com/office/drawing/2014/main" id="{00000000-0008-0000-0000-00005A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576" name="TextBox 7575">
          <a:extLst>
            <a:ext uri="{FF2B5EF4-FFF2-40B4-BE49-F238E27FC236}">
              <a16:creationId xmlns:a16="http://schemas.microsoft.com/office/drawing/2014/main" id="{00000000-0008-0000-0000-00005B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577" name="TextBox 7576">
          <a:extLst>
            <a:ext uri="{FF2B5EF4-FFF2-40B4-BE49-F238E27FC236}">
              <a16:creationId xmlns:a16="http://schemas.microsoft.com/office/drawing/2014/main" id="{00000000-0008-0000-0000-00005C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578" name="TextBox 7577">
          <a:extLst>
            <a:ext uri="{FF2B5EF4-FFF2-40B4-BE49-F238E27FC236}">
              <a16:creationId xmlns:a16="http://schemas.microsoft.com/office/drawing/2014/main" id="{00000000-0008-0000-0000-00005D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579" name="TextBox 7578">
          <a:extLst>
            <a:ext uri="{FF2B5EF4-FFF2-40B4-BE49-F238E27FC236}">
              <a16:creationId xmlns:a16="http://schemas.microsoft.com/office/drawing/2014/main" id="{00000000-0008-0000-0000-00005E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580" name="TextBox 7579">
          <a:extLst>
            <a:ext uri="{FF2B5EF4-FFF2-40B4-BE49-F238E27FC236}">
              <a16:creationId xmlns:a16="http://schemas.microsoft.com/office/drawing/2014/main" id="{00000000-0008-0000-0000-00005F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581" name="TextBox 7580">
          <a:extLst>
            <a:ext uri="{FF2B5EF4-FFF2-40B4-BE49-F238E27FC236}">
              <a16:creationId xmlns:a16="http://schemas.microsoft.com/office/drawing/2014/main" id="{00000000-0008-0000-0000-000060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582" name="TextBox 7581">
          <a:extLst>
            <a:ext uri="{FF2B5EF4-FFF2-40B4-BE49-F238E27FC236}">
              <a16:creationId xmlns:a16="http://schemas.microsoft.com/office/drawing/2014/main" id="{00000000-0008-0000-0000-000061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583" name="TextBox 7582">
          <a:extLst>
            <a:ext uri="{FF2B5EF4-FFF2-40B4-BE49-F238E27FC236}">
              <a16:creationId xmlns:a16="http://schemas.microsoft.com/office/drawing/2014/main" id="{00000000-0008-0000-0000-000062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584" name="TextBox 7583">
          <a:extLst>
            <a:ext uri="{FF2B5EF4-FFF2-40B4-BE49-F238E27FC236}">
              <a16:creationId xmlns:a16="http://schemas.microsoft.com/office/drawing/2014/main" id="{00000000-0008-0000-0000-000063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585" name="TextBox 7584">
          <a:extLst>
            <a:ext uri="{FF2B5EF4-FFF2-40B4-BE49-F238E27FC236}">
              <a16:creationId xmlns:a16="http://schemas.microsoft.com/office/drawing/2014/main" id="{00000000-0008-0000-0000-000064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586" name="TextBox 7585">
          <a:extLst>
            <a:ext uri="{FF2B5EF4-FFF2-40B4-BE49-F238E27FC236}">
              <a16:creationId xmlns:a16="http://schemas.microsoft.com/office/drawing/2014/main" id="{00000000-0008-0000-0000-000065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587" name="TextBox 7586">
          <a:extLst>
            <a:ext uri="{FF2B5EF4-FFF2-40B4-BE49-F238E27FC236}">
              <a16:creationId xmlns:a16="http://schemas.microsoft.com/office/drawing/2014/main" id="{00000000-0008-0000-0000-000066010000}"/>
            </a:ext>
          </a:extLst>
        </xdr:cNvPr>
        <xdr:cNvSpPr txBox="1"/>
      </xdr:nvSpPr>
      <xdr:spPr>
        <a:xfrm>
          <a:off x="1258062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588" name="TextBox 7587">
          <a:extLst>
            <a:ext uri="{FF2B5EF4-FFF2-40B4-BE49-F238E27FC236}">
              <a16:creationId xmlns:a16="http://schemas.microsoft.com/office/drawing/2014/main" id="{00000000-0008-0000-0000-000067010000}"/>
            </a:ext>
          </a:extLst>
        </xdr:cNvPr>
        <xdr:cNvSpPr txBox="1"/>
      </xdr:nvSpPr>
      <xdr:spPr>
        <a:xfrm>
          <a:off x="1258062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589" name="TextBox 7588">
          <a:extLst>
            <a:ext uri="{FF2B5EF4-FFF2-40B4-BE49-F238E27FC236}">
              <a16:creationId xmlns:a16="http://schemas.microsoft.com/office/drawing/2014/main" id="{00000000-0008-0000-0000-000068010000}"/>
            </a:ext>
          </a:extLst>
        </xdr:cNvPr>
        <xdr:cNvSpPr txBox="1"/>
      </xdr:nvSpPr>
      <xdr:spPr>
        <a:xfrm>
          <a:off x="1258062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590" name="TextBox 7589">
          <a:extLst>
            <a:ext uri="{FF2B5EF4-FFF2-40B4-BE49-F238E27FC236}">
              <a16:creationId xmlns:a16="http://schemas.microsoft.com/office/drawing/2014/main" id="{00000000-0008-0000-0000-000069010000}"/>
            </a:ext>
          </a:extLst>
        </xdr:cNvPr>
        <xdr:cNvSpPr txBox="1"/>
      </xdr:nvSpPr>
      <xdr:spPr>
        <a:xfrm>
          <a:off x="1258062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591" name="TextBox 7590">
          <a:extLst>
            <a:ext uri="{FF2B5EF4-FFF2-40B4-BE49-F238E27FC236}">
              <a16:creationId xmlns:a16="http://schemas.microsoft.com/office/drawing/2014/main" id="{00000000-0008-0000-0000-00006A010000}"/>
            </a:ext>
          </a:extLst>
        </xdr:cNvPr>
        <xdr:cNvSpPr txBox="1"/>
      </xdr:nvSpPr>
      <xdr:spPr>
        <a:xfrm>
          <a:off x="1258062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592" name="TextBox 7591">
          <a:extLst>
            <a:ext uri="{FF2B5EF4-FFF2-40B4-BE49-F238E27FC236}">
              <a16:creationId xmlns:a16="http://schemas.microsoft.com/office/drawing/2014/main" id="{00000000-0008-0000-0000-00006B010000}"/>
            </a:ext>
          </a:extLst>
        </xdr:cNvPr>
        <xdr:cNvSpPr txBox="1"/>
      </xdr:nvSpPr>
      <xdr:spPr>
        <a:xfrm>
          <a:off x="1258062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593" name="TextBox 7592">
          <a:extLst>
            <a:ext uri="{FF2B5EF4-FFF2-40B4-BE49-F238E27FC236}">
              <a16:creationId xmlns:a16="http://schemas.microsoft.com/office/drawing/2014/main" id="{00000000-0008-0000-0000-00006C010000}"/>
            </a:ext>
          </a:extLst>
        </xdr:cNvPr>
        <xdr:cNvSpPr txBox="1"/>
      </xdr:nvSpPr>
      <xdr:spPr>
        <a:xfrm>
          <a:off x="1258062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594" name="TextBox 7593">
          <a:extLst>
            <a:ext uri="{FF2B5EF4-FFF2-40B4-BE49-F238E27FC236}">
              <a16:creationId xmlns:a16="http://schemas.microsoft.com/office/drawing/2014/main" id="{00000000-0008-0000-0000-00006D010000}"/>
            </a:ext>
          </a:extLst>
        </xdr:cNvPr>
        <xdr:cNvSpPr txBox="1"/>
      </xdr:nvSpPr>
      <xdr:spPr>
        <a:xfrm>
          <a:off x="1258062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7595" name="TextBox 7594">
          <a:extLst>
            <a:ext uri="{FF2B5EF4-FFF2-40B4-BE49-F238E27FC236}">
              <a16:creationId xmlns:a16="http://schemas.microsoft.com/office/drawing/2014/main" id="{00000000-0008-0000-0000-00006E010000}"/>
            </a:ext>
          </a:extLst>
        </xdr:cNvPr>
        <xdr:cNvSpPr txBox="1"/>
      </xdr:nvSpPr>
      <xdr:spPr>
        <a:xfrm>
          <a:off x="8267700" y="34671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7596" name="TextBox 7595">
          <a:extLst>
            <a:ext uri="{FF2B5EF4-FFF2-40B4-BE49-F238E27FC236}">
              <a16:creationId xmlns:a16="http://schemas.microsoft.com/office/drawing/2014/main" id="{00000000-0008-0000-0000-00006F010000}"/>
            </a:ext>
          </a:extLst>
        </xdr:cNvPr>
        <xdr:cNvSpPr txBox="1"/>
      </xdr:nvSpPr>
      <xdr:spPr>
        <a:xfrm>
          <a:off x="8267700" y="34671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7597" name="TextBox 7596">
          <a:extLst>
            <a:ext uri="{FF2B5EF4-FFF2-40B4-BE49-F238E27FC236}">
              <a16:creationId xmlns:a16="http://schemas.microsoft.com/office/drawing/2014/main" id="{00000000-0008-0000-0000-000070010000}"/>
            </a:ext>
          </a:extLst>
        </xdr:cNvPr>
        <xdr:cNvSpPr txBox="1"/>
      </xdr:nvSpPr>
      <xdr:spPr>
        <a:xfrm>
          <a:off x="8267700" y="34671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7598" name="TextBox 7597">
          <a:extLst>
            <a:ext uri="{FF2B5EF4-FFF2-40B4-BE49-F238E27FC236}">
              <a16:creationId xmlns:a16="http://schemas.microsoft.com/office/drawing/2014/main" id="{00000000-0008-0000-0000-000071010000}"/>
            </a:ext>
          </a:extLst>
        </xdr:cNvPr>
        <xdr:cNvSpPr txBox="1"/>
      </xdr:nvSpPr>
      <xdr:spPr>
        <a:xfrm>
          <a:off x="8267700" y="34671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7599" name="TextBox 7598">
          <a:extLst>
            <a:ext uri="{FF2B5EF4-FFF2-40B4-BE49-F238E27FC236}">
              <a16:creationId xmlns:a16="http://schemas.microsoft.com/office/drawing/2014/main" id="{00000000-0008-0000-0000-000072010000}"/>
            </a:ext>
          </a:extLst>
        </xdr:cNvPr>
        <xdr:cNvSpPr txBox="1"/>
      </xdr:nvSpPr>
      <xdr:spPr>
        <a:xfrm>
          <a:off x="8267700" y="34671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7600" name="TextBox 7599">
          <a:extLst>
            <a:ext uri="{FF2B5EF4-FFF2-40B4-BE49-F238E27FC236}">
              <a16:creationId xmlns:a16="http://schemas.microsoft.com/office/drawing/2014/main" id="{00000000-0008-0000-0000-000073010000}"/>
            </a:ext>
          </a:extLst>
        </xdr:cNvPr>
        <xdr:cNvSpPr txBox="1"/>
      </xdr:nvSpPr>
      <xdr:spPr>
        <a:xfrm>
          <a:off x="8267700" y="34671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7601" name="TextBox 7600">
          <a:extLst>
            <a:ext uri="{FF2B5EF4-FFF2-40B4-BE49-F238E27FC236}">
              <a16:creationId xmlns:a16="http://schemas.microsoft.com/office/drawing/2014/main" id="{00000000-0008-0000-0000-000074010000}"/>
            </a:ext>
          </a:extLst>
        </xdr:cNvPr>
        <xdr:cNvSpPr txBox="1"/>
      </xdr:nvSpPr>
      <xdr:spPr>
        <a:xfrm>
          <a:off x="8267700" y="34671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7602" name="TextBox 7601">
          <a:extLst>
            <a:ext uri="{FF2B5EF4-FFF2-40B4-BE49-F238E27FC236}">
              <a16:creationId xmlns:a16="http://schemas.microsoft.com/office/drawing/2014/main" id="{00000000-0008-0000-0000-000075010000}"/>
            </a:ext>
          </a:extLst>
        </xdr:cNvPr>
        <xdr:cNvSpPr txBox="1"/>
      </xdr:nvSpPr>
      <xdr:spPr>
        <a:xfrm>
          <a:off x="8267700" y="34671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7603" name="TextBox 7602">
          <a:extLst>
            <a:ext uri="{FF2B5EF4-FFF2-40B4-BE49-F238E27FC236}">
              <a16:creationId xmlns:a16="http://schemas.microsoft.com/office/drawing/2014/main" id="{00000000-0008-0000-0000-000076010000}"/>
            </a:ext>
          </a:extLst>
        </xdr:cNvPr>
        <xdr:cNvSpPr txBox="1"/>
      </xdr:nvSpPr>
      <xdr:spPr>
        <a:xfrm>
          <a:off x="8267700" y="34671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7604" name="TextBox 7603">
          <a:extLst>
            <a:ext uri="{FF2B5EF4-FFF2-40B4-BE49-F238E27FC236}">
              <a16:creationId xmlns:a16="http://schemas.microsoft.com/office/drawing/2014/main" id="{00000000-0008-0000-0000-000077010000}"/>
            </a:ext>
          </a:extLst>
        </xdr:cNvPr>
        <xdr:cNvSpPr txBox="1"/>
      </xdr:nvSpPr>
      <xdr:spPr>
        <a:xfrm>
          <a:off x="8267700" y="34671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7605" name="TextBox 7604">
          <a:extLst>
            <a:ext uri="{FF2B5EF4-FFF2-40B4-BE49-F238E27FC236}">
              <a16:creationId xmlns:a16="http://schemas.microsoft.com/office/drawing/2014/main" id="{00000000-0008-0000-0000-000078010000}"/>
            </a:ext>
          </a:extLst>
        </xdr:cNvPr>
        <xdr:cNvSpPr txBox="1"/>
      </xdr:nvSpPr>
      <xdr:spPr>
        <a:xfrm>
          <a:off x="8267700" y="34671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7606" name="TextBox 7605">
          <a:extLst>
            <a:ext uri="{FF2B5EF4-FFF2-40B4-BE49-F238E27FC236}">
              <a16:creationId xmlns:a16="http://schemas.microsoft.com/office/drawing/2014/main" id="{00000000-0008-0000-0000-000079010000}"/>
            </a:ext>
          </a:extLst>
        </xdr:cNvPr>
        <xdr:cNvSpPr txBox="1"/>
      </xdr:nvSpPr>
      <xdr:spPr>
        <a:xfrm>
          <a:off x="8267700" y="34671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7607" name="TextBox 7606">
          <a:extLst>
            <a:ext uri="{FF2B5EF4-FFF2-40B4-BE49-F238E27FC236}">
              <a16:creationId xmlns:a16="http://schemas.microsoft.com/office/drawing/2014/main" id="{00000000-0008-0000-0000-00007A010000}"/>
            </a:ext>
          </a:extLst>
        </xdr:cNvPr>
        <xdr:cNvSpPr txBox="1"/>
      </xdr:nvSpPr>
      <xdr:spPr>
        <a:xfrm>
          <a:off x="8267700" y="34671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7608" name="TextBox 7607">
          <a:extLst>
            <a:ext uri="{FF2B5EF4-FFF2-40B4-BE49-F238E27FC236}">
              <a16:creationId xmlns:a16="http://schemas.microsoft.com/office/drawing/2014/main" id="{00000000-0008-0000-0000-00007B010000}"/>
            </a:ext>
          </a:extLst>
        </xdr:cNvPr>
        <xdr:cNvSpPr txBox="1"/>
      </xdr:nvSpPr>
      <xdr:spPr>
        <a:xfrm>
          <a:off x="8267700" y="34671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7609" name="TextBox 7608">
          <a:extLst>
            <a:ext uri="{FF2B5EF4-FFF2-40B4-BE49-F238E27FC236}">
              <a16:creationId xmlns:a16="http://schemas.microsoft.com/office/drawing/2014/main" id="{00000000-0008-0000-0000-00007C010000}"/>
            </a:ext>
          </a:extLst>
        </xdr:cNvPr>
        <xdr:cNvSpPr txBox="1"/>
      </xdr:nvSpPr>
      <xdr:spPr>
        <a:xfrm>
          <a:off x="8267700" y="34671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7610" name="TextBox 7609">
          <a:extLst>
            <a:ext uri="{FF2B5EF4-FFF2-40B4-BE49-F238E27FC236}">
              <a16:creationId xmlns:a16="http://schemas.microsoft.com/office/drawing/2014/main" id="{00000000-0008-0000-0000-00007D010000}"/>
            </a:ext>
          </a:extLst>
        </xdr:cNvPr>
        <xdr:cNvSpPr txBox="1"/>
      </xdr:nvSpPr>
      <xdr:spPr>
        <a:xfrm>
          <a:off x="8267700" y="34671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7611" name="TextBox 7610">
          <a:extLst>
            <a:ext uri="{FF2B5EF4-FFF2-40B4-BE49-F238E27FC236}">
              <a16:creationId xmlns:a16="http://schemas.microsoft.com/office/drawing/2014/main" id="{00000000-0008-0000-0000-00007E010000}"/>
            </a:ext>
          </a:extLst>
        </xdr:cNvPr>
        <xdr:cNvSpPr txBox="1"/>
      </xdr:nvSpPr>
      <xdr:spPr>
        <a:xfrm>
          <a:off x="8267700" y="34671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7612" name="TextBox 7611">
          <a:extLst>
            <a:ext uri="{FF2B5EF4-FFF2-40B4-BE49-F238E27FC236}">
              <a16:creationId xmlns:a16="http://schemas.microsoft.com/office/drawing/2014/main" id="{00000000-0008-0000-0000-00007F010000}"/>
            </a:ext>
          </a:extLst>
        </xdr:cNvPr>
        <xdr:cNvSpPr txBox="1"/>
      </xdr:nvSpPr>
      <xdr:spPr>
        <a:xfrm>
          <a:off x="8267700" y="34671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7613" name="TextBox 7612">
          <a:extLst>
            <a:ext uri="{FF2B5EF4-FFF2-40B4-BE49-F238E27FC236}">
              <a16:creationId xmlns:a16="http://schemas.microsoft.com/office/drawing/2014/main" id="{00000000-0008-0000-0000-000080010000}"/>
            </a:ext>
          </a:extLst>
        </xdr:cNvPr>
        <xdr:cNvSpPr txBox="1"/>
      </xdr:nvSpPr>
      <xdr:spPr>
        <a:xfrm>
          <a:off x="8267700" y="34671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7614" name="TextBox 7613">
          <a:extLst>
            <a:ext uri="{FF2B5EF4-FFF2-40B4-BE49-F238E27FC236}">
              <a16:creationId xmlns:a16="http://schemas.microsoft.com/office/drawing/2014/main" id="{00000000-0008-0000-0000-000081010000}"/>
            </a:ext>
          </a:extLst>
        </xdr:cNvPr>
        <xdr:cNvSpPr txBox="1"/>
      </xdr:nvSpPr>
      <xdr:spPr>
        <a:xfrm>
          <a:off x="8267700" y="34671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7615" name="TextBox 7614">
          <a:extLst>
            <a:ext uri="{FF2B5EF4-FFF2-40B4-BE49-F238E27FC236}">
              <a16:creationId xmlns:a16="http://schemas.microsoft.com/office/drawing/2014/main" id="{00000000-0008-0000-0000-000082010000}"/>
            </a:ext>
          </a:extLst>
        </xdr:cNvPr>
        <xdr:cNvSpPr txBox="1"/>
      </xdr:nvSpPr>
      <xdr:spPr>
        <a:xfrm>
          <a:off x="8267700" y="34671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7616" name="TextBox 7615">
          <a:extLst>
            <a:ext uri="{FF2B5EF4-FFF2-40B4-BE49-F238E27FC236}">
              <a16:creationId xmlns:a16="http://schemas.microsoft.com/office/drawing/2014/main" id="{00000000-0008-0000-0000-000083010000}"/>
            </a:ext>
          </a:extLst>
        </xdr:cNvPr>
        <xdr:cNvSpPr txBox="1"/>
      </xdr:nvSpPr>
      <xdr:spPr>
        <a:xfrm>
          <a:off x="8267700" y="34671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7617" name="TextBox 7616">
          <a:extLst>
            <a:ext uri="{FF2B5EF4-FFF2-40B4-BE49-F238E27FC236}">
              <a16:creationId xmlns:a16="http://schemas.microsoft.com/office/drawing/2014/main" id="{00000000-0008-0000-0000-000084010000}"/>
            </a:ext>
          </a:extLst>
        </xdr:cNvPr>
        <xdr:cNvSpPr txBox="1"/>
      </xdr:nvSpPr>
      <xdr:spPr>
        <a:xfrm>
          <a:off x="8267700" y="34671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7618" name="TextBox 7617">
          <a:extLst>
            <a:ext uri="{FF2B5EF4-FFF2-40B4-BE49-F238E27FC236}">
              <a16:creationId xmlns:a16="http://schemas.microsoft.com/office/drawing/2014/main" id="{00000000-0008-0000-0000-000085010000}"/>
            </a:ext>
          </a:extLst>
        </xdr:cNvPr>
        <xdr:cNvSpPr txBox="1"/>
      </xdr:nvSpPr>
      <xdr:spPr>
        <a:xfrm>
          <a:off x="8267700" y="34671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7619" name="TextBox 7618">
          <a:extLst>
            <a:ext uri="{FF2B5EF4-FFF2-40B4-BE49-F238E27FC236}">
              <a16:creationId xmlns:a16="http://schemas.microsoft.com/office/drawing/2014/main" id="{00000000-0008-0000-0000-000086010000}"/>
            </a:ext>
          </a:extLst>
        </xdr:cNvPr>
        <xdr:cNvSpPr txBox="1"/>
      </xdr:nvSpPr>
      <xdr:spPr>
        <a:xfrm>
          <a:off x="8267700" y="34671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7620" name="TextBox 7619">
          <a:extLst>
            <a:ext uri="{FF2B5EF4-FFF2-40B4-BE49-F238E27FC236}">
              <a16:creationId xmlns:a16="http://schemas.microsoft.com/office/drawing/2014/main" id="{00000000-0008-0000-0000-000087010000}"/>
            </a:ext>
          </a:extLst>
        </xdr:cNvPr>
        <xdr:cNvSpPr txBox="1"/>
      </xdr:nvSpPr>
      <xdr:spPr>
        <a:xfrm>
          <a:off x="8267700" y="34671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7621" name="TextBox 7620">
          <a:extLst>
            <a:ext uri="{FF2B5EF4-FFF2-40B4-BE49-F238E27FC236}">
              <a16:creationId xmlns:a16="http://schemas.microsoft.com/office/drawing/2014/main" id="{00000000-0008-0000-0000-000088010000}"/>
            </a:ext>
          </a:extLst>
        </xdr:cNvPr>
        <xdr:cNvSpPr txBox="1"/>
      </xdr:nvSpPr>
      <xdr:spPr>
        <a:xfrm>
          <a:off x="8267700" y="34671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7622" name="TextBox 7621">
          <a:extLst>
            <a:ext uri="{FF2B5EF4-FFF2-40B4-BE49-F238E27FC236}">
              <a16:creationId xmlns:a16="http://schemas.microsoft.com/office/drawing/2014/main" id="{00000000-0008-0000-0000-000089010000}"/>
            </a:ext>
          </a:extLst>
        </xdr:cNvPr>
        <xdr:cNvSpPr txBox="1"/>
      </xdr:nvSpPr>
      <xdr:spPr>
        <a:xfrm>
          <a:off x="8267700" y="34671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7623" name="TextBox 7622">
          <a:extLst>
            <a:ext uri="{FF2B5EF4-FFF2-40B4-BE49-F238E27FC236}">
              <a16:creationId xmlns:a16="http://schemas.microsoft.com/office/drawing/2014/main" id="{00000000-0008-0000-0000-00008A010000}"/>
            </a:ext>
          </a:extLst>
        </xdr:cNvPr>
        <xdr:cNvSpPr txBox="1"/>
      </xdr:nvSpPr>
      <xdr:spPr>
        <a:xfrm>
          <a:off x="8267700" y="34671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7624" name="TextBox 7623">
          <a:extLst>
            <a:ext uri="{FF2B5EF4-FFF2-40B4-BE49-F238E27FC236}">
              <a16:creationId xmlns:a16="http://schemas.microsoft.com/office/drawing/2014/main" id="{00000000-0008-0000-0000-00008B010000}"/>
            </a:ext>
          </a:extLst>
        </xdr:cNvPr>
        <xdr:cNvSpPr txBox="1"/>
      </xdr:nvSpPr>
      <xdr:spPr>
        <a:xfrm>
          <a:off x="8267700" y="34671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7625" name="TextBox 7624">
          <a:extLst>
            <a:ext uri="{FF2B5EF4-FFF2-40B4-BE49-F238E27FC236}">
              <a16:creationId xmlns:a16="http://schemas.microsoft.com/office/drawing/2014/main" id="{00000000-0008-0000-0000-00008C010000}"/>
            </a:ext>
          </a:extLst>
        </xdr:cNvPr>
        <xdr:cNvSpPr txBox="1"/>
      </xdr:nvSpPr>
      <xdr:spPr>
        <a:xfrm>
          <a:off x="8267700" y="34671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7626" name="TextBox 7625">
          <a:extLst>
            <a:ext uri="{FF2B5EF4-FFF2-40B4-BE49-F238E27FC236}">
              <a16:creationId xmlns:a16="http://schemas.microsoft.com/office/drawing/2014/main" id="{00000000-0008-0000-0000-00008D010000}"/>
            </a:ext>
          </a:extLst>
        </xdr:cNvPr>
        <xdr:cNvSpPr txBox="1"/>
      </xdr:nvSpPr>
      <xdr:spPr>
        <a:xfrm>
          <a:off x="8267700" y="34671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7627" name="TextBox 7626">
          <a:extLst>
            <a:ext uri="{FF2B5EF4-FFF2-40B4-BE49-F238E27FC236}">
              <a16:creationId xmlns:a16="http://schemas.microsoft.com/office/drawing/2014/main" id="{00000000-0008-0000-0000-00008E010000}"/>
            </a:ext>
          </a:extLst>
        </xdr:cNvPr>
        <xdr:cNvSpPr txBox="1"/>
      </xdr:nvSpPr>
      <xdr:spPr>
        <a:xfrm>
          <a:off x="8267700" y="34671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7628" name="TextBox 7627">
          <a:extLst>
            <a:ext uri="{FF2B5EF4-FFF2-40B4-BE49-F238E27FC236}">
              <a16:creationId xmlns:a16="http://schemas.microsoft.com/office/drawing/2014/main" id="{00000000-0008-0000-0000-00008F010000}"/>
            </a:ext>
          </a:extLst>
        </xdr:cNvPr>
        <xdr:cNvSpPr txBox="1"/>
      </xdr:nvSpPr>
      <xdr:spPr>
        <a:xfrm>
          <a:off x="8267700" y="34671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7629" name="TextBox 7628">
          <a:extLst>
            <a:ext uri="{FF2B5EF4-FFF2-40B4-BE49-F238E27FC236}">
              <a16:creationId xmlns:a16="http://schemas.microsoft.com/office/drawing/2014/main" id="{00000000-0008-0000-0000-000090010000}"/>
            </a:ext>
          </a:extLst>
        </xdr:cNvPr>
        <xdr:cNvSpPr txBox="1"/>
      </xdr:nvSpPr>
      <xdr:spPr>
        <a:xfrm>
          <a:off x="8267700" y="34671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7630" name="TextBox 7629">
          <a:extLst>
            <a:ext uri="{FF2B5EF4-FFF2-40B4-BE49-F238E27FC236}">
              <a16:creationId xmlns:a16="http://schemas.microsoft.com/office/drawing/2014/main" id="{00000000-0008-0000-0000-000091010000}"/>
            </a:ext>
          </a:extLst>
        </xdr:cNvPr>
        <xdr:cNvSpPr txBox="1"/>
      </xdr:nvSpPr>
      <xdr:spPr>
        <a:xfrm>
          <a:off x="8267700" y="34671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7631" name="TextBox 7630">
          <a:extLst>
            <a:ext uri="{FF2B5EF4-FFF2-40B4-BE49-F238E27FC236}">
              <a16:creationId xmlns:a16="http://schemas.microsoft.com/office/drawing/2014/main" id="{00000000-0008-0000-0000-000092010000}"/>
            </a:ext>
          </a:extLst>
        </xdr:cNvPr>
        <xdr:cNvSpPr txBox="1"/>
      </xdr:nvSpPr>
      <xdr:spPr>
        <a:xfrm>
          <a:off x="8267700" y="34671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7632" name="TextBox 7631">
          <a:extLst>
            <a:ext uri="{FF2B5EF4-FFF2-40B4-BE49-F238E27FC236}">
              <a16:creationId xmlns:a16="http://schemas.microsoft.com/office/drawing/2014/main" id="{00000000-0008-0000-0000-000093010000}"/>
            </a:ext>
          </a:extLst>
        </xdr:cNvPr>
        <xdr:cNvSpPr txBox="1"/>
      </xdr:nvSpPr>
      <xdr:spPr>
        <a:xfrm>
          <a:off x="8267700" y="34671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7633" name="TextBox 7632">
          <a:extLst>
            <a:ext uri="{FF2B5EF4-FFF2-40B4-BE49-F238E27FC236}">
              <a16:creationId xmlns:a16="http://schemas.microsoft.com/office/drawing/2014/main" id="{00000000-0008-0000-0000-000094010000}"/>
            </a:ext>
          </a:extLst>
        </xdr:cNvPr>
        <xdr:cNvSpPr txBox="1"/>
      </xdr:nvSpPr>
      <xdr:spPr>
        <a:xfrm>
          <a:off x="8267700" y="34671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7634" name="TextBox 7633">
          <a:extLst>
            <a:ext uri="{FF2B5EF4-FFF2-40B4-BE49-F238E27FC236}">
              <a16:creationId xmlns:a16="http://schemas.microsoft.com/office/drawing/2014/main" id="{00000000-0008-0000-0000-000095010000}"/>
            </a:ext>
          </a:extLst>
        </xdr:cNvPr>
        <xdr:cNvSpPr txBox="1"/>
      </xdr:nvSpPr>
      <xdr:spPr>
        <a:xfrm>
          <a:off x="8267700" y="34671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7635" name="TextBox 7634">
          <a:extLst>
            <a:ext uri="{FF2B5EF4-FFF2-40B4-BE49-F238E27FC236}">
              <a16:creationId xmlns:a16="http://schemas.microsoft.com/office/drawing/2014/main" id="{00000000-0008-0000-0000-000096010000}"/>
            </a:ext>
          </a:extLst>
        </xdr:cNvPr>
        <xdr:cNvSpPr txBox="1"/>
      </xdr:nvSpPr>
      <xdr:spPr>
        <a:xfrm>
          <a:off x="8267700" y="34671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7636" name="TextBox 7635">
          <a:extLst>
            <a:ext uri="{FF2B5EF4-FFF2-40B4-BE49-F238E27FC236}">
              <a16:creationId xmlns:a16="http://schemas.microsoft.com/office/drawing/2014/main" id="{00000000-0008-0000-0000-000097010000}"/>
            </a:ext>
          </a:extLst>
        </xdr:cNvPr>
        <xdr:cNvSpPr txBox="1"/>
      </xdr:nvSpPr>
      <xdr:spPr>
        <a:xfrm>
          <a:off x="8267700" y="34671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7637" name="TextBox 7636">
          <a:extLst>
            <a:ext uri="{FF2B5EF4-FFF2-40B4-BE49-F238E27FC236}">
              <a16:creationId xmlns:a16="http://schemas.microsoft.com/office/drawing/2014/main" id="{00000000-0008-0000-0000-000098010000}"/>
            </a:ext>
          </a:extLst>
        </xdr:cNvPr>
        <xdr:cNvSpPr txBox="1"/>
      </xdr:nvSpPr>
      <xdr:spPr>
        <a:xfrm>
          <a:off x="8267700" y="34671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7638" name="TextBox 7637">
          <a:extLst>
            <a:ext uri="{FF2B5EF4-FFF2-40B4-BE49-F238E27FC236}">
              <a16:creationId xmlns:a16="http://schemas.microsoft.com/office/drawing/2014/main" id="{00000000-0008-0000-0000-000099010000}"/>
            </a:ext>
          </a:extLst>
        </xdr:cNvPr>
        <xdr:cNvSpPr txBox="1"/>
      </xdr:nvSpPr>
      <xdr:spPr>
        <a:xfrm>
          <a:off x="8267700" y="34671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7639" name="TextBox 7638">
          <a:extLst>
            <a:ext uri="{FF2B5EF4-FFF2-40B4-BE49-F238E27FC236}">
              <a16:creationId xmlns:a16="http://schemas.microsoft.com/office/drawing/2014/main" id="{00000000-0008-0000-0000-00009A010000}"/>
            </a:ext>
          </a:extLst>
        </xdr:cNvPr>
        <xdr:cNvSpPr txBox="1"/>
      </xdr:nvSpPr>
      <xdr:spPr>
        <a:xfrm>
          <a:off x="8267700" y="34671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7640" name="TextBox 7639">
          <a:extLst>
            <a:ext uri="{FF2B5EF4-FFF2-40B4-BE49-F238E27FC236}">
              <a16:creationId xmlns:a16="http://schemas.microsoft.com/office/drawing/2014/main" id="{00000000-0008-0000-0000-00009B010000}"/>
            </a:ext>
          </a:extLst>
        </xdr:cNvPr>
        <xdr:cNvSpPr txBox="1"/>
      </xdr:nvSpPr>
      <xdr:spPr>
        <a:xfrm>
          <a:off x="8267700" y="34671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7641" name="TextBox 7640">
          <a:extLst>
            <a:ext uri="{FF2B5EF4-FFF2-40B4-BE49-F238E27FC236}">
              <a16:creationId xmlns:a16="http://schemas.microsoft.com/office/drawing/2014/main" id="{00000000-0008-0000-0000-00009C010000}"/>
            </a:ext>
          </a:extLst>
        </xdr:cNvPr>
        <xdr:cNvSpPr txBox="1"/>
      </xdr:nvSpPr>
      <xdr:spPr>
        <a:xfrm>
          <a:off x="8267700" y="34671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7642" name="TextBox 7641">
          <a:extLst>
            <a:ext uri="{FF2B5EF4-FFF2-40B4-BE49-F238E27FC236}">
              <a16:creationId xmlns:a16="http://schemas.microsoft.com/office/drawing/2014/main" id="{00000000-0008-0000-0000-00009D010000}"/>
            </a:ext>
          </a:extLst>
        </xdr:cNvPr>
        <xdr:cNvSpPr txBox="1"/>
      </xdr:nvSpPr>
      <xdr:spPr>
        <a:xfrm>
          <a:off x="8267700" y="34671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7643" name="TextBox 7642">
          <a:extLst>
            <a:ext uri="{FF2B5EF4-FFF2-40B4-BE49-F238E27FC236}">
              <a16:creationId xmlns:a16="http://schemas.microsoft.com/office/drawing/2014/main" id="{00000000-0008-0000-0000-00009E010000}"/>
            </a:ext>
          </a:extLst>
        </xdr:cNvPr>
        <xdr:cNvSpPr txBox="1"/>
      </xdr:nvSpPr>
      <xdr:spPr>
        <a:xfrm>
          <a:off x="8267700" y="34671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7644" name="TextBox 7643">
          <a:extLst>
            <a:ext uri="{FF2B5EF4-FFF2-40B4-BE49-F238E27FC236}">
              <a16:creationId xmlns:a16="http://schemas.microsoft.com/office/drawing/2014/main" id="{00000000-0008-0000-0000-00009F010000}"/>
            </a:ext>
          </a:extLst>
        </xdr:cNvPr>
        <xdr:cNvSpPr txBox="1"/>
      </xdr:nvSpPr>
      <xdr:spPr>
        <a:xfrm>
          <a:off x="8267700" y="34671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7645" name="TextBox 7644">
          <a:extLst>
            <a:ext uri="{FF2B5EF4-FFF2-40B4-BE49-F238E27FC236}">
              <a16:creationId xmlns:a16="http://schemas.microsoft.com/office/drawing/2014/main" id="{00000000-0008-0000-0000-0000A0010000}"/>
            </a:ext>
          </a:extLst>
        </xdr:cNvPr>
        <xdr:cNvSpPr txBox="1"/>
      </xdr:nvSpPr>
      <xdr:spPr>
        <a:xfrm>
          <a:off x="8267700" y="34671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7646" name="TextBox 7645">
          <a:extLst>
            <a:ext uri="{FF2B5EF4-FFF2-40B4-BE49-F238E27FC236}">
              <a16:creationId xmlns:a16="http://schemas.microsoft.com/office/drawing/2014/main" id="{00000000-0008-0000-0000-0000A1010000}"/>
            </a:ext>
          </a:extLst>
        </xdr:cNvPr>
        <xdr:cNvSpPr txBox="1"/>
      </xdr:nvSpPr>
      <xdr:spPr>
        <a:xfrm>
          <a:off x="8267700" y="34671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7647" name="TextBox 7646">
          <a:extLst>
            <a:ext uri="{FF2B5EF4-FFF2-40B4-BE49-F238E27FC236}">
              <a16:creationId xmlns:a16="http://schemas.microsoft.com/office/drawing/2014/main" id="{00000000-0008-0000-0000-0000A2010000}"/>
            </a:ext>
          </a:extLst>
        </xdr:cNvPr>
        <xdr:cNvSpPr txBox="1"/>
      </xdr:nvSpPr>
      <xdr:spPr>
        <a:xfrm>
          <a:off x="8267700" y="34671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7648" name="TextBox 7647">
          <a:extLst>
            <a:ext uri="{FF2B5EF4-FFF2-40B4-BE49-F238E27FC236}">
              <a16:creationId xmlns:a16="http://schemas.microsoft.com/office/drawing/2014/main" id="{00000000-0008-0000-0000-0000A3010000}"/>
            </a:ext>
          </a:extLst>
        </xdr:cNvPr>
        <xdr:cNvSpPr txBox="1"/>
      </xdr:nvSpPr>
      <xdr:spPr>
        <a:xfrm>
          <a:off x="8267700" y="34671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7649" name="TextBox 7648">
          <a:extLst>
            <a:ext uri="{FF2B5EF4-FFF2-40B4-BE49-F238E27FC236}">
              <a16:creationId xmlns:a16="http://schemas.microsoft.com/office/drawing/2014/main" id="{00000000-0008-0000-0000-0000A4010000}"/>
            </a:ext>
          </a:extLst>
        </xdr:cNvPr>
        <xdr:cNvSpPr txBox="1"/>
      </xdr:nvSpPr>
      <xdr:spPr>
        <a:xfrm>
          <a:off x="8267700" y="34671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7650" name="TextBox 7649">
          <a:extLst>
            <a:ext uri="{FF2B5EF4-FFF2-40B4-BE49-F238E27FC236}">
              <a16:creationId xmlns:a16="http://schemas.microsoft.com/office/drawing/2014/main" id="{00000000-0008-0000-0000-0000A5010000}"/>
            </a:ext>
          </a:extLst>
        </xdr:cNvPr>
        <xdr:cNvSpPr txBox="1"/>
      </xdr:nvSpPr>
      <xdr:spPr>
        <a:xfrm>
          <a:off x="8267700" y="34671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7651" name="TextBox 7650">
          <a:extLst>
            <a:ext uri="{FF2B5EF4-FFF2-40B4-BE49-F238E27FC236}">
              <a16:creationId xmlns:a16="http://schemas.microsoft.com/office/drawing/2014/main" id="{00000000-0008-0000-0000-0000A6010000}"/>
            </a:ext>
          </a:extLst>
        </xdr:cNvPr>
        <xdr:cNvSpPr txBox="1"/>
      </xdr:nvSpPr>
      <xdr:spPr>
        <a:xfrm>
          <a:off x="8267700" y="34671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7652" name="TextBox 7651">
          <a:extLst>
            <a:ext uri="{FF2B5EF4-FFF2-40B4-BE49-F238E27FC236}">
              <a16:creationId xmlns:a16="http://schemas.microsoft.com/office/drawing/2014/main" id="{00000000-0008-0000-0000-0000A7010000}"/>
            </a:ext>
          </a:extLst>
        </xdr:cNvPr>
        <xdr:cNvSpPr txBox="1"/>
      </xdr:nvSpPr>
      <xdr:spPr>
        <a:xfrm>
          <a:off x="8267700" y="34671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7653" name="TextBox 7652">
          <a:extLst>
            <a:ext uri="{FF2B5EF4-FFF2-40B4-BE49-F238E27FC236}">
              <a16:creationId xmlns:a16="http://schemas.microsoft.com/office/drawing/2014/main" id="{00000000-0008-0000-0000-0000A8010000}"/>
            </a:ext>
          </a:extLst>
        </xdr:cNvPr>
        <xdr:cNvSpPr txBox="1"/>
      </xdr:nvSpPr>
      <xdr:spPr>
        <a:xfrm>
          <a:off x="12580620" y="34671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7654" name="TextBox 7653">
          <a:extLst>
            <a:ext uri="{FF2B5EF4-FFF2-40B4-BE49-F238E27FC236}">
              <a16:creationId xmlns:a16="http://schemas.microsoft.com/office/drawing/2014/main" id="{00000000-0008-0000-0000-0000A9010000}"/>
            </a:ext>
          </a:extLst>
        </xdr:cNvPr>
        <xdr:cNvSpPr txBox="1"/>
      </xdr:nvSpPr>
      <xdr:spPr>
        <a:xfrm>
          <a:off x="12580620" y="34671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7655" name="TextBox 7654">
          <a:extLst>
            <a:ext uri="{FF2B5EF4-FFF2-40B4-BE49-F238E27FC236}">
              <a16:creationId xmlns:a16="http://schemas.microsoft.com/office/drawing/2014/main" id="{00000000-0008-0000-0000-0000AA010000}"/>
            </a:ext>
          </a:extLst>
        </xdr:cNvPr>
        <xdr:cNvSpPr txBox="1"/>
      </xdr:nvSpPr>
      <xdr:spPr>
        <a:xfrm>
          <a:off x="12580620" y="34671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7656" name="TextBox 7655">
          <a:extLst>
            <a:ext uri="{FF2B5EF4-FFF2-40B4-BE49-F238E27FC236}">
              <a16:creationId xmlns:a16="http://schemas.microsoft.com/office/drawing/2014/main" id="{00000000-0008-0000-0000-0000AB010000}"/>
            </a:ext>
          </a:extLst>
        </xdr:cNvPr>
        <xdr:cNvSpPr txBox="1"/>
      </xdr:nvSpPr>
      <xdr:spPr>
        <a:xfrm>
          <a:off x="12580620" y="34671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7657" name="TextBox 7656">
          <a:extLst>
            <a:ext uri="{FF2B5EF4-FFF2-40B4-BE49-F238E27FC236}">
              <a16:creationId xmlns:a16="http://schemas.microsoft.com/office/drawing/2014/main" id="{00000000-0008-0000-0000-0000AC010000}"/>
            </a:ext>
          </a:extLst>
        </xdr:cNvPr>
        <xdr:cNvSpPr txBox="1"/>
      </xdr:nvSpPr>
      <xdr:spPr>
        <a:xfrm>
          <a:off x="12580620" y="34671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7658" name="TextBox 7657">
          <a:extLst>
            <a:ext uri="{FF2B5EF4-FFF2-40B4-BE49-F238E27FC236}">
              <a16:creationId xmlns:a16="http://schemas.microsoft.com/office/drawing/2014/main" id="{00000000-0008-0000-0000-0000AD010000}"/>
            </a:ext>
          </a:extLst>
        </xdr:cNvPr>
        <xdr:cNvSpPr txBox="1"/>
      </xdr:nvSpPr>
      <xdr:spPr>
        <a:xfrm>
          <a:off x="12580620" y="34671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7659" name="TextBox 7658">
          <a:extLst>
            <a:ext uri="{FF2B5EF4-FFF2-40B4-BE49-F238E27FC236}">
              <a16:creationId xmlns:a16="http://schemas.microsoft.com/office/drawing/2014/main" id="{00000000-0008-0000-0000-0000AE010000}"/>
            </a:ext>
          </a:extLst>
        </xdr:cNvPr>
        <xdr:cNvSpPr txBox="1"/>
      </xdr:nvSpPr>
      <xdr:spPr>
        <a:xfrm>
          <a:off x="12580620" y="34671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7660" name="TextBox 7659">
          <a:extLst>
            <a:ext uri="{FF2B5EF4-FFF2-40B4-BE49-F238E27FC236}">
              <a16:creationId xmlns:a16="http://schemas.microsoft.com/office/drawing/2014/main" id="{00000000-0008-0000-0000-0000AF010000}"/>
            </a:ext>
          </a:extLst>
        </xdr:cNvPr>
        <xdr:cNvSpPr txBox="1"/>
      </xdr:nvSpPr>
      <xdr:spPr>
        <a:xfrm>
          <a:off x="12580620" y="34671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7661" name="TextBox 7660">
          <a:extLst>
            <a:ext uri="{FF2B5EF4-FFF2-40B4-BE49-F238E27FC236}">
              <a16:creationId xmlns:a16="http://schemas.microsoft.com/office/drawing/2014/main" id="{00000000-0008-0000-0000-0000B0010000}"/>
            </a:ext>
          </a:extLst>
        </xdr:cNvPr>
        <xdr:cNvSpPr txBox="1"/>
      </xdr:nvSpPr>
      <xdr:spPr>
        <a:xfrm>
          <a:off x="8267700" y="334822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7662" name="TextBox 7661">
          <a:extLst>
            <a:ext uri="{FF2B5EF4-FFF2-40B4-BE49-F238E27FC236}">
              <a16:creationId xmlns:a16="http://schemas.microsoft.com/office/drawing/2014/main" id="{00000000-0008-0000-0000-0000B1010000}"/>
            </a:ext>
          </a:extLst>
        </xdr:cNvPr>
        <xdr:cNvSpPr txBox="1"/>
      </xdr:nvSpPr>
      <xdr:spPr>
        <a:xfrm>
          <a:off x="8267700" y="334822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7663" name="TextBox 7662">
          <a:extLst>
            <a:ext uri="{FF2B5EF4-FFF2-40B4-BE49-F238E27FC236}">
              <a16:creationId xmlns:a16="http://schemas.microsoft.com/office/drawing/2014/main" id="{00000000-0008-0000-0000-0000B2010000}"/>
            </a:ext>
          </a:extLst>
        </xdr:cNvPr>
        <xdr:cNvSpPr txBox="1"/>
      </xdr:nvSpPr>
      <xdr:spPr>
        <a:xfrm>
          <a:off x="1258062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7664" name="TextBox 7663">
          <a:extLst>
            <a:ext uri="{FF2B5EF4-FFF2-40B4-BE49-F238E27FC236}">
              <a16:creationId xmlns:a16="http://schemas.microsoft.com/office/drawing/2014/main" id="{00000000-0008-0000-0000-0000B3010000}"/>
            </a:ext>
          </a:extLst>
        </xdr:cNvPr>
        <xdr:cNvSpPr txBox="1"/>
      </xdr:nvSpPr>
      <xdr:spPr>
        <a:xfrm>
          <a:off x="1258062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7665" name="TextBox 7664">
          <a:extLst>
            <a:ext uri="{FF2B5EF4-FFF2-40B4-BE49-F238E27FC236}">
              <a16:creationId xmlns:a16="http://schemas.microsoft.com/office/drawing/2014/main" id="{00000000-0008-0000-0000-0000B4010000}"/>
            </a:ext>
          </a:extLst>
        </xdr:cNvPr>
        <xdr:cNvSpPr txBox="1"/>
      </xdr:nvSpPr>
      <xdr:spPr>
        <a:xfrm>
          <a:off x="1258062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7666" name="TextBox 7665">
          <a:extLst>
            <a:ext uri="{FF2B5EF4-FFF2-40B4-BE49-F238E27FC236}">
              <a16:creationId xmlns:a16="http://schemas.microsoft.com/office/drawing/2014/main" id="{00000000-0008-0000-0000-0000B5010000}"/>
            </a:ext>
          </a:extLst>
        </xdr:cNvPr>
        <xdr:cNvSpPr txBox="1"/>
      </xdr:nvSpPr>
      <xdr:spPr>
        <a:xfrm>
          <a:off x="1258062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7667" name="TextBox 7666">
          <a:extLst>
            <a:ext uri="{FF2B5EF4-FFF2-40B4-BE49-F238E27FC236}">
              <a16:creationId xmlns:a16="http://schemas.microsoft.com/office/drawing/2014/main" id="{00000000-0008-0000-0000-0000B6010000}"/>
            </a:ext>
          </a:extLst>
        </xdr:cNvPr>
        <xdr:cNvSpPr txBox="1"/>
      </xdr:nvSpPr>
      <xdr:spPr>
        <a:xfrm>
          <a:off x="1258062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7668" name="TextBox 7667">
          <a:extLst>
            <a:ext uri="{FF2B5EF4-FFF2-40B4-BE49-F238E27FC236}">
              <a16:creationId xmlns:a16="http://schemas.microsoft.com/office/drawing/2014/main" id="{00000000-0008-0000-0000-0000B7010000}"/>
            </a:ext>
          </a:extLst>
        </xdr:cNvPr>
        <xdr:cNvSpPr txBox="1"/>
      </xdr:nvSpPr>
      <xdr:spPr>
        <a:xfrm>
          <a:off x="1258062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7669" name="TextBox 7668">
          <a:extLst>
            <a:ext uri="{FF2B5EF4-FFF2-40B4-BE49-F238E27FC236}">
              <a16:creationId xmlns:a16="http://schemas.microsoft.com/office/drawing/2014/main" id="{00000000-0008-0000-0000-0000B8010000}"/>
            </a:ext>
          </a:extLst>
        </xdr:cNvPr>
        <xdr:cNvSpPr txBox="1"/>
      </xdr:nvSpPr>
      <xdr:spPr>
        <a:xfrm>
          <a:off x="1258062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7670" name="TextBox 7669">
          <a:extLst>
            <a:ext uri="{FF2B5EF4-FFF2-40B4-BE49-F238E27FC236}">
              <a16:creationId xmlns:a16="http://schemas.microsoft.com/office/drawing/2014/main" id="{00000000-0008-0000-0000-0000B9010000}"/>
            </a:ext>
          </a:extLst>
        </xdr:cNvPr>
        <xdr:cNvSpPr txBox="1"/>
      </xdr:nvSpPr>
      <xdr:spPr>
        <a:xfrm>
          <a:off x="1258062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671" name="TextBox 7670">
          <a:extLst>
            <a:ext uri="{FF2B5EF4-FFF2-40B4-BE49-F238E27FC236}">
              <a16:creationId xmlns:a16="http://schemas.microsoft.com/office/drawing/2014/main" id="{00000000-0008-0000-0000-0000BA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672" name="TextBox 7671">
          <a:extLst>
            <a:ext uri="{FF2B5EF4-FFF2-40B4-BE49-F238E27FC236}">
              <a16:creationId xmlns:a16="http://schemas.microsoft.com/office/drawing/2014/main" id="{00000000-0008-0000-0000-0000BB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673" name="TextBox 7672">
          <a:extLst>
            <a:ext uri="{FF2B5EF4-FFF2-40B4-BE49-F238E27FC236}">
              <a16:creationId xmlns:a16="http://schemas.microsoft.com/office/drawing/2014/main" id="{00000000-0008-0000-0000-0000BC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674" name="TextBox 7673">
          <a:extLst>
            <a:ext uri="{FF2B5EF4-FFF2-40B4-BE49-F238E27FC236}">
              <a16:creationId xmlns:a16="http://schemas.microsoft.com/office/drawing/2014/main" id="{00000000-0008-0000-0000-0000BD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675" name="TextBox 7674">
          <a:extLst>
            <a:ext uri="{FF2B5EF4-FFF2-40B4-BE49-F238E27FC236}">
              <a16:creationId xmlns:a16="http://schemas.microsoft.com/office/drawing/2014/main" id="{00000000-0008-0000-0000-0000BE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676" name="TextBox 7675">
          <a:extLst>
            <a:ext uri="{FF2B5EF4-FFF2-40B4-BE49-F238E27FC236}">
              <a16:creationId xmlns:a16="http://schemas.microsoft.com/office/drawing/2014/main" id="{00000000-0008-0000-0000-0000BF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677" name="TextBox 7676">
          <a:extLst>
            <a:ext uri="{FF2B5EF4-FFF2-40B4-BE49-F238E27FC236}">
              <a16:creationId xmlns:a16="http://schemas.microsoft.com/office/drawing/2014/main" id="{00000000-0008-0000-0000-0000C0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678" name="TextBox 7677">
          <a:extLst>
            <a:ext uri="{FF2B5EF4-FFF2-40B4-BE49-F238E27FC236}">
              <a16:creationId xmlns:a16="http://schemas.microsoft.com/office/drawing/2014/main" id="{00000000-0008-0000-0000-0000C1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679" name="TextBox 7678">
          <a:extLst>
            <a:ext uri="{FF2B5EF4-FFF2-40B4-BE49-F238E27FC236}">
              <a16:creationId xmlns:a16="http://schemas.microsoft.com/office/drawing/2014/main" id="{00000000-0008-0000-0000-0000C2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680" name="TextBox 7679">
          <a:extLst>
            <a:ext uri="{FF2B5EF4-FFF2-40B4-BE49-F238E27FC236}">
              <a16:creationId xmlns:a16="http://schemas.microsoft.com/office/drawing/2014/main" id="{00000000-0008-0000-0000-0000C3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681" name="TextBox 7680">
          <a:extLst>
            <a:ext uri="{FF2B5EF4-FFF2-40B4-BE49-F238E27FC236}">
              <a16:creationId xmlns:a16="http://schemas.microsoft.com/office/drawing/2014/main" id="{00000000-0008-0000-0000-0000C4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682" name="TextBox 7681">
          <a:extLst>
            <a:ext uri="{FF2B5EF4-FFF2-40B4-BE49-F238E27FC236}">
              <a16:creationId xmlns:a16="http://schemas.microsoft.com/office/drawing/2014/main" id="{00000000-0008-0000-0000-0000C5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683" name="TextBox 7682">
          <a:extLst>
            <a:ext uri="{FF2B5EF4-FFF2-40B4-BE49-F238E27FC236}">
              <a16:creationId xmlns:a16="http://schemas.microsoft.com/office/drawing/2014/main" id="{00000000-0008-0000-0000-0000C6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684" name="TextBox 7683">
          <a:extLst>
            <a:ext uri="{FF2B5EF4-FFF2-40B4-BE49-F238E27FC236}">
              <a16:creationId xmlns:a16="http://schemas.microsoft.com/office/drawing/2014/main" id="{00000000-0008-0000-0000-0000C7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685" name="TextBox 7684">
          <a:extLst>
            <a:ext uri="{FF2B5EF4-FFF2-40B4-BE49-F238E27FC236}">
              <a16:creationId xmlns:a16="http://schemas.microsoft.com/office/drawing/2014/main" id="{00000000-0008-0000-0000-0000C8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686" name="TextBox 7685">
          <a:extLst>
            <a:ext uri="{FF2B5EF4-FFF2-40B4-BE49-F238E27FC236}">
              <a16:creationId xmlns:a16="http://schemas.microsoft.com/office/drawing/2014/main" id="{00000000-0008-0000-0000-0000C9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687" name="TextBox 7686">
          <a:extLst>
            <a:ext uri="{FF2B5EF4-FFF2-40B4-BE49-F238E27FC236}">
              <a16:creationId xmlns:a16="http://schemas.microsoft.com/office/drawing/2014/main" id="{00000000-0008-0000-0000-0000CA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688" name="TextBox 7687">
          <a:extLst>
            <a:ext uri="{FF2B5EF4-FFF2-40B4-BE49-F238E27FC236}">
              <a16:creationId xmlns:a16="http://schemas.microsoft.com/office/drawing/2014/main" id="{00000000-0008-0000-0000-0000CB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689" name="TextBox 7688">
          <a:extLst>
            <a:ext uri="{FF2B5EF4-FFF2-40B4-BE49-F238E27FC236}">
              <a16:creationId xmlns:a16="http://schemas.microsoft.com/office/drawing/2014/main" id="{00000000-0008-0000-0000-0000CC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690" name="TextBox 7689">
          <a:extLst>
            <a:ext uri="{FF2B5EF4-FFF2-40B4-BE49-F238E27FC236}">
              <a16:creationId xmlns:a16="http://schemas.microsoft.com/office/drawing/2014/main" id="{00000000-0008-0000-0000-0000CD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691" name="TextBox 7690">
          <a:extLst>
            <a:ext uri="{FF2B5EF4-FFF2-40B4-BE49-F238E27FC236}">
              <a16:creationId xmlns:a16="http://schemas.microsoft.com/office/drawing/2014/main" id="{00000000-0008-0000-0000-0000CE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692" name="TextBox 7691">
          <a:extLst>
            <a:ext uri="{FF2B5EF4-FFF2-40B4-BE49-F238E27FC236}">
              <a16:creationId xmlns:a16="http://schemas.microsoft.com/office/drawing/2014/main" id="{00000000-0008-0000-0000-0000CF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693" name="TextBox 7692">
          <a:extLst>
            <a:ext uri="{FF2B5EF4-FFF2-40B4-BE49-F238E27FC236}">
              <a16:creationId xmlns:a16="http://schemas.microsoft.com/office/drawing/2014/main" id="{00000000-0008-0000-0000-0000D0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694" name="TextBox 7693">
          <a:extLst>
            <a:ext uri="{FF2B5EF4-FFF2-40B4-BE49-F238E27FC236}">
              <a16:creationId xmlns:a16="http://schemas.microsoft.com/office/drawing/2014/main" id="{00000000-0008-0000-0000-0000D1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695" name="TextBox 7694">
          <a:extLst>
            <a:ext uri="{FF2B5EF4-FFF2-40B4-BE49-F238E27FC236}">
              <a16:creationId xmlns:a16="http://schemas.microsoft.com/office/drawing/2014/main" id="{00000000-0008-0000-0000-0000D2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696" name="TextBox 7695">
          <a:extLst>
            <a:ext uri="{FF2B5EF4-FFF2-40B4-BE49-F238E27FC236}">
              <a16:creationId xmlns:a16="http://schemas.microsoft.com/office/drawing/2014/main" id="{00000000-0008-0000-0000-0000D3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697" name="TextBox 7696">
          <a:extLst>
            <a:ext uri="{FF2B5EF4-FFF2-40B4-BE49-F238E27FC236}">
              <a16:creationId xmlns:a16="http://schemas.microsoft.com/office/drawing/2014/main" id="{00000000-0008-0000-0000-0000D4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698" name="TextBox 7697">
          <a:extLst>
            <a:ext uri="{FF2B5EF4-FFF2-40B4-BE49-F238E27FC236}">
              <a16:creationId xmlns:a16="http://schemas.microsoft.com/office/drawing/2014/main" id="{00000000-0008-0000-0000-0000D5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699" name="TextBox 7698">
          <a:extLst>
            <a:ext uri="{FF2B5EF4-FFF2-40B4-BE49-F238E27FC236}">
              <a16:creationId xmlns:a16="http://schemas.microsoft.com/office/drawing/2014/main" id="{00000000-0008-0000-0000-0000D6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700" name="TextBox 7699">
          <a:extLst>
            <a:ext uri="{FF2B5EF4-FFF2-40B4-BE49-F238E27FC236}">
              <a16:creationId xmlns:a16="http://schemas.microsoft.com/office/drawing/2014/main" id="{00000000-0008-0000-0000-0000D7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701" name="TextBox 7700">
          <a:extLst>
            <a:ext uri="{FF2B5EF4-FFF2-40B4-BE49-F238E27FC236}">
              <a16:creationId xmlns:a16="http://schemas.microsoft.com/office/drawing/2014/main" id="{00000000-0008-0000-0000-0000D8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702" name="TextBox 7701">
          <a:extLst>
            <a:ext uri="{FF2B5EF4-FFF2-40B4-BE49-F238E27FC236}">
              <a16:creationId xmlns:a16="http://schemas.microsoft.com/office/drawing/2014/main" id="{00000000-0008-0000-0000-0000D9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703" name="TextBox 7702">
          <a:extLst>
            <a:ext uri="{FF2B5EF4-FFF2-40B4-BE49-F238E27FC236}">
              <a16:creationId xmlns:a16="http://schemas.microsoft.com/office/drawing/2014/main" id="{00000000-0008-0000-0000-0000DA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704" name="TextBox 7703">
          <a:extLst>
            <a:ext uri="{FF2B5EF4-FFF2-40B4-BE49-F238E27FC236}">
              <a16:creationId xmlns:a16="http://schemas.microsoft.com/office/drawing/2014/main" id="{00000000-0008-0000-0000-0000DB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705" name="TextBox 7704">
          <a:extLst>
            <a:ext uri="{FF2B5EF4-FFF2-40B4-BE49-F238E27FC236}">
              <a16:creationId xmlns:a16="http://schemas.microsoft.com/office/drawing/2014/main" id="{00000000-0008-0000-0000-0000DC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706" name="TextBox 7705">
          <a:extLst>
            <a:ext uri="{FF2B5EF4-FFF2-40B4-BE49-F238E27FC236}">
              <a16:creationId xmlns:a16="http://schemas.microsoft.com/office/drawing/2014/main" id="{00000000-0008-0000-0000-0000DD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707" name="TextBox 7706">
          <a:extLst>
            <a:ext uri="{FF2B5EF4-FFF2-40B4-BE49-F238E27FC236}">
              <a16:creationId xmlns:a16="http://schemas.microsoft.com/office/drawing/2014/main" id="{00000000-0008-0000-0000-0000DE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708" name="TextBox 7707">
          <a:extLst>
            <a:ext uri="{FF2B5EF4-FFF2-40B4-BE49-F238E27FC236}">
              <a16:creationId xmlns:a16="http://schemas.microsoft.com/office/drawing/2014/main" id="{00000000-0008-0000-0000-0000DF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709" name="TextBox 7708">
          <a:extLst>
            <a:ext uri="{FF2B5EF4-FFF2-40B4-BE49-F238E27FC236}">
              <a16:creationId xmlns:a16="http://schemas.microsoft.com/office/drawing/2014/main" id="{00000000-0008-0000-0000-0000E0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710" name="TextBox 7709">
          <a:extLst>
            <a:ext uri="{FF2B5EF4-FFF2-40B4-BE49-F238E27FC236}">
              <a16:creationId xmlns:a16="http://schemas.microsoft.com/office/drawing/2014/main" id="{00000000-0008-0000-0000-0000E1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711" name="TextBox 7710">
          <a:extLst>
            <a:ext uri="{FF2B5EF4-FFF2-40B4-BE49-F238E27FC236}">
              <a16:creationId xmlns:a16="http://schemas.microsoft.com/office/drawing/2014/main" id="{00000000-0008-0000-0000-0000E2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712" name="TextBox 7711">
          <a:extLst>
            <a:ext uri="{FF2B5EF4-FFF2-40B4-BE49-F238E27FC236}">
              <a16:creationId xmlns:a16="http://schemas.microsoft.com/office/drawing/2014/main" id="{00000000-0008-0000-0000-0000E3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713" name="TextBox 7712">
          <a:extLst>
            <a:ext uri="{FF2B5EF4-FFF2-40B4-BE49-F238E27FC236}">
              <a16:creationId xmlns:a16="http://schemas.microsoft.com/office/drawing/2014/main" id="{00000000-0008-0000-0000-0000E4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714" name="TextBox 7713">
          <a:extLst>
            <a:ext uri="{FF2B5EF4-FFF2-40B4-BE49-F238E27FC236}">
              <a16:creationId xmlns:a16="http://schemas.microsoft.com/office/drawing/2014/main" id="{00000000-0008-0000-0000-0000E5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715" name="TextBox 7714">
          <a:extLst>
            <a:ext uri="{FF2B5EF4-FFF2-40B4-BE49-F238E27FC236}">
              <a16:creationId xmlns:a16="http://schemas.microsoft.com/office/drawing/2014/main" id="{00000000-0008-0000-0000-0000E6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716" name="TextBox 7715">
          <a:extLst>
            <a:ext uri="{FF2B5EF4-FFF2-40B4-BE49-F238E27FC236}">
              <a16:creationId xmlns:a16="http://schemas.microsoft.com/office/drawing/2014/main" id="{00000000-0008-0000-0000-0000E7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717" name="TextBox 7716">
          <a:extLst>
            <a:ext uri="{FF2B5EF4-FFF2-40B4-BE49-F238E27FC236}">
              <a16:creationId xmlns:a16="http://schemas.microsoft.com/office/drawing/2014/main" id="{00000000-0008-0000-0000-0000E8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718" name="TextBox 7717">
          <a:extLst>
            <a:ext uri="{FF2B5EF4-FFF2-40B4-BE49-F238E27FC236}">
              <a16:creationId xmlns:a16="http://schemas.microsoft.com/office/drawing/2014/main" id="{00000000-0008-0000-0000-0000E9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719" name="TextBox 7718">
          <a:extLst>
            <a:ext uri="{FF2B5EF4-FFF2-40B4-BE49-F238E27FC236}">
              <a16:creationId xmlns:a16="http://schemas.microsoft.com/office/drawing/2014/main" id="{00000000-0008-0000-0000-0000EA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720" name="TextBox 7719">
          <a:extLst>
            <a:ext uri="{FF2B5EF4-FFF2-40B4-BE49-F238E27FC236}">
              <a16:creationId xmlns:a16="http://schemas.microsoft.com/office/drawing/2014/main" id="{00000000-0008-0000-0000-0000EB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721" name="TextBox 7720">
          <a:extLst>
            <a:ext uri="{FF2B5EF4-FFF2-40B4-BE49-F238E27FC236}">
              <a16:creationId xmlns:a16="http://schemas.microsoft.com/office/drawing/2014/main" id="{00000000-0008-0000-0000-0000EC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722" name="TextBox 7721">
          <a:extLst>
            <a:ext uri="{FF2B5EF4-FFF2-40B4-BE49-F238E27FC236}">
              <a16:creationId xmlns:a16="http://schemas.microsoft.com/office/drawing/2014/main" id="{00000000-0008-0000-0000-0000ED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723" name="TextBox 7722">
          <a:extLst>
            <a:ext uri="{FF2B5EF4-FFF2-40B4-BE49-F238E27FC236}">
              <a16:creationId xmlns:a16="http://schemas.microsoft.com/office/drawing/2014/main" id="{00000000-0008-0000-0000-0000EE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724" name="TextBox 7723">
          <a:extLst>
            <a:ext uri="{FF2B5EF4-FFF2-40B4-BE49-F238E27FC236}">
              <a16:creationId xmlns:a16="http://schemas.microsoft.com/office/drawing/2014/main" id="{00000000-0008-0000-0000-0000EF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725" name="TextBox 7724">
          <a:extLst>
            <a:ext uri="{FF2B5EF4-FFF2-40B4-BE49-F238E27FC236}">
              <a16:creationId xmlns:a16="http://schemas.microsoft.com/office/drawing/2014/main" id="{00000000-0008-0000-0000-0000F0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726" name="TextBox 7725">
          <a:extLst>
            <a:ext uri="{FF2B5EF4-FFF2-40B4-BE49-F238E27FC236}">
              <a16:creationId xmlns:a16="http://schemas.microsoft.com/office/drawing/2014/main" id="{00000000-0008-0000-0000-0000F1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727" name="TextBox 7726">
          <a:extLst>
            <a:ext uri="{FF2B5EF4-FFF2-40B4-BE49-F238E27FC236}">
              <a16:creationId xmlns:a16="http://schemas.microsoft.com/office/drawing/2014/main" id="{00000000-0008-0000-0000-0000F2010000}"/>
            </a:ext>
          </a:extLst>
        </xdr:cNvPr>
        <xdr:cNvSpPr txBox="1"/>
      </xdr:nvSpPr>
      <xdr:spPr>
        <a:xfrm>
          <a:off x="1258062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728" name="TextBox 7727">
          <a:extLst>
            <a:ext uri="{FF2B5EF4-FFF2-40B4-BE49-F238E27FC236}">
              <a16:creationId xmlns:a16="http://schemas.microsoft.com/office/drawing/2014/main" id="{00000000-0008-0000-0000-0000F3010000}"/>
            </a:ext>
          </a:extLst>
        </xdr:cNvPr>
        <xdr:cNvSpPr txBox="1"/>
      </xdr:nvSpPr>
      <xdr:spPr>
        <a:xfrm>
          <a:off x="1258062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729" name="TextBox 7728">
          <a:extLst>
            <a:ext uri="{FF2B5EF4-FFF2-40B4-BE49-F238E27FC236}">
              <a16:creationId xmlns:a16="http://schemas.microsoft.com/office/drawing/2014/main" id="{00000000-0008-0000-0000-0000F4010000}"/>
            </a:ext>
          </a:extLst>
        </xdr:cNvPr>
        <xdr:cNvSpPr txBox="1"/>
      </xdr:nvSpPr>
      <xdr:spPr>
        <a:xfrm>
          <a:off x="1258062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730" name="TextBox 7729">
          <a:extLst>
            <a:ext uri="{FF2B5EF4-FFF2-40B4-BE49-F238E27FC236}">
              <a16:creationId xmlns:a16="http://schemas.microsoft.com/office/drawing/2014/main" id="{00000000-0008-0000-0000-0000F5010000}"/>
            </a:ext>
          </a:extLst>
        </xdr:cNvPr>
        <xdr:cNvSpPr txBox="1"/>
      </xdr:nvSpPr>
      <xdr:spPr>
        <a:xfrm>
          <a:off x="1258062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731" name="TextBox 7730">
          <a:extLst>
            <a:ext uri="{FF2B5EF4-FFF2-40B4-BE49-F238E27FC236}">
              <a16:creationId xmlns:a16="http://schemas.microsoft.com/office/drawing/2014/main" id="{00000000-0008-0000-0000-0000F6010000}"/>
            </a:ext>
          </a:extLst>
        </xdr:cNvPr>
        <xdr:cNvSpPr txBox="1"/>
      </xdr:nvSpPr>
      <xdr:spPr>
        <a:xfrm>
          <a:off x="1258062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732" name="TextBox 7731">
          <a:extLst>
            <a:ext uri="{FF2B5EF4-FFF2-40B4-BE49-F238E27FC236}">
              <a16:creationId xmlns:a16="http://schemas.microsoft.com/office/drawing/2014/main" id="{00000000-0008-0000-0000-0000F7010000}"/>
            </a:ext>
          </a:extLst>
        </xdr:cNvPr>
        <xdr:cNvSpPr txBox="1"/>
      </xdr:nvSpPr>
      <xdr:spPr>
        <a:xfrm>
          <a:off x="1258062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733" name="TextBox 7732">
          <a:extLst>
            <a:ext uri="{FF2B5EF4-FFF2-40B4-BE49-F238E27FC236}">
              <a16:creationId xmlns:a16="http://schemas.microsoft.com/office/drawing/2014/main" id="{00000000-0008-0000-0000-0000F8010000}"/>
            </a:ext>
          </a:extLst>
        </xdr:cNvPr>
        <xdr:cNvSpPr txBox="1"/>
      </xdr:nvSpPr>
      <xdr:spPr>
        <a:xfrm>
          <a:off x="1258062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734" name="TextBox 7733">
          <a:extLst>
            <a:ext uri="{FF2B5EF4-FFF2-40B4-BE49-F238E27FC236}">
              <a16:creationId xmlns:a16="http://schemas.microsoft.com/office/drawing/2014/main" id="{00000000-0008-0000-0000-0000F9010000}"/>
            </a:ext>
          </a:extLst>
        </xdr:cNvPr>
        <xdr:cNvSpPr txBox="1"/>
      </xdr:nvSpPr>
      <xdr:spPr>
        <a:xfrm>
          <a:off x="1258062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7735" name="TextBox 7734">
          <a:extLst>
            <a:ext uri="{FF2B5EF4-FFF2-40B4-BE49-F238E27FC236}">
              <a16:creationId xmlns:a16="http://schemas.microsoft.com/office/drawing/2014/main" id="{D790F7C5-4FB4-4169-AECB-29A162C3B4E0}"/>
            </a:ext>
          </a:extLst>
        </xdr:cNvPr>
        <xdr:cNvSpPr txBox="1"/>
      </xdr:nvSpPr>
      <xdr:spPr>
        <a:xfrm>
          <a:off x="12580620" y="334822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7736" name="TextBox 7735">
          <a:extLst>
            <a:ext uri="{FF2B5EF4-FFF2-40B4-BE49-F238E27FC236}">
              <a16:creationId xmlns:a16="http://schemas.microsoft.com/office/drawing/2014/main" id="{4B3266CB-1924-4B0B-A63A-F668BBA86148}"/>
            </a:ext>
          </a:extLst>
        </xdr:cNvPr>
        <xdr:cNvSpPr txBox="1"/>
      </xdr:nvSpPr>
      <xdr:spPr>
        <a:xfrm>
          <a:off x="12580620" y="334822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7737" name="TextBox 7736">
          <a:extLst>
            <a:ext uri="{FF2B5EF4-FFF2-40B4-BE49-F238E27FC236}">
              <a16:creationId xmlns:a16="http://schemas.microsoft.com/office/drawing/2014/main" id="{CBC7410D-7C3A-41C0-B6C7-F75F0212AE33}"/>
            </a:ext>
          </a:extLst>
        </xdr:cNvPr>
        <xdr:cNvSpPr txBox="1"/>
      </xdr:nvSpPr>
      <xdr:spPr>
        <a:xfrm>
          <a:off x="12580620" y="334822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7738" name="TextBox 7737">
          <a:extLst>
            <a:ext uri="{FF2B5EF4-FFF2-40B4-BE49-F238E27FC236}">
              <a16:creationId xmlns:a16="http://schemas.microsoft.com/office/drawing/2014/main" id="{50BBF757-870F-4C5F-8A6D-BB01D20FB785}"/>
            </a:ext>
          </a:extLst>
        </xdr:cNvPr>
        <xdr:cNvSpPr txBox="1"/>
      </xdr:nvSpPr>
      <xdr:spPr>
        <a:xfrm>
          <a:off x="12580620" y="334822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7739" name="TextBox 7738">
          <a:extLst>
            <a:ext uri="{FF2B5EF4-FFF2-40B4-BE49-F238E27FC236}">
              <a16:creationId xmlns:a16="http://schemas.microsoft.com/office/drawing/2014/main" id="{924A6A0B-67A0-4D39-98DD-B4890EA7059F}"/>
            </a:ext>
          </a:extLst>
        </xdr:cNvPr>
        <xdr:cNvSpPr txBox="1"/>
      </xdr:nvSpPr>
      <xdr:spPr>
        <a:xfrm>
          <a:off x="12580620" y="334822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7740" name="TextBox 7739">
          <a:extLst>
            <a:ext uri="{FF2B5EF4-FFF2-40B4-BE49-F238E27FC236}">
              <a16:creationId xmlns:a16="http://schemas.microsoft.com/office/drawing/2014/main" id="{418D698A-7CAD-4873-9383-980E4B117409}"/>
            </a:ext>
          </a:extLst>
        </xdr:cNvPr>
        <xdr:cNvSpPr txBox="1"/>
      </xdr:nvSpPr>
      <xdr:spPr>
        <a:xfrm>
          <a:off x="12580620" y="334822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7741" name="TextBox 7740">
          <a:extLst>
            <a:ext uri="{FF2B5EF4-FFF2-40B4-BE49-F238E27FC236}">
              <a16:creationId xmlns:a16="http://schemas.microsoft.com/office/drawing/2014/main" id="{D4576B78-2AC7-4FA0-B5A6-410991F126C0}"/>
            </a:ext>
          </a:extLst>
        </xdr:cNvPr>
        <xdr:cNvSpPr txBox="1"/>
      </xdr:nvSpPr>
      <xdr:spPr>
        <a:xfrm>
          <a:off x="12580620" y="334822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7742" name="TextBox 7741">
          <a:extLst>
            <a:ext uri="{FF2B5EF4-FFF2-40B4-BE49-F238E27FC236}">
              <a16:creationId xmlns:a16="http://schemas.microsoft.com/office/drawing/2014/main" id="{3F70C200-9F35-47B9-A6A0-8BD020BFA9F5}"/>
            </a:ext>
          </a:extLst>
        </xdr:cNvPr>
        <xdr:cNvSpPr txBox="1"/>
      </xdr:nvSpPr>
      <xdr:spPr>
        <a:xfrm>
          <a:off x="12580620" y="334822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7743" name="TextBox 7742">
          <a:extLst>
            <a:ext uri="{FF2B5EF4-FFF2-40B4-BE49-F238E27FC236}">
              <a16:creationId xmlns:a16="http://schemas.microsoft.com/office/drawing/2014/main" id="{B21B1052-165D-406E-ACA9-FA2B1238ADAA}"/>
            </a:ext>
          </a:extLst>
        </xdr:cNvPr>
        <xdr:cNvSpPr txBox="1"/>
      </xdr:nvSpPr>
      <xdr:spPr>
        <a:xfrm>
          <a:off x="12580620" y="334822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7744" name="TextBox 7743">
          <a:extLst>
            <a:ext uri="{FF2B5EF4-FFF2-40B4-BE49-F238E27FC236}">
              <a16:creationId xmlns:a16="http://schemas.microsoft.com/office/drawing/2014/main" id="{65417AB6-2889-49DD-9AEF-7149F5D9B7B2}"/>
            </a:ext>
          </a:extLst>
        </xdr:cNvPr>
        <xdr:cNvSpPr txBox="1"/>
      </xdr:nvSpPr>
      <xdr:spPr>
        <a:xfrm>
          <a:off x="12580620" y="334822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7745" name="TextBox 7744">
          <a:extLst>
            <a:ext uri="{FF2B5EF4-FFF2-40B4-BE49-F238E27FC236}">
              <a16:creationId xmlns:a16="http://schemas.microsoft.com/office/drawing/2014/main" id="{7BF692BA-8340-4141-BC82-F9CF78D79873}"/>
            </a:ext>
          </a:extLst>
        </xdr:cNvPr>
        <xdr:cNvSpPr txBox="1"/>
      </xdr:nvSpPr>
      <xdr:spPr>
        <a:xfrm>
          <a:off x="12580620" y="334822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7746" name="TextBox 7745">
          <a:extLst>
            <a:ext uri="{FF2B5EF4-FFF2-40B4-BE49-F238E27FC236}">
              <a16:creationId xmlns:a16="http://schemas.microsoft.com/office/drawing/2014/main" id="{79127C80-C540-411B-B139-200EBBA5DA66}"/>
            </a:ext>
          </a:extLst>
        </xdr:cNvPr>
        <xdr:cNvSpPr txBox="1"/>
      </xdr:nvSpPr>
      <xdr:spPr>
        <a:xfrm>
          <a:off x="12580620" y="334822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7747" name="TextBox 7746">
          <a:extLst>
            <a:ext uri="{FF2B5EF4-FFF2-40B4-BE49-F238E27FC236}">
              <a16:creationId xmlns:a16="http://schemas.microsoft.com/office/drawing/2014/main" id="{B67D3F3D-F87A-4ACF-91FC-9A53D5A2D4D3}"/>
            </a:ext>
          </a:extLst>
        </xdr:cNvPr>
        <xdr:cNvSpPr txBox="1"/>
      </xdr:nvSpPr>
      <xdr:spPr>
        <a:xfrm>
          <a:off x="12580620" y="334822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7748" name="TextBox 7747">
          <a:extLst>
            <a:ext uri="{FF2B5EF4-FFF2-40B4-BE49-F238E27FC236}">
              <a16:creationId xmlns:a16="http://schemas.microsoft.com/office/drawing/2014/main" id="{58EC8DC8-71FC-42BE-93DA-79FE716E2108}"/>
            </a:ext>
          </a:extLst>
        </xdr:cNvPr>
        <xdr:cNvSpPr txBox="1"/>
      </xdr:nvSpPr>
      <xdr:spPr>
        <a:xfrm>
          <a:off x="12580620" y="334822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7749" name="TextBox 7748">
          <a:extLst>
            <a:ext uri="{FF2B5EF4-FFF2-40B4-BE49-F238E27FC236}">
              <a16:creationId xmlns:a16="http://schemas.microsoft.com/office/drawing/2014/main" id="{7B7B12E6-3D6A-411C-8750-B2D904ED71B9}"/>
            </a:ext>
          </a:extLst>
        </xdr:cNvPr>
        <xdr:cNvSpPr txBox="1"/>
      </xdr:nvSpPr>
      <xdr:spPr>
        <a:xfrm>
          <a:off x="1258062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7750" name="TextBox 7749">
          <a:extLst>
            <a:ext uri="{FF2B5EF4-FFF2-40B4-BE49-F238E27FC236}">
              <a16:creationId xmlns:a16="http://schemas.microsoft.com/office/drawing/2014/main" id="{F482887C-F492-4307-823C-4E10D7821CC6}"/>
            </a:ext>
          </a:extLst>
        </xdr:cNvPr>
        <xdr:cNvSpPr txBox="1"/>
      </xdr:nvSpPr>
      <xdr:spPr>
        <a:xfrm>
          <a:off x="1258062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7751" name="TextBox 7750">
          <a:extLst>
            <a:ext uri="{FF2B5EF4-FFF2-40B4-BE49-F238E27FC236}">
              <a16:creationId xmlns:a16="http://schemas.microsoft.com/office/drawing/2014/main" id="{0949CA64-0CC0-4B53-A59D-24AD43506153}"/>
            </a:ext>
          </a:extLst>
        </xdr:cNvPr>
        <xdr:cNvSpPr txBox="1"/>
      </xdr:nvSpPr>
      <xdr:spPr>
        <a:xfrm>
          <a:off x="1258062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7752" name="TextBox 7751">
          <a:extLst>
            <a:ext uri="{FF2B5EF4-FFF2-40B4-BE49-F238E27FC236}">
              <a16:creationId xmlns:a16="http://schemas.microsoft.com/office/drawing/2014/main" id="{AF47DE7E-DEEE-4D8F-BEA0-B678FC4108A0}"/>
            </a:ext>
          </a:extLst>
        </xdr:cNvPr>
        <xdr:cNvSpPr txBox="1"/>
      </xdr:nvSpPr>
      <xdr:spPr>
        <a:xfrm>
          <a:off x="1258062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7753" name="TextBox 7752">
          <a:extLst>
            <a:ext uri="{FF2B5EF4-FFF2-40B4-BE49-F238E27FC236}">
              <a16:creationId xmlns:a16="http://schemas.microsoft.com/office/drawing/2014/main" id="{50B7B56B-3E53-478E-BD2A-1CB44BB0EE30}"/>
            </a:ext>
          </a:extLst>
        </xdr:cNvPr>
        <xdr:cNvSpPr txBox="1"/>
      </xdr:nvSpPr>
      <xdr:spPr>
        <a:xfrm>
          <a:off x="1258062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7754" name="TextBox 7753">
          <a:extLst>
            <a:ext uri="{FF2B5EF4-FFF2-40B4-BE49-F238E27FC236}">
              <a16:creationId xmlns:a16="http://schemas.microsoft.com/office/drawing/2014/main" id="{9A76D97E-F211-4995-A860-8787CD5178FF}"/>
            </a:ext>
          </a:extLst>
        </xdr:cNvPr>
        <xdr:cNvSpPr txBox="1"/>
      </xdr:nvSpPr>
      <xdr:spPr>
        <a:xfrm>
          <a:off x="1258062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7755" name="TextBox 7754">
          <a:extLst>
            <a:ext uri="{FF2B5EF4-FFF2-40B4-BE49-F238E27FC236}">
              <a16:creationId xmlns:a16="http://schemas.microsoft.com/office/drawing/2014/main" id="{9FC70A70-D526-4203-8E11-372D840B6103}"/>
            </a:ext>
          </a:extLst>
        </xdr:cNvPr>
        <xdr:cNvSpPr txBox="1"/>
      </xdr:nvSpPr>
      <xdr:spPr>
        <a:xfrm>
          <a:off x="1258062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7756" name="TextBox 7755">
          <a:extLst>
            <a:ext uri="{FF2B5EF4-FFF2-40B4-BE49-F238E27FC236}">
              <a16:creationId xmlns:a16="http://schemas.microsoft.com/office/drawing/2014/main" id="{4F6B1A49-C9DC-473C-8ECD-E788E907B701}"/>
            </a:ext>
          </a:extLst>
        </xdr:cNvPr>
        <xdr:cNvSpPr txBox="1"/>
      </xdr:nvSpPr>
      <xdr:spPr>
        <a:xfrm>
          <a:off x="1258062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7757" name="TextBox 7756">
          <a:extLst>
            <a:ext uri="{FF2B5EF4-FFF2-40B4-BE49-F238E27FC236}">
              <a16:creationId xmlns:a16="http://schemas.microsoft.com/office/drawing/2014/main" id="{7249EAE9-2088-4834-9241-A764E60A6F18}"/>
            </a:ext>
          </a:extLst>
        </xdr:cNvPr>
        <xdr:cNvSpPr txBox="1"/>
      </xdr:nvSpPr>
      <xdr:spPr>
        <a:xfrm>
          <a:off x="1258062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7758" name="TextBox 7757">
          <a:extLst>
            <a:ext uri="{FF2B5EF4-FFF2-40B4-BE49-F238E27FC236}">
              <a16:creationId xmlns:a16="http://schemas.microsoft.com/office/drawing/2014/main" id="{CEEDDCB2-23A2-47B2-AA3F-37312ED4C714}"/>
            </a:ext>
          </a:extLst>
        </xdr:cNvPr>
        <xdr:cNvSpPr txBox="1"/>
      </xdr:nvSpPr>
      <xdr:spPr>
        <a:xfrm>
          <a:off x="1258062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7759" name="TextBox 7758">
          <a:extLst>
            <a:ext uri="{FF2B5EF4-FFF2-40B4-BE49-F238E27FC236}">
              <a16:creationId xmlns:a16="http://schemas.microsoft.com/office/drawing/2014/main" id="{C53CCEBA-D398-4C3C-8E47-107C27B759C1}"/>
            </a:ext>
          </a:extLst>
        </xdr:cNvPr>
        <xdr:cNvSpPr txBox="1"/>
      </xdr:nvSpPr>
      <xdr:spPr>
        <a:xfrm>
          <a:off x="1258062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7760" name="TextBox 7759">
          <a:extLst>
            <a:ext uri="{FF2B5EF4-FFF2-40B4-BE49-F238E27FC236}">
              <a16:creationId xmlns:a16="http://schemas.microsoft.com/office/drawing/2014/main" id="{C8C855ED-970E-43B8-A5B1-6F6ADBB998A9}"/>
            </a:ext>
          </a:extLst>
        </xdr:cNvPr>
        <xdr:cNvSpPr txBox="1"/>
      </xdr:nvSpPr>
      <xdr:spPr>
        <a:xfrm>
          <a:off x="1258062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7761" name="TextBox 7760">
          <a:extLst>
            <a:ext uri="{FF2B5EF4-FFF2-40B4-BE49-F238E27FC236}">
              <a16:creationId xmlns:a16="http://schemas.microsoft.com/office/drawing/2014/main" id="{E705C099-0DDB-4CBB-91AA-6BD578E38D4C}"/>
            </a:ext>
          </a:extLst>
        </xdr:cNvPr>
        <xdr:cNvSpPr txBox="1"/>
      </xdr:nvSpPr>
      <xdr:spPr>
        <a:xfrm>
          <a:off x="1258062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7762" name="TextBox 7761">
          <a:extLst>
            <a:ext uri="{FF2B5EF4-FFF2-40B4-BE49-F238E27FC236}">
              <a16:creationId xmlns:a16="http://schemas.microsoft.com/office/drawing/2014/main" id="{ADA9DEB9-F0D8-4AB1-B42C-8371D735EDB0}"/>
            </a:ext>
          </a:extLst>
        </xdr:cNvPr>
        <xdr:cNvSpPr txBox="1"/>
      </xdr:nvSpPr>
      <xdr:spPr>
        <a:xfrm>
          <a:off x="1258062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7763" name="TextBox 7762">
          <a:extLst>
            <a:ext uri="{FF2B5EF4-FFF2-40B4-BE49-F238E27FC236}">
              <a16:creationId xmlns:a16="http://schemas.microsoft.com/office/drawing/2014/main" id="{709CBE26-A551-4C7C-A384-D56B48045E68}"/>
            </a:ext>
          </a:extLst>
        </xdr:cNvPr>
        <xdr:cNvSpPr txBox="1"/>
      </xdr:nvSpPr>
      <xdr:spPr>
        <a:xfrm>
          <a:off x="1258062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7764" name="TextBox 7763">
          <a:extLst>
            <a:ext uri="{FF2B5EF4-FFF2-40B4-BE49-F238E27FC236}">
              <a16:creationId xmlns:a16="http://schemas.microsoft.com/office/drawing/2014/main" id="{FCF004D5-83CC-4601-BE3C-2D350D291279}"/>
            </a:ext>
          </a:extLst>
        </xdr:cNvPr>
        <xdr:cNvSpPr txBox="1"/>
      </xdr:nvSpPr>
      <xdr:spPr>
        <a:xfrm>
          <a:off x="1258062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7765" name="TextBox 7764">
          <a:extLst>
            <a:ext uri="{FF2B5EF4-FFF2-40B4-BE49-F238E27FC236}">
              <a16:creationId xmlns:a16="http://schemas.microsoft.com/office/drawing/2014/main" id="{27CE9EF6-2DFA-4778-9205-D83560524403}"/>
            </a:ext>
          </a:extLst>
        </xdr:cNvPr>
        <xdr:cNvSpPr txBox="1"/>
      </xdr:nvSpPr>
      <xdr:spPr>
        <a:xfrm>
          <a:off x="1258062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7766" name="TextBox 7765">
          <a:extLst>
            <a:ext uri="{FF2B5EF4-FFF2-40B4-BE49-F238E27FC236}">
              <a16:creationId xmlns:a16="http://schemas.microsoft.com/office/drawing/2014/main" id="{AEF2C205-301C-4560-BC83-375E974BCEAF}"/>
            </a:ext>
          </a:extLst>
        </xdr:cNvPr>
        <xdr:cNvSpPr txBox="1"/>
      </xdr:nvSpPr>
      <xdr:spPr>
        <a:xfrm>
          <a:off x="1258062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7767" name="TextBox 7766">
          <a:extLst>
            <a:ext uri="{FF2B5EF4-FFF2-40B4-BE49-F238E27FC236}">
              <a16:creationId xmlns:a16="http://schemas.microsoft.com/office/drawing/2014/main" id="{3DCCF9ED-9B1F-4DC7-B839-6E3EB677417B}"/>
            </a:ext>
          </a:extLst>
        </xdr:cNvPr>
        <xdr:cNvSpPr txBox="1"/>
      </xdr:nvSpPr>
      <xdr:spPr>
        <a:xfrm>
          <a:off x="1258062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7768" name="TextBox 7767">
          <a:extLst>
            <a:ext uri="{FF2B5EF4-FFF2-40B4-BE49-F238E27FC236}">
              <a16:creationId xmlns:a16="http://schemas.microsoft.com/office/drawing/2014/main" id="{3D9466B2-EB98-463C-88EA-A326C523B5D8}"/>
            </a:ext>
          </a:extLst>
        </xdr:cNvPr>
        <xdr:cNvSpPr txBox="1"/>
      </xdr:nvSpPr>
      <xdr:spPr>
        <a:xfrm>
          <a:off x="1258062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7769" name="TextBox 7768">
          <a:extLst>
            <a:ext uri="{FF2B5EF4-FFF2-40B4-BE49-F238E27FC236}">
              <a16:creationId xmlns:a16="http://schemas.microsoft.com/office/drawing/2014/main" id="{0F2E4FBC-6F9D-49D8-B320-D21C3287204C}"/>
            </a:ext>
          </a:extLst>
        </xdr:cNvPr>
        <xdr:cNvSpPr txBox="1"/>
      </xdr:nvSpPr>
      <xdr:spPr>
        <a:xfrm>
          <a:off x="1258062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7770" name="TextBox 7769">
          <a:extLst>
            <a:ext uri="{FF2B5EF4-FFF2-40B4-BE49-F238E27FC236}">
              <a16:creationId xmlns:a16="http://schemas.microsoft.com/office/drawing/2014/main" id="{9EE8A67A-FC51-41CC-B6A6-507074A0155B}"/>
            </a:ext>
          </a:extLst>
        </xdr:cNvPr>
        <xdr:cNvSpPr txBox="1"/>
      </xdr:nvSpPr>
      <xdr:spPr>
        <a:xfrm>
          <a:off x="1258062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7771" name="TextBox 7770">
          <a:extLst>
            <a:ext uri="{FF2B5EF4-FFF2-40B4-BE49-F238E27FC236}">
              <a16:creationId xmlns:a16="http://schemas.microsoft.com/office/drawing/2014/main" id="{E3EE1ED8-1246-4E13-86A2-D686D3F3CFAC}"/>
            </a:ext>
          </a:extLst>
        </xdr:cNvPr>
        <xdr:cNvSpPr txBox="1"/>
      </xdr:nvSpPr>
      <xdr:spPr>
        <a:xfrm>
          <a:off x="1258062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7772" name="TextBox 7771">
          <a:extLst>
            <a:ext uri="{FF2B5EF4-FFF2-40B4-BE49-F238E27FC236}">
              <a16:creationId xmlns:a16="http://schemas.microsoft.com/office/drawing/2014/main" id="{112F0F0B-ABFD-4DDD-BCB9-10FEAFDB5AD9}"/>
            </a:ext>
          </a:extLst>
        </xdr:cNvPr>
        <xdr:cNvSpPr txBox="1"/>
      </xdr:nvSpPr>
      <xdr:spPr>
        <a:xfrm>
          <a:off x="1258062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7773" name="TextBox 7772">
          <a:extLst>
            <a:ext uri="{FF2B5EF4-FFF2-40B4-BE49-F238E27FC236}">
              <a16:creationId xmlns:a16="http://schemas.microsoft.com/office/drawing/2014/main" id="{12EDF718-BDAC-48A4-BBFB-24DCD5C1D4FC}"/>
            </a:ext>
          </a:extLst>
        </xdr:cNvPr>
        <xdr:cNvSpPr txBox="1"/>
      </xdr:nvSpPr>
      <xdr:spPr>
        <a:xfrm>
          <a:off x="1258062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7774" name="TextBox 7773">
          <a:extLst>
            <a:ext uri="{FF2B5EF4-FFF2-40B4-BE49-F238E27FC236}">
              <a16:creationId xmlns:a16="http://schemas.microsoft.com/office/drawing/2014/main" id="{B3B85458-8D8F-4F12-B7C0-DC92B39A1F35}"/>
            </a:ext>
          </a:extLst>
        </xdr:cNvPr>
        <xdr:cNvSpPr txBox="1"/>
      </xdr:nvSpPr>
      <xdr:spPr>
        <a:xfrm>
          <a:off x="1258062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7775" name="TextBox 7774">
          <a:extLst>
            <a:ext uri="{FF2B5EF4-FFF2-40B4-BE49-F238E27FC236}">
              <a16:creationId xmlns:a16="http://schemas.microsoft.com/office/drawing/2014/main" id="{BF066412-0AC2-4C2B-9E92-DFE86D6A185E}"/>
            </a:ext>
          </a:extLst>
        </xdr:cNvPr>
        <xdr:cNvSpPr txBox="1"/>
      </xdr:nvSpPr>
      <xdr:spPr>
        <a:xfrm>
          <a:off x="1258062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7776" name="TextBox 7775">
          <a:extLst>
            <a:ext uri="{FF2B5EF4-FFF2-40B4-BE49-F238E27FC236}">
              <a16:creationId xmlns:a16="http://schemas.microsoft.com/office/drawing/2014/main" id="{F84E80ED-F217-41BA-9FA6-C1DBC25F3A17}"/>
            </a:ext>
          </a:extLst>
        </xdr:cNvPr>
        <xdr:cNvSpPr txBox="1"/>
      </xdr:nvSpPr>
      <xdr:spPr>
        <a:xfrm>
          <a:off x="1258062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7777" name="TextBox 7776">
          <a:extLst>
            <a:ext uri="{FF2B5EF4-FFF2-40B4-BE49-F238E27FC236}">
              <a16:creationId xmlns:a16="http://schemas.microsoft.com/office/drawing/2014/main" id="{3C382DA0-3B16-41EA-A4C3-F0294E849D64}"/>
            </a:ext>
          </a:extLst>
        </xdr:cNvPr>
        <xdr:cNvSpPr txBox="1"/>
      </xdr:nvSpPr>
      <xdr:spPr>
        <a:xfrm>
          <a:off x="826770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7778" name="TextBox 7777">
          <a:extLst>
            <a:ext uri="{FF2B5EF4-FFF2-40B4-BE49-F238E27FC236}">
              <a16:creationId xmlns:a16="http://schemas.microsoft.com/office/drawing/2014/main" id="{BD9C7CBD-CBB6-4FCD-99C9-50F7AA79373D}"/>
            </a:ext>
          </a:extLst>
        </xdr:cNvPr>
        <xdr:cNvSpPr txBox="1"/>
      </xdr:nvSpPr>
      <xdr:spPr>
        <a:xfrm>
          <a:off x="826770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7779" name="TextBox 7778">
          <a:extLst>
            <a:ext uri="{FF2B5EF4-FFF2-40B4-BE49-F238E27FC236}">
              <a16:creationId xmlns:a16="http://schemas.microsoft.com/office/drawing/2014/main" id="{8BB1ED4C-16A8-478A-86C0-5203F18D91C6}"/>
            </a:ext>
          </a:extLst>
        </xdr:cNvPr>
        <xdr:cNvSpPr txBox="1"/>
      </xdr:nvSpPr>
      <xdr:spPr>
        <a:xfrm>
          <a:off x="826770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7780" name="TextBox 7779">
          <a:extLst>
            <a:ext uri="{FF2B5EF4-FFF2-40B4-BE49-F238E27FC236}">
              <a16:creationId xmlns:a16="http://schemas.microsoft.com/office/drawing/2014/main" id="{0091D645-A26B-466F-B352-25C3FB39D6F1}"/>
            </a:ext>
          </a:extLst>
        </xdr:cNvPr>
        <xdr:cNvSpPr txBox="1"/>
      </xdr:nvSpPr>
      <xdr:spPr>
        <a:xfrm>
          <a:off x="826770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7781" name="TextBox 7780">
          <a:extLst>
            <a:ext uri="{FF2B5EF4-FFF2-40B4-BE49-F238E27FC236}">
              <a16:creationId xmlns:a16="http://schemas.microsoft.com/office/drawing/2014/main" id="{35EF0C43-E328-462B-AF19-6E1DCE23D6A4}"/>
            </a:ext>
          </a:extLst>
        </xdr:cNvPr>
        <xdr:cNvSpPr txBox="1"/>
      </xdr:nvSpPr>
      <xdr:spPr>
        <a:xfrm>
          <a:off x="826770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7782" name="TextBox 7781">
          <a:extLst>
            <a:ext uri="{FF2B5EF4-FFF2-40B4-BE49-F238E27FC236}">
              <a16:creationId xmlns:a16="http://schemas.microsoft.com/office/drawing/2014/main" id="{5C728BC9-EF9C-4834-85EB-89B8DA8B60FA}"/>
            </a:ext>
          </a:extLst>
        </xdr:cNvPr>
        <xdr:cNvSpPr txBox="1"/>
      </xdr:nvSpPr>
      <xdr:spPr>
        <a:xfrm>
          <a:off x="826770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7783" name="TextBox 7782">
          <a:extLst>
            <a:ext uri="{FF2B5EF4-FFF2-40B4-BE49-F238E27FC236}">
              <a16:creationId xmlns:a16="http://schemas.microsoft.com/office/drawing/2014/main" id="{79B0426E-FC29-4C02-A446-18A8617AD030}"/>
            </a:ext>
          </a:extLst>
        </xdr:cNvPr>
        <xdr:cNvSpPr txBox="1"/>
      </xdr:nvSpPr>
      <xdr:spPr>
        <a:xfrm>
          <a:off x="826770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7784" name="TextBox 7783">
          <a:extLst>
            <a:ext uri="{FF2B5EF4-FFF2-40B4-BE49-F238E27FC236}">
              <a16:creationId xmlns:a16="http://schemas.microsoft.com/office/drawing/2014/main" id="{33FA89B9-E063-4E24-A294-250746A07989}"/>
            </a:ext>
          </a:extLst>
        </xdr:cNvPr>
        <xdr:cNvSpPr txBox="1"/>
      </xdr:nvSpPr>
      <xdr:spPr>
        <a:xfrm>
          <a:off x="826770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7785" name="TextBox 7784">
          <a:extLst>
            <a:ext uri="{FF2B5EF4-FFF2-40B4-BE49-F238E27FC236}">
              <a16:creationId xmlns:a16="http://schemas.microsoft.com/office/drawing/2014/main" id="{2AF33786-6F2B-4820-BF34-97EB9446272D}"/>
            </a:ext>
          </a:extLst>
        </xdr:cNvPr>
        <xdr:cNvSpPr txBox="1"/>
      </xdr:nvSpPr>
      <xdr:spPr>
        <a:xfrm>
          <a:off x="826770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7786" name="TextBox 7785">
          <a:extLst>
            <a:ext uri="{FF2B5EF4-FFF2-40B4-BE49-F238E27FC236}">
              <a16:creationId xmlns:a16="http://schemas.microsoft.com/office/drawing/2014/main" id="{074AF2E0-FEDD-4259-BC34-F834F8835ABA}"/>
            </a:ext>
          </a:extLst>
        </xdr:cNvPr>
        <xdr:cNvSpPr txBox="1"/>
      </xdr:nvSpPr>
      <xdr:spPr>
        <a:xfrm>
          <a:off x="826770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7787" name="TextBox 7786">
          <a:extLst>
            <a:ext uri="{FF2B5EF4-FFF2-40B4-BE49-F238E27FC236}">
              <a16:creationId xmlns:a16="http://schemas.microsoft.com/office/drawing/2014/main" id="{E32CFB6A-0BC3-4882-BA93-3663F1478B4B}"/>
            </a:ext>
          </a:extLst>
        </xdr:cNvPr>
        <xdr:cNvSpPr txBox="1"/>
      </xdr:nvSpPr>
      <xdr:spPr>
        <a:xfrm>
          <a:off x="826770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7788" name="TextBox 7787">
          <a:extLst>
            <a:ext uri="{FF2B5EF4-FFF2-40B4-BE49-F238E27FC236}">
              <a16:creationId xmlns:a16="http://schemas.microsoft.com/office/drawing/2014/main" id="{232C319A-A05C-4E4C-B70F-53CD62844786}"/>
            </a:ext>
          </a:extLst>
        </xdr:cNvPr>
        <xdr:cNvSpPr txBox="1"/>
      </xdr:nvSpPr>
      <xdr:spPr>
        <a:xfrm>
          <a:off x="826770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7789" name="TextBox 7788">
          <a:extLst>
            <a:ext uri="{FF2B5EF4-FFF2-40B4-BE49-F238E27FC236}">
              <a16:creationId xmlns:a16="http://schemas.microsoft.com/office/drawing/2014/main" id="{E7B4BF10-06BE-40D4-B8CD-1D183900F7FC}"/>
            </a:ext>
          </a:extLst>
        </xdr:cNvPr>
        <xdr:cNvSpPr txBox="1"/>
      </xdr:nvSpPr>
      <xdr:spPr>
        <a:xfrm>
          <a:off x="826770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7790" name="TextBox 7789">
          <a:extLst>
            <a:ext uri="{FF2B5EF4-FFF2-40B4-BE49-F238E27FC236}">
              <a16:creationId xmlns:a16="http://schemas.microsoft.com/office/drawing/2014/main" id="{5A18EA2C-8FCD-4B09-9628-684BB05FC0EE}"/>
            </a:ext>
          </a:extLst>
        </xdr:cNvPr>
        <xdr:cNvSpPr txBox="1"/>
      </xdr:nvSpPr>
      <xdr:spPr>
        <a:xfrm>
          <a:off x="826770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7791" name="TextBox 7790">
          <a:extLst>
            <a:ext uri="{FF2B5EF4-FFF2-40B4-BE49-F238E27FC236}">
              <a16:creationId xmlns:a16="http://schemas.microsoft.com/office/drawing/2014/main" id="{9BE79D93-0007-4C2D-B888-2DDD6E273D3D}"/>
            </a:ext>
          </a:extLst>
        </xdr:cNvPr>
        <xdr:cNvSpPr txBox="1"/>
      </xdr:nvSpPr>
      <xdr:spPr>
        <a:xfrm>
          <a:off x="826770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7792" name="TextBox 7791">
          <a:extLst>
            <a:ext uri="{FF2B5EF4-FFF2-40B4-BE49-F238E27FC236}">
              <a16:creationId xmlns:a16="http://schemas.microsoft.com/office/drawing/2014/main" id="{FA01E607-FE1D-4CE4-A5EC-9631927111DD}"/>
            </a:ext>
          </a:extLst>
        </xdr:cNvPr>
        <xdr:cNvSpPr txBox="1"/>
      </xdr:nvSpPr>
      <xdr:spPr>
        <a:xfrm>
          <a:off x="826770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7793" name="TextBox 7792">
          <a:extLst>
            <a:ext uri="{FF2B5EF4-FFF2-40B4-BE49-F238E27FC236}">
              <a16:creationId xmlns:a16="http://schemas.microsoft.com/office/drawing/2014/main" id="{9F570716-4475-4577-B30E-E3D3A48F407D}"/>
            </a:ext>
          </a:extLst>
        </xdr:cNvPr>
        <xdr:cNvSpPr txBox="1"/>
      </xdr:nvSpPr>
      <xdr:spPr>
        <a:xfrm>
          <a:off x="826770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7794" name="TextBox 7793">
          <a:extLst>
            <a:ext uri="{FF2B5EF4-FFF2-40B4-BE49-F238E27FC236}">
              <a16:creationId xmlns:a16="http://schemas.microsoft.com/office/drawing/2014/main" id="{98B6C11F-B14A-4E61-87BD-AFDB290E2A2C}"/>
            </a:ext>
          </a:extLst>
        </xdr:cNvPr>
        <xdr:cNvSpPr txBox="1"/>
      </xdr:nvSpPr>
      <xdr:spPr>
        <a:xfrm>
          <a:off x="826770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7795" name="TextBox 7794">
          <a:extLst>
            <a:ext uri="{FF2B5EF4-FFF2-40B4-BE49-F238E27FC236}">
              <a16:creationId xmlns:a16="http://schemas.microsoft.com/office/drawing/2014/main" id="{3B7AE155-01C5-4D7E-BACB-762DF86AD275}"/>
            </a:ext>
          </a:extLst>
        </xdr:cNvPr>
        <xdr:cNvSpPr txBox="1"/>
      </xdr:nvSpPr>
      <xdr:spPr>
        <a:xfrm>
          <a:off x="826770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7796" name="TextBox 7795">
          <a:extLst>
            <a:ext uri="{FF2B5EF4-FFF2-40B4-BE49-F238E27FC236}">
              <a16:creationId xmlns:a16="http://schemas.microsoft.com/office/drawing/2014/main" id="{1FFE576E-A19D-4D62-9ADD-5266CE1FAD63}"/>
            </a:ext>
          </a:extLst>
        </xdr:cNvPr>
        <xdr:cNvSpPr txBox="1"/>
      </xdr:nvSpPr>
      <xdr:spPr>
        <a:xfrm>
          <a:off x="826770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7797" name="TextBox 7796">
          <a:extLst>
            <a:ext uri="{FF2B5EF4-FFF2-40B4-BE49-F238E27FC236}">
              <a16:creationId xmlns:a16="http://schemas.microsoft.com/office/drawing/2014/main" id="{129DB351-0B99-4004-8BB2-43783478180E}"/>
            </a:ext>
          </a:extLst>
        </xdr:cNvPr>
        <xdr:cNvSpPr txBox="1"/>
      </xdr:nvSpPr>
      <xdr:spPr>
        <a:xfrm>
          <a:off x="826770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7798" name="TextBox 7797">
          <a:extLst>
            <a:ext uri="{FF2B5EF4-FFF2-40B4-BE49-F238E27FC236}">
              <a16:creationId xmlns:a16="http://schemas.microsoft.com/office/drawing/2014/main" id="{4F59AF9B-FC6D-4EB3-B6DE-7607CF46335F}"/>
            </a:ext>
          </a:extLst>
        </xdr:cNvPr>
        <xdr:cNvSpPr txBox="1"/>
      </xdr:nvSpPr>
      <xdr:spPr>
        <a:xfrm>
          <a:off x="826770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7799" name="TextBox 7798">
          <a:extLst>
            <a:ext uri="{FF2B5EF4-FFF2-40B4-BE49-F238E27FC236}">
              <a16:creationId xmlns:a16="http://schemas.microsoft.com/office/drawing/2014/main" id="{176B7034-9AD5-4253-A295-A872DA9D9FB7}"/>
            </a:ext>
          </a:extLst>
        </xdr:cNvPr>
        <xdr:cNvSpPr txBox="1"/>
      </xdr:nvSpPr>
      <xdr:spPr>
        <a:xfrm>
          <a:off x="826770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7800" name="TextBox 7799">
          <a:extLst>
            <a:ext uri="{FF2B5EF4-FFF2-40B4-BE49-F238E27FC236}">
              <a16:creationId xmlns:a16="http://schemas.microsoft.com/office/drawing/2014/main" id="{B1A6011D-893C-4B98-921B-AA87FF1EA0F5}"/>
            </a:ext>
          </a:extLst>
        </xdr:cNvPr>
        <xdr:cNvSpPr txBox="1"/>
      </xdr:nvSpPr>
      <xdr:spPr>
        <a:xfrm>
          <a:off x="826770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7801" name="TextBox 7800">
          <a:extLst>
            <a:ext uri="{FF2B5EF4-FFF2-40B4-BE49-F238E27FC236}">
              <a16:creationId xmlns:a16="http://schemas.microsoft.com/office/drawing/2014/main" id="{C96DDC89-4333-4809-93AD-B3B389EDBD7C}"/>
            </a:ext>
          </a:extLst>
        </xdr:cNvPr>
        <xdr:cNvSpPr txBox="1"/>
      </xdr:nvSpPr>
      <xdr:spPr>
        <a:xfrm>
          <a:off x="826770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7802" name="TextBox 7801">
          <a:extLst>
            <a:ext uri="{FF2B5EF4-FFF2-40B4-BE49-F238E27FC236}">
              <a16:creationId xmlns:a16="http://schemas.microsoft.com/office/drawing/2014/main" id="{E35AF2B5-B026-4EE1-87A0-829741757F6E}"/>
            </a:ext>
          </a:extLst>
        </xdr:cNvPr>
        <xdr:cNvSpPr txBox="1"/>
      </xdr:nvSpPr>
      <xdr:spPr>
        <a:xfrm>
          <a:off x="826770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7803" name="TextBox 7802">
          <a:extLst>
            <a:ext uri="{FF2B5EF4-FFF2-40B4-BE49-F238E27FC236}">
              <a16:creationId xmlns:a16="http://schemas.microsoft.com/office/drawing/2014/main" id="{55A8B43E-7885-4685-A6E4-CBFFACA9E24D}"/>
            </a:ext>
          </a:extLst>
        </xdr:cNvPr>
        <xdr:cNvSpPr txBox="1"/>
      </xdr:nvSpPr>
      <xdr:spPr>
        <a:xfrm>
          <a:off x="826770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7804" name="TextBox 7803">
          <a:extLst>
            <a:ext uri="{FF2B5EF4-FFF2-40B4-BE49-F238E27FC236}">
              <a16:creationId xmlns:a16="http://schemas.microsoft.com/office/drawing/2014/main" id="{7D20861C-376D-4D6E-B29E-125D65F0087F}"/>
            </a:ext>
          </a:extLst>
        </xdr:cNvPr>
        <xdr:cNvSpPr txBox="1"/>
      </xdr:nvSpPr>
      <xdr:spPr>
        <a:xfrm>
          <a:off x="826770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7805" name="TextBox 7804">
          <a:extLst>
            <a:ext uri="{FF2B5EF4-FFF2-40B4-BE49-F238E27FC236}">
              <a16:creationId xmlns:a16="http://schemas.microsoft.com/office/drawing/2014/main" id="{5A7EBEED-7B32-4932-B601-4E52DAD91BA9}"/>
            </a:ext>
          </a:extLst>
        </xdr:cNvPr>
        <xdr:cNvSpPr txBox="1"/>
      </xdr:nvSpPr>
      <xdr:spPr>
        <a:xfrm>
          <a:off x="826770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7806" name="TextBox 7805">
          <a:extLst>
            <a:ext uri="{FF2B5EF4-FFF2-40B4-BE49-F238E27FC236}">
              <a16:creationId xmlns:a16="http://schemas.microsoft.com/office/drawing/2014/main" id="{C7F843F5-8D70-4866-AF80-3CE04DCE90DD}"/>
            </a:ext>
          </a:extLst>
        </xdr:cNvPr>
        <xdr:cNvSpPr txBox="1"/>
      </xdr:nvSpPr>
      <xdr:spPr>
        <a:xfrm>
          <a:off x="826770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7807" name="TextBox 7806">
          <a:extLst>
            <a:ext uri="{FF2B5EF4-FFF2-40B4-BE49-F238E27FC236}">
              <a16:creationId xmlns:a16="http://schemas.microsoft.com/office/drawing/2014/main" id="{32E86947-C5E7-4035-B050-931C9A2F6A6B}"/>
            </a:ext>
          </a:extLst>
        </xdr:cNvPr>
        <xdr:cNvSpPr txBox="1"/>
      </xdr:nvSpPr>
      <xdr:spPr>
        <a:xfrm>
          <a:off x="826770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7808" name="TextBox 7807">
          <a:extLst>
            <a:ext uri="{FF2B5EF4-FFF2-40B4-BE49-F238E27FC236}">
              <a16:creationId xmlns:a16="http://schemas.microsoft.com/office/drawing/2014/main" id="{3DD4913D-DAE8-44B1-B80F-58E6238A88A0}"/>
            </a:ext>
          </a:extLst>
        </xdr:cNvPr>
        <xdr:cNvSpPr txBox="1"/>
      </xdr:nvSpPr>
      <xdr:spPr>
        <a:xfrm>
          <a:off x="826770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7809" name="TextBox 7808">
          <a:extLst>
            <a:ext uri="{FF2B5EF4-FFF2-40B4-BE49-F238E27FC236}">
              <a16:creationId xmlns:a16="http://schemas.microsoft.com/office/drawing/2014/main" id="{8AD5AE77-1A30-472F-BB8C-9B14AEAF4F03}"/>
            </a:ext>
          </a:extLst>
        </xdr:cNvPr>
        <xdr:cNvSpPr txBox="1"/>
      </xdr:nvSpPr>
      <xdr:spPr>
        <a:xfrm>
          <a:off x="826770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7810" name="TextBox 7809">
          <a:extLst>
            <a:ext uri="{FF2B5EF4-FFF2-40B4-BE49-F238E27FC236}">
              <a16:creationId xmlns:a16="http://schemas.microsoft.com/office/drawing/2014/main" id="{DC4AD2B7-7D46-439E-85D2-C8DC05D9B56A}"/>
            </a:ext>
          </a:extLst>
        </xdr:cNvPr>
        <xdr:cNvSpPr txBox="1"/>
      </xdr:nvSpPr>
      <xdr:spPr>
        <a:xfrm>
          <a:off x="826770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7811" name="TextBox 7810">
          <a:extLst>
            <a:ext uri="{FF2B5EF4-FFF2-40B4-BE49-F238E27FC236}">
              <a16:creationId xmlns:a16="http://schemas.microsoft.com/office/drawing/2014/main" id="{E3BA048B-044B-484B-B030-99B3D45036C8}"/>
            </a:ext>
          </a:extLst>
        </xdr:cNvPr>
        <xdr:cNvSpPr txBox="1"/>
      </xdr:nvSpPr>
      <xdr:spPr>
        <a:xfrm>
          <a:off x="826770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7812" name="TextBox 7811">
          <a:extLst>
            <a:ext uri="{FF2B5EF4-FFF2-40B4-BE49-F238E27FC236}">
              <a16:creationId xmlns:a16="http://schemas.microsoft.com/office/drawing/2014/main" id="{FB74539F-F3E6-448C-8660-B891F62E5BC5}"/>
            </a:ext>
          </a:extLst>
        </xdr:cNvPr>
        <xdr:cNvSpPr txBox="1"/>
      </xdr:nvSpPr>
      <xdr:spPr>
        <a:xfrm>
          <a:off x="826770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7813" name="TextBox 7812">
          <a:extLst>
            <a:ext uri="{FF2B5EF4-FFF2-40B4-BE49-F238E27FC236}">
              <a16:creationId xmlns:a16="http://schemas.microsoft.com/office/drawing/2014/main" id="{DD77E41D-DD3F-4DA0-B5BA-C98589822B11}"/>
            </a:ext>
          </a:extLst>
        </xdr:cNvPr>
        <xdr:cNvSpPr txBox="1"/>
      </xdr:nvSpPr>
      <xdr:spPr>
        <a:xfrm>
          <a:off x="826770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7814" name="TextBox 7813">
          <a:extLst>
            <a:ext uri="{FF2B5EF4-FFF2-40B4-BE49-F238E27FC236}">
              <a16:creationId xmlns:a16="http://schemas.microsoft.com/office/drawing/2014/main" id="{A13635F1-5ACB-48BE-A16F-D9529607C046}"/>
            </a:ext>
          </a:extLst>
        </xdr:cNvPr>
        <xdr:cNvSpPr txBox="1"/>
      </xdr:nvSpPr>
      <xdr:spPr>
        <a:xfrm>
          <a:off x="826770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7815" name="TextBox 7814">
          <a:extLst>
            <a:ext uri="{FF2B5EF4-FFF2-40B4-BE49-F238E27FC236}">
              <a16:creationId xmlns:a16="http://schemas.microsoft.com/office/drawing/2014/main" id="{F707F3AF-0F0B-4E04-82AE-E4E43C12C5CA}"/>
            </a:ext>
          </a:extLst>
        </xdr:cNvPr>
        <xdr:cNvSpPr txBox="1"/>
      </xdr:nvSpPr>
      <xdr:spPr>
        <a:xfrm>
          <a:off x="826770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7816" name="TextBox 7815">
          <a:extLst>
            <a:ext uri="{FF2B5EF4-FFF2-40B4-BE49-F238E27FC236}">
              <a16:creationId xmlns:a16="http://schemas.microsoft.com/office/drawing/2014/main" id="{6E98DD5A-05AD-45C2-8D4B-6605140437E5}"/>
            </a:ext>
          </a:extLst>
        </xdr:cNvPr>
        <xdr:cNvSpPr txBox="1"/>
      </xdr:nvSpPr>
      <xdr:spPr>
        <a:xfrm>
          <a:off x="826770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7817" name="TextBox 7816">
          <a:extLst>
            <a:ext uri="{FF2B5EF4-FFF2-40B4-BE49-F238E27FC236}">
              <a16:creationId xmlns:a16="http://schemas.microsoft.com/office/drawing/2014/main" id="{7A5BAB34-791F-4DBE-89CC-7D5BC7B4041F}"/>
            </a:ext>
          </a:extLst>
        </xdr:cNvPr>
        <xdr:cNvSpPr txBox="1"/>
      </xdr:nvSpPr>
      <xdr:spPr>
        <a:xfrm>
          <a:off x="826770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7818" name="TextBox 7817">
          <a:extLst>
            <a:ext uri="{FF2B5EF4-FFF2-40B4-BE49-F238E27FC236}">
              <a16:creationId xmlns:a16="http://schemas.microsoft.com/office/drawing/2014/main" id="{C5EDE199-723F-4E4A-B41D-0124D54E8EDD}"/>
            </a:ext>
          </a:extLst>
        </xdr:cNvPr>
        <xdr:cNvSpPr txBox="1"/>
      </xdr:nvSpPr>
      <xdr:spPr>
        <a:xfrm>
          <a:off x="826770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819" name="TextBox 7818">
          <a:extLst>
            <a:ext uri="{FF2B5EF4-FFF2-40B4-BE49-F238E27FC236}">
              <a16:creationId xmlns:a16="http://schemas.microsoft.com/office/drawing/2014/main" id="{DF667CC1-E548-4F78-87CD-AABC8253902E}"/>
            </a:ext>
          </a:extLst>
        </xdr:cNvPr>
        <xdr:cNvSpPr txBox="1"/>
      </xdr:nvSpPr>
      <xdr:spPr>
        <a:xfrm>
          <a:off x="826770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820" name="TextBox 7819">
          <a:extLst>
            <a:ext uri="{FF2B5EF4-FFF2-40B4-BE49-F238E27FC236}">
              <a16:creationId xmlns:a16="http://schemas.microsoft.com/office/drawing/2014/main" id="{52FC385F-C64A-44E5-BDF9-DD30307D58ED}"/>
            </a:ext>
          </a:extLst>
        </xdr:cNvPr>
        <xdr:cNvSpPr txBox="1"/>
      </xdr:nvSpPr>
      <xdr:spPr>
        <a:xfrm>
          <a:off x="826770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821" name="TextBox 7820">
          <a:extLst>
            <a:ext uri="{FF2B5EF4-FFF2-40B4-BE49-F238E27FC236}">
              <a16:creationId xmlns:a16="http://schemas.microsoft.com/office/drawing/2014/main" id="{4B74537D-86DE-47B1-9465-6CCA1ECC873D}"/>
            </a:ext>
          </a:extLst>
        </xdr:cNvPr>
        <xdr:cNvSpPr txBox="1"/>
      </xdr:nvSpPr>
      <xdr:spPr>
        <a:xfrm>
          <a:off x="826770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822" name="TextBox 7821">
          <a:extLst>
            <a:ext uri="{FF2B5EF4-FFF2-40B4-BE49-F238E27FC236}">
              <a16:creationId xmlns:a16="http://schemas.microsoft.com/office/drawing/2014/main" id="{E22DF65F-3524-481A-AB80-45F39BE31766}"/>
            </a:ext>
          </a:extLst>
        </xdr:cNvPr>
        <xdr:cNvSpPr txBox="1"/>
      </xdr:nvSpPr>
      <xdr:spPr>
        <a:xfrm>
          <a:off x="826770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823" name="TextBox 7822">
          <a:extLst>
            <a:ext uri="{FF2B5EF4-FFF2-40B4-BE49-F238E27FC236}">
              <a16:creationId xmlns:a16="http://schemas.microsoft.com/office/drawing/2014/main" id="{8AB51B9B-83E5-4B01-93EA-6A7F75417473}"/>
            </a:ext>
          </a:extLst>
        </xdr:cNvPr>
        <xdr:cNvSpPr txBox="1"/>
      </xdr:nvSpPr>
      <xdr:spPr>
        <a:xfrm>
          <a:off x="826770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824" name="TextBox 7823">
          <a:extLst>
            <a:ext uri="{FF2B5EF4-FFF2-40B4-BE49-F238E27FC236}">
              <a16:creationId xmlns:a16="http://schemas.microsoft.com/office/drawing/2014/main" id="{D7DA0530-2A98-419F-8477-5B64F625A955}"/>
            </a:ext>
          </a:extLst>
        </xdr:cNvPr>
        <xdr:cNvSpPr txBox="1"/>
      </xdr:nvSpPr>
      <xdr:spPr>
        <a:xfrm>
          <a:off x="826770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825" name="TextBox 7824">
          <a:extLst>
            <a:ext uri="{FF2B5EF4-FFF2-40B4-BE49-F238E27FC236}">
              <a16:creationId xmlns:a16="http://schemas.microsoft.com/office/drawing/2014/main" id="{22F1AE7F-F70F-49B2-AEB7-2F87A84BD459}"/>
            </a:ext>
          </a:extLst>
        </xdr:cNvPr>
        <xdr:cNvSpPr txBox="1"/>
      </xdr:nvSpPr>
      <xdr:spPr>
        <a:xfrm>
          <a:off x="826770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826" name="TextBox 7825">
          <a:extLst>
            <a:ext uri="{FF2B5EF4-FFF2-40B4-BE49-F238E27FC236}">
              <a16:creationId xmlns:a16="http://schemas.microsoft.com/office/drawing/2014/main" id="{8B40DB25-9FA1-4BEF-A699-64CF3C1922DD}"/>
            </a:ext>
          </a:extLst>
        </xdr:cNvPr>
        <xdr:cNvSpPr txBox="1"/>
      </xdr:nvSpPr>
      <xdr:spPr>
        <a:xfrm>
          <a:off x="826770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827" name="TextBox 7826">
          <a:extLst>
            <a:ext uri="{FF2B5EF4-FFF2-40B4-BE49-F238E27FC236}">
              <a16:creationId xmlns:a16="http://schemas.microsoft.com/office/drawing/2014/main" id="{7DDEB44B-E38E-4A0A-8A35-270134AFDDE6}"/>
            </a:ext>
          </a:extLst>
        </xdr:cNvPr>
        <xdr:cNvSpPr txBox="1"/>
      </xdr:nvSpPr>
      <xdr:spPr>
        <a:xfrm>
          <a:off x="826770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828" name="TextBox 7827">
          <a:extLst>
            <a:ext uri="{FF2B5EF4-FFF2-40B4-BE49-F238E27FC236}">
              <a16:creationId xmlns:a16="http://schemas.microsoft.com/office/drawing/2014/main" id="{66DF986A-B839-4C01-BF56-5D22831A5687}"/>
            </a:ext>
          </a:extLst>
        </xdr:cNvPr>
        <xdr:cNvSpPr txBox="1"/>
      </xdr:nvSpPr>
      <xdr:spPr>
        <a:xfrm>
          <a:off x="826770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829" name="TextBox 7828">
          <a:extLst>
            <a:ext uri="{FF2B5EF4-FFF2-40B4-BE49-F238E27FC236}">
              <a16:creationId xmlns:a16="http://schemas.microsoft.com/office/drawing/2014/main" id="{1E93FD29-9733-4C3E-AAB3-B0E87315C7F0}"/>
            </a:ext>
          </a:extLst>
        </xdr:cNvPr>
        <xdr:cNvSpPr txBox="1"/>
      </xdr:nvSpPr>
      <xdr:spPr>
        <a:xfrm>
          <a:off x="826770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830" name="TextBox 7829">
          <a:extLst>
            <a:ext uri="{FF2B5EF4-FFF2-40B4-BE49-F238E27FC236}">
              <a16:creationId xmlns:a16="http://schemas.microsoft.com/office/drawing/2014/main" id="{5C822E83-0AC2-4526-8B1B-AC4A43E63804}"/>
            </a:ext>
          </a:extLst>
        </xdr:cNvPr>
        <xdr:cNvSpPr txBox="1"/>
      </xdr:nvSpPr>
      <xdr:spPr>
        <a:xfrm>
          <a:off x="826770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831" name="TextBox 7830">
          <a:extLst>
            <a:ext uri="{FF2B5EF4-FFF2-40B4-BE49-F238E27FC236}">
              <a16:creationId xmlns:a16="http://schemas.microsoft.com/office/drawing/2014/main" id="{C15187AA-9C9E-4DF9-AD29-8AA87162E83A}"/>
            </a:ext>
          </a:extLst>
        </xdr:cNvPr>
        <xdr:cNvSpPr txBox="1"/>
      </xdr:nvSpPr>
      <xdr:spPr>
        <a:xfrm>
          <a:off x="826770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832" name="TextBox 7831">
          <a:extLst>
            <a:ext uri="{FF2B5EF4-FFF2-40B4-BE49-F238E27FC236}">
              <a16:creationId xmlns:a16="http://schemas.microsoft.com/office/drawing/2014/main" id="{16344785-5D1F-41C4-8510-064DC3F7A7CC}"/>
            </a:ext>
          </a:extLst>
        </xdr:cNvPr>
        <xdr:cNvSpPr txBox="1"/>
      </xdr:nvSpPr>
      <xdr:spPr>
        <a:xfrm>
          <a:off x="826770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7833" name="TextBox 7832">
          <a:extLst>
            <a:ext uri="{FF2B5EF4-FFF2-40B4-BE49-F238E27FC236}">
              <a16:creationId xmlns:a16="http://schemas.microsoft.com/office/drawing/2014/main" id="{4F936D3A-FDA7-4846-9579-1D6FA4875A4D}"/>
            </a:ext>
          </a:extLst>
        </xdr:cNvPr>
        <xdr:cNvSpPr txBox="1"/>
      </xdr:nvSpPr>
      <xdr:spPr>
        <a:xfrm>
          <a:off x="1258062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7834" name="TextBox 7833">
          <a:extLst>
            <a:ext uri="{FF2B5EF4-FFF2-40B4-BE49-F238E27FC236}">
              <a16:creationId xmlns:a16="http://schemas.microsoft.com/office/drawing/2014/main" id="{8777000A-B245-45AD-BC1C-A25A032C01AF}"/>
            </a:ext>
          </a:extLst>
        </xdr:cNvPr>
        <xdr:cNvSpPr txBox="1"/>
      </xdr:nvSpPr>
      <xdr:spPr>
        <a:xfrm>
          <a:off x="1258062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7835" name="TextBox 7834">
          <a:extLst>
            <a:ext uri="{FF2B5EF4-FFF2-40B4-BE49-F238E27FC236}">
              <a16:creationId xmlns:a16="http://schemas.microsoft.com/office/drawing/2014/main" id="{EA2ABE06-5897-46BD-B53C-EE15AF1308A4}"/>
            </a:ext>
          </a:extLst>
        </xdr:cNvPr>
        <xdr:cNvSpPr txBox="1"/>
      </xdr:nvSpPr>
      <xdr:spPr>
        <a:xfrm>
          <a:off x="1258062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7836" name="TextBox 7835">
          <a:extLst>
            <a:ext uri="{FF2B5EF4-FFF2-40B4-BE49-F238E27FC236}">
              <a16:creationId xmlns:a16="http://schemas.microsoft.com/office/drawing/2014/main" id="{235FF3EA-3105-42B5-B8CA-693AAD7664E5}"/>
            </a:ext>
          </a:extLst>
        </xdr:cNvPr>
        <xdr:cNvSpPr txBox="1"/>
      </xdr:nvSpPr>
      <xdr:spPr>
        <a:xfrm>
          <a:off x="1258062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7837" name="TextBox 7836">
          <a:extLst>
            <a:ext uri="{FF2B5EF4-FFF2-40B4-BE49-F238E27FC236}">
              <a16:creationId xmlns:a16="http://schemas.microsoft.com/office/drawing/2014/main" id="{97B4552B-C38D-4ACE-ACE6-4EBBB067850E}"/>
            </a:ext>
          </a:extLst>
        </xdr:cNvPr>
        <xdr:cNvSpPr txBox="1"/>
      </xdr:nvSpPr>
      <xdr:spPr>
        <a:xfrm>
          <a:off x="1258062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7838" name="TextBox 7837">
          <a:extLst>
            <a:ext uri="{FF2B5EF4-FFF2-40B4-BE49-F238E27FC236}">
              <a16:creationId xmlns:a16="http://schemas.microsoft.com/office/drawing/2014/main" id="{7CF1BAD8-B6B0-4A7F-976A-8CA530477EFF}"/>
            </a:ext>
          </a:extLst>
        </xdr:cNvPr>
        <xdr:cNvSpPr txBox="1"/>
      </xdr:nvSpPr>
      <xdr:spPr>
        <a:xfrm>
          <a:off x="1258062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7839" name="TextBox 7838">
          <a:extLst>
            <a:ext uri="{FF2B5EF4-FFF2-40B4-BE49-F238E27FC236}">
              <a16:creationId xmlns:a16="http://schemas.microsoft.com/office/drawing/2014/main" id="{AFEE82A1-E95B-4321-8FD6-478E8862D914}"/>
            </a:ext>
          </a:extLst>
        </xdr:cNvPr>
        <xdr:cNvSpPr txBox="1"/>
      </xdr:nvSpPr>
      <xdr:spPr>
        <a:xfrm>
          <a:off x="1258062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7840" name="TextBox 7839">
          <a:extLst>
            <a:ext uri="{FF2B5EF4-FFF2-40B4-BE49-F238E27FC236}">
              <a16:creationId xmlns:a16="http://schemas.microsoft.com/office/drawing/2014/main" id="{37958B62-4D9C-443F-BF05-18BF1BE3E526}"/>
            </a:ext>
          </a:extLst>
        </xdr:cNvPr>
        <xdr:cNvSpPr txBox="1"/>
      </xdr:nvSpPr>
      <xdr:spPr>
        <a:xfrm>
          <a:off x="1258062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7841" name="TextBox 7840">
          <a:extLst>
            <a:ext uri="{FF2B5EF4-FFF2-40B4-BE49-F238E27FC236}">
              <a16:creationId xmlns:a16="http://schemas.microsoft.com/office/drawing/2014/main" id="{37A572A1-A9F2-4AEC-BE08-ED1730A399A7}"/>
            </a:ext>
          </a:extLst>
        </xdr:cNvPr>
        <xdr:cNvSpPr txBox="1"/>
      </xdr:nvSpPr>
      <xdr:spPr>
        <a:xfrm>
          <a:off x="1258062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7842" name="TextBox 7841">
          <a:extLst>
            <a:ext uri="{FF2B5EF4-FFF2-40B4-BE49-F238E27FC236}">
              <a16:creationId xmlns:a16="http://schemas.microsoft.com/office/drawing/2014/main" id="{E4CFCC5B-4A4C-4E13-9060-CFD05DB9AEE2}"/>
            </a:ext>
          </a:extLst>
        </xdr:cNvPr>
        <xdr:cNvSpPr txBox="1"/>
      </xdr:nvSpPr>
      <xdr:spPr>
        <a:xfrm>
          <a:off x="1258062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7843" name="TextBox 7842">
          <a:extLst>
            <a:ext uri="{FF2B5EF4-FFF2-40B4-BE49-F238E27FC236}">
              <a16:creationId xmlns:a16="http://schemas.microsoft.com/office/drawing/2014/main" id="{425C4BF7-1B61-4129-ABC4-11444FBC9E15}"/>
            </a:ext>
          </a:extLst>
        </xdr:cNvPr>
        <xdr:cNvSpPr txBox="1"/>
      </xdr:nvSpPr>
      <xdr:spPr>
        <a:xfrm>
          <a:off x="1258062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7844" name="TextBox 7843">
          <a:extLst>
            <a:ext uri="{FF2B5EF4-FFF2-40B4-BE49-F238E27FC236}">
              <a16:creationId xmlns:a16="http://schemas.microsoft.com/office/drawing/2014/main" id="{DFE9A253-7D7E-49B6-BFD7-BBB6DBD9D178}"/>
            </a:ext>
          </a:extLst>
        </xdr:cNvPr>
        <xdr:cNvSpPr txBox="1"/>
      </xdr:nvSpPr>
      <xdr:spPr>
        <a:xfrm>
          <a:off x="1258062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7845" name="TextBox 7844">
          <a:extLst>
            <a:ext uri="{FF2B5EF4-FFF2-40B4-BE49-F238E27FC236}">
              <a16:creationId xmlns:a16="http://schemas.microsoft.com/office/drawing/2014/main" id="{730D252D-0D67-46C3-B34E-E9E827F908B1}"/>
            </a:ext>
          </a:extLst>
        </xdr:cNvPr>
        <xdr:cNvSpPr txBox="1"/>
      </xdr:nvSpPr>
      <xdr:spPr>
        <a:xfrm>
          <a:off x="1258062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7846" name="TextBox 7845">
          <a:extLst>
            <a:ext uri="{FF2B5EF4-FFF2-40B4-BE49-F238E27FC236}">
              <a16:creationId xmlns:a16="http://schemas.microsoft.com/office/drawing/2014/main" id="{9990EFFD-9F4F-4F06-8600-2B0BCD63518F}"/>
            </a:ext>
          </a:extLst>
        </xdr:cNvPr>
        <xdr:cNvSpPr txBox="1"/>
      </xdr:nvSpPr>
      <xdr:spPr>
        <a:xfrm>
          <a:off x="1258062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7847" name="TextBox 7846">
          <a:extLst>
            <a:ext uri="{FF2B5EF4-FFF2-40B4-BE49-F238E27FC236}">
              <a16:creationId xmlns:a16="http://schemas.microsoft.com/office/drawing/2014/main" id="{814422C6-F7F1-4FB0-A3FC-65FE1F6BDD9A}"/>
            </a:ext>
          </a:extLst>
        </xdr:cNvPr>
        <xdr:cNvSpPr txBox="1"/>
      </xdr:nvSpPr>
      <xdr:spPr>
        <a:xfrm>
          <a:off x="1258062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7848" name="TextBox 7847">
          <a:extLst>
            <a:ext uri="{FF2B5EF4-FFF2-40B4-BE49-F238E27FC236}">
              <a16:creationId xmlns:a16="http://schemas.microsoft.com/office/drawing/2014/main" id="{94B73C01-56EA-471C-BCF9-D2D34733244F}"/>
            </a:ext>
          </a:extLst>
        </xdr:cNvPr>
        <xdr:cNvSpPr txBox="1"/>
      </xdr:nvSpPr>
      <xdr:spPr>
        <a:xfrm>
          <a:off x="1258062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7849" name="TextBox 7848">
          <a:extLst>
            <a:ext uri="{FF2B5EF4-FFF2-40B4-BE49-F238E27FC236}">
              <a16:creationId xmlns:a16="http://schemas.microsoft.com/office/drawing/2014/main" id="{7B216F16-976C-4499-85FA-0C2F04A21698}"/>
            </a:ext>
          </a:extLst>
        </xdr:cNvPr>
        <xdr:cNvSpPr txBox="1"/>
      </xdr:nvSpPr>
      <xdr:spPr>
        <a:xfrm>
          <a:off x="1258062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7850" name="TextBox 7849">
          <a:extLst>
            <a:ext uri="{FF2B5EF4-FFF2-40B4-BE49-F238E27FC236}">
              <a16:creationId xmlns:a16="http://schemas.microsoft.com/office/drawing/2014/main" id="{43F889EE-0ADB-4A55-A927-A233DD6DED85}"/>
            </a:ext>
          </a:extLst>
        </xdr:cNvPr>
        <xdr:cNvSpPr txBox="1"/>
      </xdr:nvSpPr>
      <xdr:spPr>
        <a:xfrm>
          <a:off x="1258062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7851" name="TextBox 7850">
          <a:extLst>
            <a:ext uri="{FF2B5EF4-FFF2-40B4-BE49-F238E27FC236}">
              <a16:creationId xmlns:a16="http://schemas.microsoft.com/office/drawing/2014/main" id="{C2E5D2F2-C3D3-4076-9C23-6385C6170403}"/>
            </a:ext>
          </a:extLst>
        </xdr:cNvPr>
        <xdr:cNvSpPr txBox="1"/>
      </xdr:nvSpPr>
      <xdr:spPr>
        <a:xfrm>
          <a:off x="1258062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7852" name="TextBox 7851">
          <a:extLst>
            <a:ext uri="{FF2B5EF4-FFF2-40B4-BE49-F238E27FC236}">
              <a16:creationId xmlns:a16="http://schemas.microsoft.com/office/drawing/2014/main" id="{0CC0DEC7-C3AF-42EA-94EC-D350CBC31A99}"/>
            </a:ext>
          </a:extLst>
        </xdr:cNvPr>
        <xdr:cNvSpPr txBox="1"/>
      </xdr:nvSpPr>
      <xdr:spPr>
        <a:xfrm>
          <a:off x="1258062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7853" name="TextBox 7852">
          <a:extLst>
            <a:ext uri="{FF2B5EF4-FFF2-40B4-BE49-F238E27FC236}">
              <a16:creationId xmlns:a16="http://schemas.microsoft.com/office/drawing/2014/main" id="{0E9B8ACD-B1D8-4CC2-8F2B-ECCD4EEDCDD3}"/>
            </a:ext>
          </a:extLst>
        </xdr:cNvPr>
        <xdr:cNvSpPr txBox="1"/>
      </xdr:nvSpPr>
      <xdr:spPr>
        <a:xfrm>
          <a:off x="1258062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7854" name="TextBox 7853">
          <a:extLst>
            <a:ext uri="{FF2B5EF4-FFF2-40B4-BE49-F238E27FC236}">
              <a16:creationId xmlns:a16="http://schemas.microsoft.com/office/drawing/2014/main" id="{6AAA95AE-55AC-41D4-94A1-E9CA12E9F664}"/>
            </a:ext>
          </a:extLst>
        </xdr:cNvPr>
        <xdr:cNvSpPr txBox="1"/>
      </xdr:nvSpPr>
      <xdr:spPr>
        <a:xfrm>
          <a:off x="1258062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7855" name="TextBox 7854">
          <a:extLst>
            <a:ext uri="{FF2B5EF4-FFF2-40B4-BE49-F238E27FC236}">
              <a16:creationId xmlns:a16="http://schemas.microsoft.com/office/drawing/2014/main" id="{4C69E6E3-6117-4172-828A-23771510E437}"/>
            </a:ext>
          </a:extLst>
        </xdr:cNvPr>
        <xdr:cNvSpPr txBox="1"/>
      </xdr:nvSpPr>
      <xdr:spPr>
        <a:xfrm>
          <a:off x="1258062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7856" name="TextBox 7855">
          <a:extLst>
            <a:ext uri="{FF2B5EF4-FFF2-40B4-BE49-F238E27FC236}">
              <a16:creationId xmlns:a16="http://schemas.microsoft.com/office/drawing/2014/main" id="{80091CAE-A51D-45EF-8456-4D0E39313CEE}"/>
            </a:ext>
          </a:extLst>
        </xdr:cNvPr>
        <xdr:cNvSpPr txBox="1"/>
      </xdr:nvSpPr>
      <xdr:spPr>
        <a:xfrm>
          <a:off x="1258062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7857" name="TextBox 7856">
          <a:extLst>
            <a:ext uri="{FF2B5EF4-FFF2-40B4-BE49-F238E27FC236}">
              <a16:creationId xmlns:a16="http://schemas.microsoft.com/office/drawing/2014/main" id="{9DD43BA4-AF1C-4C57-B63D-37574DCECEF0}"/>
            </a:ext>
          </a:extLst>
        </xdr:cNvPr>
        <xdr:cNvSpPr txBox="1"/>
      </xdr:nvSpPr>
      <xdr:spPr>
        <a:xfrm>
          <a:off x="1258062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7858" name="TextBox 7857">
          <a:extLst>
            <a:ext uri="{FF2B5EF4-FFF2-40B4-BE49-F238E27FC236}">
              <a16:creationId xmlns:a16="http://schemas.microsoft.com/office/drawing/2014/main" id="{AC6DDDCC-2F8C-4254-9032-9069AAB9C043}"/>
            </a:ext>
          </a:extLst>
        </xdr:cNvPr>
        <xdr:cNvSpPr txBox="1"/>
      </xdr:nvSpPr>
      <xdr:spPr>
        <a:xfrm>
          <a:off x="1258062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7859" name="TextBox 7858">
          <a:extLst>
            <a:ext uri="{FF2B5EF4-FFF2-40B4-BE49-F238E27FC236}">
              <a16:creationId xmlns:a16="http://schemas.microsoft.com/office/drawing/2014/main" id="{9D7DF2F8-D5BB-4957-B3C9-B9719926E87E}"/>
            </a:ext>
          </a:extLst>
        </xdr:cNvPr>
        <xdr:cNvSpPr txBox="1"/>
      </xdr:nvSpPr>
      <xdr:spPr>
        <a:xfrm>
          <a:off x="1258062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7860" name="TextBox 7859">
          <a:extLst>
            <a:ext uri="{FF2B5EF4-FFF2-40B4-BE49-F238E27FC236}">
              <a16:creationId xmlns:a16="http://schemas.microsoft.com/office/drawing/2014/main" id="{885C5DC7-791F-42DF-A8BD-D97FC586EB33}"/>
            </a:ext>
          </a:extLst>
        </xdr:cNvPr>
        <xdr:cNvSpPr txBox="1"/>
      </xdr:nvSpPr>
      <xdr:spPr>
        <a:xfrm>
          <a:off x="1258062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7861" name="TextBox 7860">
          <a:extLst>
            <a:ext uri="{FF2B5EF4-FFF2-40B4-BE49-F238E27FC236}">
              <a16:creationId xmlns:a16="http://schemas.microsoft.com/office/drawing/2014/main" id="{ECB0671C-2391-4309-AA2E-8A53AD8A8084}"/>
            </a:ext>
          </a:extLst>
        </xdr:cNvPr>
        <xdr:cNvSpPr txBox="1"/>
      </xdr:nvSpPr>
      <xdr:spPr>
        <a:xfrm>
          <a:off x="1258062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7862" name="TextBox 7861">
          <a:extLst>
            <a:ext uri="{FF2B5EF4-FFF2-40B4-BE49-F238E27FC236}">
              <a16:creationId xmlns:a16="http://schemas.microsoft.com/office/drawing/2014/main" id="{2BA66E58-2D0D-4F51-9847-F8E27C7ABD95}"/>
            </a:ext>
          </a:extLst>
        </xdr:cNvPr>
        <xdr:cNvSpPr txBox="1"/>
      </xdr:nvSpPr>
      <xdr:spPr>
        <a:xfrm>
          <a:off x="1258062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7863" name="TextBox 7862">
          <a:extLst>
            <a:ext uri="{FF2B5EF4-FFF2-40B4-BE49-F238E27FC236}">
              <a16:creationId xmlns:a16="http://schemas.microsoft.com/office/drawing/2014/main" id="{18920596-064C-460E-B316-496DB4E45844}"/>
            </a:ext>
          </a:extLst>
        </xdr:cNvPr>
        <xdr:cNvSpPr txBox="1"/>
      </xdr:nvSpPr>
      <xdr:spPr>
        <a:xfrm>
          <a:off x="1258062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7864" name="TextBox 7863">
          <a:extLst>
            <a:ext uri="{FF2B5EF4-FFF2-40B4-BE49-F238E27FC236}">
              <a16:creationId xmlns:a16="http://schemas.microsoft.com/office/drawing/2014/main" id="{F4D28A7F-48B2-4963-9A9A-62ACB40E05E2}"/>
            </a:ext>
          </a:extLst>
        </xdr:cNvPr>
        <xdr:cNvSpPr txBox="1"/>
      </xdr:nvSpPr>
      <xdr:spPr>
        <a:xfrm>
          <a:off x="1258062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7865" name="TextBox 7864">
          <a:extLst>
            <a:ext uri="{FF2B5EF4-FFF2-40B4-BE49-F238E27FC236}">
              <a16:creationId xmlns:a16="http://schemas.microsoft.com/office/drawing/2014/main" id="{172601BB-A273-48D3-8594-24B9080CE122}"/>
            </a:ext>
          </a:extLst>
        </xdr:cNvPr>
        <xdr:cNvSpPr txBox="1"/>
      </xdr:nvSpPr>
      <xdr:spPr>
        <a:xfrm>
          <a:off x="1258062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7866" name="TextBox 7865">
          <a:extLst>
            <a:ext uri="{FF2B5EF4-FFF2-40B4-BE49-F238E27FC236}">
              <a16:creationId xmlns:a16="http://schemas.microsoft.com/office/drawing/2014/main" id="{DCEB6B4C-AC98-453D-8FBD-D6ACAFC39AC3}"/>
            </a:ext>
          </a:extLst>
        </xdr:cNvPr>
        <xdr:cNvSpPr txBox="1"/>
      </xdr:nvSpPr>
      <xdr:spPr>
        <a:xfrm>
          <a:off x="1258062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7867" name="TextBox 7866">
          <a:extLst>
            <a:ext uri="{FF2B5EF4-FFF2-40B4-BE49-F238E27FC236}">
              <a16:creationId xmlns:a16="http://schemas.microsoft.com/office/drawing/2014/main" id="{5C17ED80-7961-4DC1-BB2A-9DE0F404EDC8}"/>
            </a:ext>
          </a:extLst>
        </xdr:cNvPr>
        <xdr:cNvSpPr txBox="1"/>
      </xdr:nvSpPr>
      <xdr:spPr>
        <a:xfrm>
          <a:off x="1258062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7868" name="TextBox 7867">
          <a:extLst>
            <a:ext uri="{FF2B5EF4-FFF2-40B4-BE49-F238E27FC236}">
              <a16:creationId xmlns:a16="http://schemas.microsoft.com/office/drawing/2014/main" id="{4C33F016-B4F3-4770-A984-CB3509151E10}"/>
            </a:ext>
          </a:extLst>
        </xdr:cNvPr>
        <xdr:cNvSpPr txBox="1"/>
      </xdr:nvSpPr>
      <xdr:spPr>
        <a:xfrm>
          <a:off x="1258062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7869" name="TextBox 7868">
          <a:extLst>
            <a:ext uri="{FF2B5EF4-FFF2-40B4-BE49-F238E27FC236}">
              <a16:creationId xmlns:a16="http://schemas.microsoft.com/office/drawing/2014/main" id="{EFF9D53C-A808-48B1-8B77-26200548DBEC}"/>
            </a:ext>
          </a:extLst>
        </xdr:cNvPr>
        <xdr:cNvSpPr txBox="1"/>
      </xdr:nvSpPr>
      <xdr:spPr>
        <a:xfrm>
          <a:off x="1258062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7870" name="TextBox 7869">
          <a:extLst>
            <a:ext uri="{FF2B5EF4-FFF2-40B4-BE49-F238E27FC236}">
              <a16:creationId xmlns:a16="http://schemas.microsoft.com/office/drawing/2014/main" id="{FA418557-798D-467D-A76C-EE7890605501}"/>
            </a:ext>
          </a:extLst>
        </xdr:cNvPr>
        <xdr:cNvSpPr txBox="1"/>
      </xdr:nvSpPr>
      <xdr:spPr>
        <a:xfrm>
          <a:off x="1258062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7871" name="TextBox 7870">
          <a:extLst>
            <a:ext uri="{FF2B5EF4-FFF2-40B4-BE49-F238E27FC236}">
              <a16:creationId xmlns:a16="http://schemas.microsoft.com/office/drawing/2014/main" id="{21D68521-84F2-4531-8046-00DBA48566ED}"/>
            </a:ext>
          </a:extLst>
        </xdr:cNvPr>
        <xdr:cNvSpPr txBox="1"/>
      </xdr:nvSpPr>
      <xdr:spPr>
        <a:xfrm>
          <a:off x="1258062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7872" name="TextBox 7871">
          <a:extLst>
            <a:ext uri="{FF2B5EF4-FFF2-40B4-BE49-F238E27FC236}">
              <a16:creationId xmlns:a16="http://schemas.microsoft.com/office/drawing/2014/main" id="{7E3702C8-4005-40F4-BBE4-677EE0EBC8C6}"/>
            </a:ext>
          </a:extLst>
        </xdr:cNvPr>
        <xdr:cNvSpPr txBox="1"/>
      </xdr:nvSpPr>
      <xdr:spPr>
        <a:xfrm>
          <a:off x="1258062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7873" name="TextBox 7872">
          <a:extLst>
            <a:ext uri="{FF2B5EF4-FFF2-40B4-BE49-F238E27FC236}">
              <a16:creationId xmlns:a16="http://schemas.microsoft.com/office/drawing/2014/main" id="{901C38A0-4573-45A4-AB5F-5E059FBD5A7F}"/>
            </a:ext>
          </a:extLst>
        </xdr:cNvPr>
        <xdr:cNvSpPr txBox="1"/>
      </xdr:nvSpPr>
      <xdr:spPr>
        <a:xfrm>
          <a:off x="1258062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7874" name="TextBox 7873">
          <a:extLst>
            <a:ext uri="{FF2B5EF4-FFF2-40B4-BE49-F238E27FC236}">
              <a16:creationId xmlns:a16="http://schemas.microsoft.com/office/drawing/2014/main" id="{7FBA9B72-EE01-4534-8518-8EA16BED9E21}"/>
            </a:ext>
          </a:extLst>
        </xdr:cNvPr>
        <xdr:cNvSpPr txBox="1"/>
      </xdr:nvSpPr>
      <xdr:spPr>
        <a:xfrm>
          <a:off x="1258062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875" name="TextBox 7874">
          <a:extLst>
            <a:ext uri="{FF2B5EF4-FFF2-40B4-BE49-F238E27FC236}">
              <a16:creationId xmlns:a16="http://schemas.microsoft.com/office/drawing/2014/main" id="{426DB5AA-6FC9-423D-9449-25C7957564C9}"/>
            </a:ext>
          </a:extLst>
        </xdr:cNvPr>
        <xdr:cNvSpPr txBox="1"/>
      </xdr:nvSpPr>
      <xdr:spPr>
        <a:xfrm>
          <a:off x="1258062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876" name="TextBox 7875">
          <a:extLst>
            <a:ext uri="{FF2B5EF4-FFF2-40B4-BE49-F238E27FC236}">
              <a16:creationId xmlns:a16="http://schemas.microsoft.com/office/drawing/2014/main" id="{BC83585C-9C69-4536-8284-B8DAE2F523BE}"/>
            </a:ext>
          </a:extLst>
        </xdr:cNvPr>
        <xdr:cNvSpPr txBox="1"/>
      </xdr:nvSpPr>
      <xdr:spPr>
        <a:xfrm>
          <a:off x="1258062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877" name="TextBox 7876">
          <a:extLst>
            <a:ext uri="{FF2B5EF4-FFF2-40B4-BE49-F238E27FC236}">
              <a16:creationId xmlns:a16="http://schemas.microsoft.com/office/drawing/2014/main" id="{B45223F6-D770-4D4E-AFD5-6343F2A04C94}"/>
            </a:ext>
          </a:extLst>
        </xdr:cNvPr>
        <xdr:cNvSpPr txBox="1"/>
      </xdr:nvSpPr>
      <xdr:spPr>
        <a:xfrm>
          <a:off x="1258062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878" name="TextBox 7877">
          <a:extLst>
            <a:ext uri="{FF2B5EF4-FFF2-40B4-BE49-F238E27FC236}">
              <a16:creationId xmlns:a16="http://schemas.microsoft.com/office/drawing/2014/main" id="{34B374C8-857A-49A0-9D4C-7CAE2C2CB443}"/>
            </a:ext>
          </a:extLst>
        </xdr:cNvPr>
        <xdr:cNvSpPr txBox="1"/>
      </xdr:nvSpPr>
      <xdr:spPr>
        <a:xfrm>
          <a:off x="1258062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879" name="TextBox 7878">
          <a:extLst>
            <a:ext uri="{FF2B5EF4-FFF2-40B4-BE49-F238E27FC236}">
              <a16:creationId xmlns:a16="http://schemas.microsoft.com/office/drawing/2014/main" id="{5EEC0772-7EA1-4458-AA65-02027BB8921F}"/>
            </a:ext>
          </a:extLst>
        </xdr:cNvPr>
        <xdr:cNvSpPr txBox="1"/>
      </xdr:nvSpPr>
      <xdr:spPr>
        <a:xfrm>
          <a:off x="1258062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880" name="TextBox 7879">
          <a:extLst>
            <a:ext uri="{FF2B5EF4-FFF2-40B4-BE49-F238E27FC236}">
              <a16:creationId xmlns:a16="http://schemas.microsoft.com/office/drawing/2014/main" id="{5E3A13B2-FB15-40B6-97CA-49C539BFB70B}"/>
            </a:ext>
          </a:extLst>
        </xdr:cNvPr>
        <xdr:cNvSpPr txBox="1"/>
      </xdr:nvSpPr>
      <xdr:spPr>
        <a:xfrm>
          <a:off x="1258062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881" name="TextBox 7880">
          <a:extLst>
            <a:ext uri="{FF2B5EF4-FFF2-40B4-BE49-F238E27FC236}">
              <a16:creationId xmlns:a16="http://schemas.microsoft.com/office/drawing/2014/main" id="{300407A3-C557-4019-9095-C2A56A5C7274}"/>
            </a:ext>
          </a:extLst>
        </xdr:cNvPr>
        <xdr:cNvSpPr txBox="1"/>
      </xdr:nvSpPr>
      <xdr:spPr>
        <a:xfrm>
          <a:off x="1258062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882" name="TextBox 7881">
          <a:extLst>
            <a:ext uri="{FF2B5EF4-FFF2-40B4-BE49-F238E27FC236}">
              <a16:creationId xmlns:a16="http://schemas.microsoft.com/office/drawing/2014/main" id="{1F3D0B01-720C-4727-9D79-BB8336620EEA}"/>
            </a:ext>
          </a:extLst>
        </xdr:cNvPr>
        <xdr:cNvSpPr txBox="1"/>
      </xdr:nvSpPr>
      <xdr:spPr>
        <a:xfrm>
          <a:off x="1258062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883" name="TextBox 7882">
          <a:extLst>
            <a:ext uri="{FF2B5EF4-FFF2-40B4-BE49-F238E27FC236}">
              <a16:creationId xmlns:a16="http://schemas.microsoft.com/office/drawing/2014/main" id="{99F8E329-40E6-4FA7-A8BC-BA62A66CDF50}"/>
            </a:ext>
          </a:extLst>
        </xdr:cNvPr>
        <xdr:cNvSpPr txBox="1"/>
      </xdr:nvSpPr>
      <xdr:spPr>
        <a:xfrm>
          <a:off x="1258062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884" name="TextBox 7883">
          <a:extLst>
            <a:ext uri="{FF2B5EF4-FFF2-40B4-BE49-F238E27FC236}">
              <a16:creationId xmlns:a16="http://schemas.microsoft.com/office/drawing/2014/main" id="{3A6C9952-D7D6-4E8D-A218-97ED16A4DC22}"/>
            </a:ext>
          </a:extLst>
        </xdr:cNvPr>
        <xdr:cNvSpPr txBox="1"/>
      </xdr:nvSpPr>
      <xdr:spPr>
        <a:xfrm>
          <a:off x="1258062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885" name="TextBox 7884">
          <a:extLst>
            <a:ext uri="{FF2B5EF4-FFF2-40B4-BE49-F238E27FC236}">
              <a16:creationId xmlns:a16="http://schemas.microsoft.com/office/drawing/2014/main" id="{C8040D33-2531-4CFD-ACDA-3AB6A0640E12}"/>
            </a:ext>
          </a:extLst>
        </xdr:cNvPr>
        <xdr:cNvSpPr txBox="1"/>
      </xdr:nvSpPr>
      <xdr:spPr>
        <a:xfrm>
          <a:off x="1258062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886" name="TextBox 7885">
          <a:extLst>
            <a:ext uri="{FF2B5EF4-FFF2-40B4-BE49-F238E27FC236}">
              <a16:creationId xmlns:a16="http://schemas.microsoft.com/office/drawing/2014/main" id="{3C0AF1C8-79B0-4643-A069-89270333C6DC}"/>
            </a:ext>
          </a:extLst>
        </xdr:cNvPr>
        <xdr:cNvSpPr txBox="1"/>
      </xdr:nvSpPr>
      <xdr:spPr>
        <a:xfrm>
          <a:off x="1258062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887" name="TextBox 7886">
          <a:extLst>
            <a:ext uri="{FF2B5EF4-FFF2-40B4-BE49-F238E27FC236}">
              <a16:creationId xmlns:a16="http://schemas.microsoft.com/office/drawing/2014/main" id="{5A7E7A0E-EDDF-41BF-B4D7-992EB5D8E0E9}"/>
            </a:ext>
          </a:extLst>
        </xdr:cNvPr>
        <xdr:cNvSpPr txBox="1"/>
      </xdr:nvSpPr>
      <xdr:spPr>
        <a:xfrm>
          <a:off x="1258062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888" name="TextBox 7887">
          <a:extLst>
            <a:ext uri="{FF2B5EF4-FFF2-40B4-BE49-F238E27FC236}">
              <a16:creationId xmlns:a16="http://schemas.microsoft.com/office/drawing/2014/main" id="{48A4571A-2A6B-43E6-8307-D257FEE252B5}"/>
            </a:ext>
          </a:extLst>
        </xdr:cNvPr>
        <xdr:cNvSpPr txBox="1"/>
      </xdr:nvSpPr>
      <xdr:spPr>
        <a:xfrm>
          <a:off x="1258062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889" name="TextBox 7888">
          <a:extLst>
            <a:ext uri="{FF2B5EF4-FFF2-40B4-BE49-F238E27FC236}">
              <a16:creationId xmlns:a16="http://schemas.microsoft.com/office/drawing/2014/main" id="{623A75F4-F705-462F-8E79-246F85160AAD}"/>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890" name="TextBox 7889">
          <a:extLst>
            <a:ext uri="{FF2B5EF4-FFF2-40B4-BE49-F238E27FC236}">
              <a16:creationId xmlns:a16="http://schemas.microsoft.com/office/drawing/2014/main" id="{4E29F2DA-9348-42B5-BB55-6B3A5D9FAF25}"/>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891" name="TextBox 7890">
          <a:extLst>
            <a:ext uri="{FF2B5EF4-FFF2-40B4-BE49-F238E27FC236}">
              <a16:creationId xmlns:a16="http://schemas.microsoft.com/office/drawing/2014/main" id="{34C7F6FA-7ACD-4131-A891-C0638BAE509C}"/>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892" name="TextBox 7891">
          <a:extLst>
            <a:ext uri="{FF2B5EF4-FFF2-40B4-BE49-F238E27FC236}">
              <a16:creationId xmlns:a16="http://schemas.microsoft.com/office/drawing/2014/main" id="{D16D5385-8B51-4897-AE61-34820A94E9DF}"/>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893" name="TextBox 7892">
          <a:extLst>
            <a:ext uri="{FF2B5EF4-FFF2-40B4-BE49-F238E27FC236}">
              <a16:creationId xmlns:a16="http://schemas.microsoft.com/office/drawing/2014/main" id="{666E924C-F5E4-46BD-AB9C-EDC7840B3D62}"/>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894" name="TextBox 7893">
          <a:extLst>
            <a:ext uri="{FF2B5EF4-FFF2-40B4-BE49-F238E27FC236}">
              <a16:creationId xmlns:a16="http://schemas.microsoft.com/office/drawing/2014/main" id="{04F6DCCF-81E6-4D9C-BBE5-0FE11829EB62}"/>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895" name="TextBox 7894">
          <a:extLst>
            <a:ext uri="{FF2B5EF4-FFF2-40B4-BE49-F238E27FC236}">
              <a16:creationId xmlns:a16="http://schemas.microsoft.com/office/drawing/2014/main" id="{0A3CD22E-52BD-4F8A-A852-EBC438CEF8B9}"/>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896" name="TextBox 7895">
          <a:extLst>
            <a:ext uri="{FF2B5EF4-FFF2-40B4-BE49-F238E27FC236}">
              <a16:creationId xmlns:a16="http://schemas.microsoft.com/office/drawing/2014/main" id="{74F25AF8-7664-484F-9098-DD8D23F2C65E}"/>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897" name="TextBox 7896">
          <a:extLst>
            <a:ext uri="{FF2B5EF4-FFF2-40B4-BE49-F238E27FC236}">
              <a16:creationId xmlns:a16="http://schemas.microsoft.com/office/drawing/2014/main" id="{83638271-DD25-44DC-8194-15E5B58C9A78}"/>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898" name="TextBox 7897">
          <a:extLst>
            <a:ext uri="{FF2B5EF4-FFF2-40B4-BE49-F238E27FC236}">
              <a16:creationId xmlns:a16="http://schemas.microsoft.com/office/drawing/2014/main" id="{45F96C37-B2D1-4DAD-B728-42780FCE09DC}"/>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899" name="TextBox 7898">
          <a:extLst>
            <a:ext uri="{FF2B5EF4-FFF2-40B4-BE49-F238E27FC236}">
              <a16:creationId xmlns:a16="http://schemas.microsoft.com/office/drawing/2014/main" id="{5B864850-A32F-4BE1-B2F6-755710BA5E74}"/>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900" name="TextBox 7899">
          <a:extLst>
            <a:ext uri="{FF2B5EF4-FFF2-40B4-BE49-F238E27FC236}">
              <a16:creationId xmlns:a16="http://schemas.microsoft.com/office/drawing/2014/main" id="{533C4A28-6FDB-4015-806A-954FFCB9E002}"/>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901" name="TextBox 7900">
          <a:extLst>
            <a:ext uri="{FF2B5EF4-FFF2-40B4-BE49-F238E27FC236}">
              <a16:creationId xmlns:a16="http://schemas.microsoft.com/office/drawing/2014/main" id="{F81618F8-798E-4259-A44E-219F7048A50E}"/>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902" name="TextBox 7901">
          <a:extLst>
            <a:ext uri="{FF2B5EF4-FFF2-40B4-BE49-F238E27FC236}">
              <a16:creationId xmlns:a16="http://schemas.microsoft.com/office/drawing/2014/main" id="{A63E9D8D-03B4-49C6-8EE3-9531081E5966}"/>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903" name="TextBox 7902">
          <a:extLst>
            <a:ext uri="{FF2B5EF4-FFF2-40B4-BE49-F238E27FC236}">
              <a16:creationId xmlns:a16="http://schemas.microsoft.com/office/drawing/2014/main" id="{02981572-A59D-45EA-9323-2F6796BD3C36}"/>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904" name="TextBox 7903">
          <a:extLst>
            <a:ext uri="{FF2B5EF4-FFF2-40B4-BE49-F238E27FC236}">
              <a16:creationId xmlns:a16="http://schemas.microsoft.com/office/drawing/2014/main" id="{E26D2993-630D-40D5-AC2D-BC5DFFBA943A}"/>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905" name="TextBox 7904">
          <a:extLst>
            <a:ext uri="{FF2B5EF4-FFF2-40B4-BE49-F238E27FC236}">
              <a16:creationId xmlns:a16="http://schemas.microsoft.com/office/drawing/2014/main" id="{B07A0205-A716-49AE-AC45-DDD62CC50BB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906" name="TextBox 7905">
          <a:extLst>
            <a:ext uri="{FF2B5EF4-FFF2-40B4-BE49-F238E27FC236}">
              <a16:creationId xmlns:a16="http://schemas.microsoft.com/office/drawing/2014/main" id="{110466E8-A909-405D-8383-2285258737C1}"/>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907" name="TextBox 7906">
          <a:extLst>
            <a:ext uri="{FF2B5EF4-FFF2-40B4-BE49-F238E27FC236}">
              <a16:creationId xmlns:a16="http://schemas.microsoft.com/office/drawing/2014/main" id="{86BF8DD8-D284-4847-AA46-262B390B3D11}"/>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908" name="TextBox 7907">
          <a:extLst>
            <a:ext uri="{FF2B5EF4-FFF2-40B4-BE49-F238E27FC236}">
              <a16:creationId xmlns:a16="http://schemas.microsoft.com/office/drawing/2014/main" id="{93A078A7-6A92-4AE1-8FA1-A4AB25D34993}"/>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909" name="TextBox 7908">
          <a:extLst>
            <a:ext uri="{FF2B5EF4-FFF2-40B4-BE49-F238E27FC236}">
              <a16:creationId xmlns:a16="http://schemas.microsoft.com/office/drawing/2014/main" id="{7A960991-568F-468E-94E2-98478BD82285}"/>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910" name="TextBox 7909">
          <a:extLst>
            <a:ext uri="{FF2B5EF4-FFF2-40B4-BE49-F238E27FC236}">
              <a16:creationId xmlns:a16="http://schemas.microsoft.com/office/drawing/2014/main" id="{FFF2E72A-E033-4665-A880-0CF0BF79B0D1}"/>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911" name="TextBox 7910">
          <a:extLst>
            <a:ext uri="{FF2B5EF4-FFF2-40B4-BE49-F238E27FC236}">
              <a16:creationId xmlns:a16="http://schemas.microsoft.com/office/drawing/2014/main" id="{CC42BD38-20BE-465D-9A99-D679C8DAE5C3}"/>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912" name="TextBox 7911">
          <a:extLst>
            <a:ext uri="{FF2B5EF4-FFF2-40B4-BE49-F238E27FC236}">
              <a16:creationId xmlns:a16="http://schemas.microsoft.com/office/drawing/2014/main" id="{6512ACF3-1A85-400B-A5C6-C8E1B8FAFE52}"/>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913" name="TextBox 7912">
          <a:extLst>
            <a:ext uri="{FF2B5EF4-FFF2-40B4-BE49-F238E27FC236}">
              <a16:creationId xmlns:a16="http://schemas.microsoft.com/office/drawing/2014/main" id="{79F97C13-94A4-475E-8F2F-1F5E40C7FF99}"/>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914" name="TextBox 7913">
          <a:extLst>
            <a:ext uri="{FF2B5EF4-FFF2-40B4-BE49-F238E27FC236}">
              <a16:creationId xmlns:a16="http://schemas.microsoft.com/office/drawing/2014/main" id="{DC1837BD-D8AC-4231-A8E0-439F4C971D44}"/>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915" name="TextBox 7914">
          <a:extLst>
            <a:ext uri="{FF2B5EF4-FFF2-40B4-BE49-F238E27FC236}">
              <a16:creationId xmlns:a16="http://schemas.microsoft.com/office/drawing/2014/main" id="{CC91899C-46CC-4846-B6B7-367BCDB7A9AA}"/>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916" name="TextBox 7915">
          <a:extLst>
            <a:ext uri="{FF2B5EF4-FFF2-40B4-BE49-F238E27FC236}">
              <a16:creationId xmlns:a16="http://schemas.microsoft.com/office/drawing/2014/main" id="{F4B13EE4-5E9E-4751-B033-B4F3092CB719}"/>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917" name="TextBox 7916">
          <a:extLst>
            <a:ext uri="{FF2B5EF4-FFF2-40B4-BE49-F238E27FC236}">
              <a16:creationId xmlns:a16="http://schemas.microsoft.com/office/drawing/2014/main" id="{3513AF6A-F6FE-4B91-BB16-FC44B37508C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918" name="TextBox 7917">
          <a:extLst>
            <a:ext uri="{FF2B5EF4-FFF2-40B4-BE49-F238E27FC236}">
              <a16:creationId xmlns:a16="http://schemas.microsoft.com/office/drawing/2014/main" id="{89A4D9BB-7D58-470A-B9E5-AB820AB1871F}"/>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919" name="TextBox 7918">
          <a:extLst>
            <a:ext uri="{FF2B5EF4-FFF2-40B4-BE49-F238E27FC236}">
              <a16:creationId xmlns:a16="http://schemas.microsoft.com/office/drawing/2014/main" id="{CC0B07A2-A276-4806-B6D2-124175FB96F8}"/>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920" name="TextBox 7919">
          <a:extLst>
            <a:ext uri="{FF2B5EF4-FFF2-40B4-BE49-F238E27FC236}">
              <a16:creationId xmlns:a16="http://schemas.microsoft.com/office/drawing/2014/main" id="{DF66F9DF-8F2C-42EB-92C7-76B21F9CB6F3}"/>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921" name="TextBox 7920">
          <a:extLst>
            <a:ext uri="{FF2B5EF4-FFF2-40B4-BE49-F238E27FC236}">
              <a16:creationId xmlns:a16="http://schemas.microsoft.com/office/drawing/2014/main" id="{8E0ABD95-3F16-43CC-B265-0095BADF002E}"/>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922" name="TextBox 7921">
          <a:extLst>
            <a:ext uri="{FF2B5EF4-FFF2-40B4-BE49-F238E27FC236}">
              <a16:creationId xmlns:a16="http://schemas.microsoft.com/office/drawing/2014/main" id="{CD42209F-974D-45D0-A624-94C23734A6E6}"/>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923" name="TextBox 7922">
          <a:extLst>
            <a:ext uri="{FF2B5EF4-FFF2-40B4-BE49-F238E27FC236}">
              <a16:creationId xmlns:a16="http://schemas.microsoft.com/office/drawing/2014/main" id="{27C8C9AF-ED05-45FA-9068-9A42F1134787}"/>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924" name="TextBox 7923">
          <a:extLst>
            <a:ext uri="{FF2B5EF4-FFF2-40B4-BE49-F238E27FC236}">
              <a16:creationId xmlns:a16="http://schemas.microsoft.com/office/drawing/2014/main" id="{A0EDDAC8-68CD-49FF-95B0-13F9987E0E19}"/>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925" name="TextBox 7924">
          <a:extLst>
            <a:ext uri="{FF2B5EF4-FFF2-40B4-BE49-F238E27FC236}">
              <a16:creationId xmlns:a16="http://schemas.microsoft.com/office/drawing/2014/main" id="{A9B51438-9235-4498-BF41-E2C9387B0166}"/>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926" name="TextBox 7925">
          <a:extLst>
            <a:ext uri="{FF2B5EF4-FFF2-40B4-BE49-F238E27FC236}">
              <a16:creationId xmlns:a16="http://schemas.microsoft.com/office/drawing/2014/main" id="{FDD472D5-E424-469B-AEE8-D41198940163}"/>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927" name="TextBox 7926">
          <a:extLst>
            <a:ext uri="{FF2B5EF4-FFF2-40B4-BE49-F238E27FC236}">
              <a16:creationId xmlns:a16="http://schemas.microsoft.com/office/drawing/2014/main" id="{2620D0D1-18D7-4854-A586-63FBDC46CF56}"/>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928" name="TextBox 7927">
          <a:extLst>
            <a:ext uri="{FF2B5EF4-FFF2-40B4-BE49-F238E27FC236}">
              <a16:creationId xmlns:a16="http://schemas.microsoft.com/office/drawing/2014/main" id="{A2931468-7B31-4683-A6E9-E719511E89E9}"/>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929" name="TextBox 7928">
          <a:extLst>
            <a:ext uri="{FF2B5EF4-FFF2-40B4-BE49-F238E27FC236}">
              <a16:creationId xmlns:a16="http://schemas.microsoft.com/office/drawing/2014/main" id="{617F7D4E-686F-4134-8341-01E75E61017E}"/>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930" name="TextBox 7929">
          <a:extLst>
            <a:ext uri="{FF2B5EF4-FFF2-40B4-BE49-F238E27FC236}">
              <a16:creationId xmlns:a16="http://schemas.microsoft.com/office/drawing/2014/main" id="{F30DB9A4-E5C2-412C-914F-F88177E1512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931" name="TextBox 7930">
          <a:extLst>
            <a:ext uri="{FF2B5EF4-FFF2-40B4-BE49-F238E27FC236}">
              <a16:creationId xmlns:a16="http://schemas.microsoft.com/office/drawing/2014/main" id="{57E4964E-8056-4D48-91F4-44073729FA41}"/>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932" name="TextBox 7931">
          <a:extLst>
            <a:ext uri="{FF2B5EF4-FFF2-40B4-BE49-F238E27FC236}">
              <a16:creationId xmlns:a16="http://schemas.microsoft.com/office/drawing/2014/main" id="{4420B687-862B-4D83-BBB9-92BBC1E24FF8}"/>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933" name="TextBox 7932">
          <a:extLst>
            <a:ext uri="{FF2B5EF4-FFF2-40B4-BE49-F238E27FC236}">
              <a16:creationId xmlns:a16="http://schemas.microsoft.com/office/drawing/2014/main" id="{6109BB46-3D57-4B4E-A0C5-4516B4A09848}"/>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934" name="TextBox 7933">
          <a:extLst>
            <a:ext uri="{FF2B5EF4-FFF2-40B4-BE49-F238E27FC236}">
              <a16:creationId xmlns:a16="http://schemas.microsoft.com/office/drawing/2014/main" id="{931330DF-996B-40D1-8EA7-A33F1A9847F1}"/>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935" name="TextBox 7934">
          <a:extLst>
            <a:ext uri="{FF2B5EF4-FFF2-40B4-BE49-F238E27FC236}">
              <a16:creationId xmlns:a16="http://schemas.microsoft.com/office/drawing/2014/main" id="{6F2167C9-93AB-4792-B5E6-DAEA5D44FAEB}"/>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936" name="TextBox 7935">
          <a:extLst>
            <a:ext uri="{FF2B5EF4-FFF2-40B4-BE49-F238E27FC236}">
              <a16:creationId xmlns:a16="http://schemas.microsoft.com/office/drawing/2014/main" id="{8D4D4BDD-6A9F-42D5-BCFF-5E5982787906}"/>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937" name="TextBox 7936">
          <a:extLst>
            <a:ext uri="{FF2B5EF4-FFF2-40B4-BE49-F238E27FC236}">
              <a16:creationId xmlns:a16="http://schemas.microsoft.com/office/drawing/2014/main" id="{62AD9906-FE9B-4FDD-A68B-46CF95FA296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938" name="TextBox 7937">
          <a:extLst>
            <a:ext uri="{FF2B5EF4-FFF2-40B4-BE49-F238E27FC236}">
              <a16:creationId xmlns:a16="http://schemas.microsoft.com/office/drawing/2014/main" id="{6BC8A854-5CBB-44F6-8B90-EDC7538EE4AF}"/>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939" name="TextBox 7938">
          <a:extLst>
            <a:ext uri="{FF2B5EF4-FFF2-40B4-BE49-F238E27FC236}">
              <a16:creationId xmlns:a16="http://schemas.microsoft.com/office/drawing/2014/main" id="{9907CF70-944C-42CE-8419-D0A81F8E2998}"/>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940" name="TextBox 7939">
          <a:extLst>
            <a:ext uri="{FF2B5EF4-FFF2-40B4-BE49-F238E27FC236}">
              <a16:creationId xmlns:a16="http://schemas.microsoft.com/office/drawing/2014/main" id="{56ED5389-C0C4-4D4F-A161-8A097C1C622E}"/>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941" name="TextBox 7940">
          <a:extLst>
            <a:ext uri="{FF2B5EF4-FFF2-40B4-BE49-F238E27FC236}">
              <a16:creationId xmlns:a16="http://schemas.microsoft.com/office/drawing/2014/main" id="{FECFA0CA-7D4C-47C5-AB1E-790708CC03C6}"/>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942" name="TextBox 7941">
          <a:extLst>
            <a:ext uri="{FF2B5EF4-FFF2-40B4-BE49-F238E27FC236}">
              <a16:creationId xmlns:a16="http://schemas.microsoft.com/office/drawing/2014/main" id="{C7A02519-07BC-4311-8FC7-800DA9129D9B}"/>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943" name="TextBox 7942">
          <a:extLst>
            <a:ext uri="{FF2B5EF4-FFF2-40B4-BE49-F238E27FC236}">
              <a16:creationId xmlns:a16="http://schemas.microsoft.com/office/drawing/2014/main" id="{AEFF34D7-148C-4CCB-A0D8-19F37B544AC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944" name="TextBox 7943">
          <a:extLst>
            <a:ext uri="{FF2B5EF4-FFF2-40B4-BE49-F238E27FC236}">
              <a16:creationId xmlns:a16="http://schemas.microsoft.com/office/drawing/2014/main" id="{92785E8F-D40C-45DF-A7AE-AC027255B736}"/>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945" name="TextBox 7944">
          <a:extLst>
            <a:ext uri="{FF2B5EF4-FFF2-40B4-BE49-F238E27FC236}">
              <a16:creationId xmlns:a16="http://schemas.microsoft.com/office/drawing/2014/main" id="{604A7D7D-6D81-4BE7-9ABC-725A42F9E1EA}"/>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946" name="TextBox 7945">
          <a:extLst>
            <a:ext uri="{FF2B5EF4-FFF2-40B4-BE49-F238E27FC236}">
              <a16:creationId xmlns:a16="http://schemas.microsoft.com/office/drawing/2014/main" id="{BFB11F25-1BBB-4DE5-A5B9-64AF144729C2}"/>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947" name="TextBox 7946">
          <a:extLst>
            <a:ext uri="{FF2B5EF4-FFF2-40B4-BE49-F238E27FC236}">
              <a16:creationId xmlns:a16="http://schemas.microsoft.com/office/drawing/2014/main" id="{4CBFE059-8EE1-4A97-B2E4-DA16EFD3761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948" name="TextBox 7947">
          <a:extLst>
            <a:ext uri="{FF2B5EF4-FFF2-40B4-BE49-F238E27FC236}">
              <a16:creationId xmlns:a16="http://schemas.microsoft.com/office/drawing/2014/main" id="{FCA7E1FD-61F9-4289-95A4-DD486F9A908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949" name="TextBox 7948">
          <a:extLst>
            <a:ext uri="{FF2B5EF4-FFF2-40B4-BE49-F238E27FC236}">
              <a16:creationId xmlns:a16="http://schemas.microsoft.com/office/drawing/2014/main" id="{348F6862-8E58-4046-8D32-99DF9E91ACAC}"/>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950" name="TextBox 7949">
          <a:extLst>
            <a:ext uri="{FF2B5EF4-FFF2-40B4-BE49-F238E27FC236}">
              <a16:creationId xmlns:a16="http://schemas.microsoft.com/office/drawing/2014/main" id="{34FDD654-E638-4FF7-82BC-790A9BF967AE}"/>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951" name="TextBox 7950">
          <a:extLst>
            <a:ext uri="{FF2B5EF4-FFF2-40B4-BE49-F238E27FC236}">
              <a16:creationId xmlns:a16="http://schemas.microsoft.com/office/drawing/2014/main" id="{A5DA0E4C-9A9B-460A-9EEA-20236D3CD2BF}"/>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952" name="TextBox 7951">
          <a:extLst>
            <a:ext uri="{FF2B5EF4-FFF2-40B4-BE49-F238E27FC236}">
              <a16:creationId xmlns:a16="http://schemas.microsoft.com/office/drawing/2014/main" id="{E165643A-B43B-4C9A-9B54-7139E29076C2}"/>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953" name="TextBox 7952">
          <a:extLst>
            <a:ext uri="{FF2B5EF4-FFF2-40B4-BE49-F238E27FC236}">
              <a16:creationId xmlns:a16="http://schemas.microsoft.com/office/drawing/2014/main" id="{3714FD61-D1A2-4BD0-9B73-8B1B0843126D}"/>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954" name="TextBox 7953">
          <a:extLst>
            <a:ext uri="{FF2B5EF4-FFF2-40B4-BE49-F238E27FC236}">
              <a16:creationId xmlns:a16="http://schemas.microsoft.com/office/drawing/2014/main" id="{4686F77C-EFB1-4701-9CCA-482CB458B522}"/>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955" name="TextBox 7954">
          <a:extLst>
            <a:ext uri="{FF2B5EF4-FFF2-40B4-BE49-F238E27FC236}">
              <a16:creationId xmlns:a16="http://schemas.microsoft.com/office/drawing/2014/main" id="{1CA4B930-A62D-4FA9-AD46-2CC8DCC9A732}"/>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956" name="TextBox 7955">
          <a:extLst>
            <a:ext uri="{FF2B5EF4-FFF2-40B4-BE49-F238E27FC236}">
              <a16:creationId xmlns:a16="http://schemas.microsoft.com/office/drawing/2014/main" id="{9A1EDD94-C686-4D34-A913-92C621E64D1B}"/>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957" name="TextBox 7956">
          <a:extLst>
            <a:ext uri="{FF2B5EF4-FFF2-40B4-BE49-F238E27FC236}">
              <a16:creationId xmlns:a16="http://schemas.microsoft.com/office/drawing/2014/main" id="{4DB473FD-AE79-41FB-BBA2-A751D013D672}"/>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958" name="TextBox 7957">
          <a:extLst>
            <a:ext uri="{FF2B5EF4-FFF2-40B4-BE49-F238E27FC236}">
              <a16:creationId xmlns:a16="http://schemas.microsoft.com/office/drawing/2014/main" id="{CAC6F1F5-0318-4EF1-A17E-9713993C0275}"/>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959" name="TextBox 7958">
          <a:extLst>
            <a:ext uri="{FF2B5EF4-FFF2-40B4-BE49-F238E27FC236}">
              <a16:creationId xmlns:a16="http://schemas.microsoft.com/office/drawing/2014/main" id="{2BEB2C9B-4E37-4D83-978B-6944A85550D0}"/>
            </a:ext>
          </a:extLst>
        </xdr:cNvPr>
        <xdr:cNvSpPr txBox="1"/>
      </xdr:nvSpPr>
      <xdr:spPr>
        <a:xfrm>
          <a:off x="1258062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960" name="TextBox 7959">
          <a:extLst>
            <a:ext uri="{FF2B5EF4-FFF2-40B4-BE49-F238E27FC236}">
              <a16:creationId xmlns:a16="http://schemas.microsoft.com/office/drawing/2014/main" id="{CD550287-B34D-4E1D-BBEF-D03695FD0054}"/>
            </a:ext>
          </a:extLst>
        </xdr:cNvPr>
        <xdr:cNvSpPr txBox="1"/>
      </xdr:nvSpPr>
      <xdr:spPr>
        <a:xfrm>
          <a:off x="1258062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961" name="TextBox 7960">
          <a:extLst>
            <a:ext uri="{FF2B5EF4-FFF2-40B4-BE49-F238E27FC236}">
              <a16:creationId xmlns:a16="http://schemas.microsoft.com/office/drawing/2014/main" id="{F2ABC44F-5B97-457A-B962-D1359A380D71}"/>
            </a:ext>
          </a:extLst>
        </xdr:cNvPr>
        <xdr:cNvSpPr txBox="1"/>
      </xdr:nvSpPr>
      <xdr:spPr>
        <a:xfrm>
          <a:off x="1258062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962" name="TextBox 7961">
          <a:extLst>
            <a:ext uri="{FF2B5EF4-FFF2-40B4-BE49-F238E27FC236}">
              <a16:creationId xmlns:a16="http://schemas.microsoft.com/office/drawing/2014/main" id="{96939F3D-72FB-4C1C-BD3C-89A06B46C24E}"/>
            </a:ext>
          </a:extLst>
        </xdr:cNvPr>
        <xdr:cNvSpPr txBox="1"/>
      </xdr:nvSpPr>
      <xdr:spPr>
        <a:xfrm>
          <a:off x="1258062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963" name="TextBox 7962">
          <a:extLst>
            <a:ext uri="{FF2B5EF4-FFF2-40B4-BE49-F238E27FC236}">
              <a16:creationId xmlns:a16="http://schemas.microsoft.com/office/drawing/2014/main" id="{94BF90D1-7C17-4662-B78F-32897ABFA19F}"/>
            </a:ext>
          </a:extLst>
        </xdr:cNvPr>
        <xdr:cNvSpPr txBox="1"/>
      </xdr:nvSpPr>
      <xdr:spPr>
        <a:xfrm>
          <a:off x="1258062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964" name="TextBox 7963">
          <a:extLst>
            <a:ext uri="{FF2B5EF4-FFF2-40B4-BE49-F238E27FC236}">
              <a16:creationId xmlns:a16="http://schemas.microsoft.com/office/drawing/2014/main" id="{453A51B0-4712-453A-A36D-8862511F2541}"/>
            </a:ext>
          </a:extLst>
        </xdr:cNvPr>
        <xdr:cNvSpPr txBox="1"/>
      </xdr:nvSpPr>
      <xdr:spPr>
        <a:xfrm>
          <a:off x="1258062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965" name="TextBox 7964">
          <a:extLst>
            <a:ext uri="{FF2B5EF4-FFF2-40B4-BE49-F238E27FC236}">
              <a16:creationId xmlns:a16="http://schemas.microsoft.com/office/drawing/2014/main" id="{F5236698-E5D3-47AA-81EA-AAFF7BC49F1C}"/>
            </a:ext>
          </a:extLst>
        </xdr:cNvPr>
        <xdr:cNvSpPr txBox="1"/>
      </xdr:nvSpPr>
      <xdr:spPr>
        <a:xfrm>
          <a:off x="1258062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966" name="TextBox 7965">
          <a:extLst>
            <a:ext uri="{FF2B5EF4-FFF2-40B4-BE49-F238E27FC236}">
              <a16:creationId xmlns:a16="http://schemas.microsoft.com/office/drawing/2014/main" id="{CB6F6FBB-D31C-4DF2-B5CF-F6F8F99341BE}"/>
            </a:ext>
          </a:extLst>
        </xdr:cNvPr>
        <xdr:cNvSpPr txBox="1"/>
      </xdr:nvSpPr>
      <xdr:spPr>
        <a:xfrm>
          <a:off x="1258062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967" name="TextBox 7966">
          <a:extLst>
            <a:ext uri="{FF2B5EF4-FFF2-40B4-BE49-F238E27FC236}">
              <a16:creationId xmlns:a16="http://schemas.microsoft.com/office/drawing/2014/main" id="{0E6EA0E6-3896-40AA-B2F5-8272253CCA84}"/>
            </a:ext>
          </a:extLst>
        </xdr:cNvPr>
        <xdr:cNvSpPr txBox="1"/>
      </xdr:nvSpPr>
      <xdr:spPr>
        <a:xfrm>
          <a:off x="1258062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968" name="TextBox 7967">
          <a:extLst>
            <a:ext uri="{FF2B5EF4-FFF2-40B4-BE49-F238E27FC236}">
              <a16:creationId xmlns:a16="http://schemas.microsoft.com/office/drawing/2014/main" id="{714A34DF-3BC7-48BE-A8E1-0A382AB25D98}"/>
            </a:ext>
          </a:extLst>
        </xdr:cNvPr>
        <xdr:cNvSpPr txBox="1"/>
      </xdr:nvSpPr>
      <xdr:spPr>
        <a:xfrm>
          <a:off x="1258062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969" name="TextBox 7968">
          <a:extLst>
            <a:ext uri="{FF2B5EF4-FFF2-40B4-BE49-F238E27FC236}">
              <a16:creationId xmlns:a16="http://schemas.microsoft.com/office/drawing/2014/main" id="{0EE264F1-325D-4E80-827F-A7CDBEE7E2B0}"/>
            </a:ext>
          </a:extLst>
        </xdr:cNvPr>
        <xdr:cNvSpPr txBox="1"/>
      </xdr:nvSpPr>
      <xdr:spPr>
        <a:xfrm>
          <a:off x="1258062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970" name="TextBox 7969">
          <a:extLst>
            <a:ext uri="{FF2B5EF4-FFF2-40B4-BE49-F238E27FC236}">
              <a16:creationId xmlns:a16="http://schemas.microsoft.com/office/drawing/2014/main" id="{8DFCAF67-A970-4779-9B1E-334B183D9E9C}"/>
            </a:ext>
          </a:extLst>
        </xdr:cNvPr>
        <xdr:cNvSpPr txBox="1"/>
      </xdr:nvSpPr>
      <xdr:spPr>
        <a:xfrm>
          <a:off x="1258062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971" name="TextBox 7970">
          <a:extLst>
            <a:ext uri="{FF2B5EF4-FFF2-40B4-BE49-F238E27FC236}">
              <a16:creationId xmlns:a16="http://schemas.microsoft.com/office/drawing/2014/main" id="{1721DFB1-C856-46DE-8B52-1459DC12DC1F}"/>
            </a:ext>
          </a:extLst>
        </xdr:cNvPr>
        <xdr:cNvSpPr txBox="1"/>
      </xdr:nvSpPr>
      <xdr:spPr>
        <a:xfrm>
          <a:off x="1258062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972" name="TextBox 7971">
          <a:extLst>
            <a:ext uri="{FF2B5EF4-FFF2-40B4-BE49-F238E27FC236}">
              <a16:creationId xmlns:a16="http://schemas.microsoft.com/office/drawing/2014/main" id="{EAD93977-2B6C-48AF-88BE-D3EEF076B82F}"/>
            </a:ext>
          </a:extLst>
        </xdr:cNvPr>
        <xdr:cNvSpPr txBox="1"/>
      </xdr:nvSpPr>
      <xdr:spPr>
        <a:xfrm>
          <a:off x="1258062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973" name="TextBox 7972">
          <a:extLst>
            <a:ext uri="{FF2B5EF4-FFF2-40B4-BE49-F238E27FC236}">
              <a16:creationId xmlns:a16="http://schemas.microsoft.com/office/drawing/2014/main" id="{FBB54F66-6C42-4482-B2E7-7384E314B0A0}"/>
            </a:ext>
          </a:extLst>
        </xdr:cNvPr>
        <xdr:cNvSpPr txBox="1"/>
      </xdr:nvSpPr>
      <xdr:spPr>
        <a:xfrm>
          <a:off x="1258062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974" name="TextBox 7973">
          <a:extLst>
            <a:ext uri="{FF2B5EF4-FFF2-40B4-BE49-F238E27FC236}">
              <a16:creationId xmlns:a16="http://schemas.microsoft.com/office/drawing/2014/main" id="{AEE8C017-5A75-4A1A-8541-8CAA7A85887F}"/>
            </a:ext>
          </a:extLst>
        </xdr:cNvPr>
        <xdr:cNvSpPr txBox="1"/>
      </xdr:nvSpPr>
      <xdr:spPr>
        <a:xfrm>
          <a:off x="1258062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975" name="TextBox 7974">
          <a:extLst>
            <a:ext uri="{FF2B5EF4-FFF2-40B4-BE49-F238E27FC236}">
              <a16:creationId xmlns:a16="http://schemas.microsoft.com/office/drawing/2014/main" id="{15CB6B7A-8903-4D46-B303-C78122F98AFA}"/>
            </a:ext>
          </a:extLst>
        </xdr:cNvPr>
        <xdr:cNvSpPr txBox="1"/>
      </xdr:nvSpPr>
      <xdr:spPr>
        <a:xfrm>
          <a:off x="1258062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976" name="TextBox 7975">
          <a:extLst>
            <a:ext uri="{FF2B5EF4-FFF2-40B4-BE49-F238E27FC236}">
              <a16:creationId xmlns:a16="http://schemas.microsoft.com/office/drawing/2014/main" id="{06B77017-1B83-4828-A6CD-A70B1530F846}"/>
            </a:ext>
          </a:extLst>
        </xdr:cNvPr>
        <xdr:cNvSpPr txBox="1"/>
      </xdr:nvSpPr>
      <xdr:spPr>
        <a:xfrm>
          <a:off x="1258062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977" name="TextBox 7976">
          <a:extLst>
            <a:ext uri="{FF2B5EF4-FFF2-40B4-BE49-F238E27FC236}">
              <a16:creationId xmlns:a16="http://schemas.microsoft.com/office/drawing/2014/main" id="{185D6A4C-28D0-4083-911A-BC73150EED28}"/>
            </a:ext>
          </a:extLst>
        </xdr:cNvPr>
        <xdr:cNvSpPr txBox="1"/>
      </xdr:nvSpPr>
      <xdr:spPr>
        <a:xfrm>
          <a:off x="1258062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978" name="TextBox 7977">
          <a:extLst>
            <a:ext uri="{FF2B5EF4-FFF2-40B4-BE49-F238E27FC236}">
              <a16:creationId xmlns:a16="http://schemas.microsoft.com/office/drawing/2014/main" id="{3791A6DE-A1C2-47DA-AD48-A46C3A2C9FDA}"/>
            </a:ext>
          </a:extLst>
        </xdr:cNvPr>
        <xdr:cNvSpPr txBox="1"/>
      </xdr:nvSpPr>
      <xdr:spPr>
        <a:xfrm>
          <a:off x="1258062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979" name="TextBox 7978">
          <a:extLst>
            <a:ext uri="{FF2B5EF4-FFF2-40B4-BE49-F238E27FC236}">
              <a16:creationId xmlns:a16="http://schemas.microsoft.com/office/drawing/2014/main" id="{81CE3CB0-7E4E-4E55-A8CA-42556C1B97B2}"/>
            </a:ext>
          </a:extLst>
        </xdr:cNvPr>
        <xdr:cNvSpPr txBox="1"/>
      </xdr:nvSpPr>
      <xdr:spPr>
        <a:xfrm>
          <a:off x="1258062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980" name="TextBox 7979">
          <a:extLst>
            <a:ext uri="{FF2B5EF4-FFF2-40B4-BE49-F238E27FC236}">
              <a16:creationId xmlns:a16="http://schemas.microsoft.com/office/drawing/2014/main" id="{4A007D76-46C2-4D13-B1B5-5850A74D5AB2}"/>
            </a:ext>
          </a:extLst>
        </xdr:cNvPr>
        <xdr:cNvSpPr txBox="1"/>
      </xdr:nvSpPr>
      <xdr:spPr>
        <a:xfrm>
          <a:off x="1258062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twoCellAnchor>
    <xdr:from>
      <xdr:col>1</xdr:col>
      <xdr:colOff>1</xdr:colOff>
      <xdr:row>69</xdr:row>
      <xdr:rowOff>95250</xdr:rowOff>
    </xdr:from>
    <xdr:to>
      <xdr:col>11</xdr:col>
      <xdr:colOff>666750</xdr:colOff>
      <xdr:row>87</xdr:row>
      <xdr:rowOff>66675</xdr:rowOff>
    </xdr:to>
    <xdr:graphicFrame macro="">
      <xdr:nvGraphicFramePr>
        <xdr:cNvPr id="7981" name="Chart 7980">
          <a:extLst>
            <a:ext uri="{FF2B5EF4-FFF2-40B4-BE49-F238E27FC236}">
              <a16:creationId xmlns:a16="http://schemas.microsoft.com/office/drawing/2014/main" id="{00000000-0008-0000-00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781050</xdr:colOff>
      <xdr:row>69</xdr:row>
      <xdr:rowOff>95250</xdr:rowOff>
    </xdr:from>
    <xdr:to>
      <xdr:col>17</xdr:col>
      <xdr:colOff>561975</xdr:colOff>
      <xdr:row>83</xdr:row>
      <xdr:rowOff>171450</xdr:rowOff>
    </xdr:to>
    <xdr:graphicFrame macro="">
      <xdr:nvGraphicFramePr>
        <xdr:cNvPr id="7982" name="Chart 7981">
          <a:extLst>
            <a:ext uri="{FF2B5EF4-FFF2-40B4-BE49-F238E27FC236}">
              <a16:creationId xmlns:a16="http://schemas.microsoft.com/office/drawing/2014/main" id="{00000000-0008-0000-00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4</xdr:col>
      <xdr:colOff>609600</xdr:colOff>
      <xdr:row>164</xdr:row>
      <xdr:rowOff>0</xdr:rowOff>
    </xdr:from>
    <xdr:ext cx="65" cy="172227"/>
    <xdr:sp macro="" textlink="">
      <xdr:nvSpPr>
        <xdr:cNvPr id="7983" name="TextBox 7982">
          <a:extLst>
            <a:ext uri="{FF2B5EF4-FFF2-40B4-BE49-F238E27FC236}">
              <a16:creationId xmlns:a16="http://schemas.microsoft.com/office/drawing/2014/main" id="{00000000-0008-0000-0000-000007000000}"/>
            </a:ext>
          </a:extLst>
        </xdr:cNvPr>
        <xdr:cNvSpPr txBox="1"/>
      </xdr:nvSpPr>
      <xdr:spPr>
        <a:xfrm>
          <a:off x="8267700" y="33322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twoCellAnchor>
    <xdr:from>
      <xdr:col>2</xdr:col>
      <xdr:colOff>13606</xdr:colOff>
      <xdr:row>41</xdr:row>
      <xdr:rowOff>29936</xdr:rowOff>
    </xdr:from>
    <xdr:to>
      <xdr:col>11</xdr:col>
      <xdr:colOff>2694214</xdr:colOff>
      <xdr:row>55</xdr:row>
      <xdr:rowOff>106136</xdr:rowOff>
    </xdr:to>
    <xdr:graphicFrame macro="">
      <xdr:nvGraphicFramePr>
        <xdr:cNvPr id="7984" name="Chart 7983">
          <a:extLst>
            <a:ext uri="{FF2B5EF4-FFF2-40B4-BE49-F238E27FC236}">
              <a16:creationId xmlns:a16="http://schemas.microsoft.com/office/drawing/2014/main" i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3001736</xdr:colOff>
      <xdr:row>13</xdr:row>
      <xdr:rowOff>148318</xdr:rowOff>
    </xdr:from>
    <xdr:to>
      <xdr:col>11</xdr:col>
      <xdr:colOff>605065</xdr:colOff>
      <xdr:row>28</xdr:row>
      <xdr:rowOff>34018</xdr:rowOff>
    </xdr:to>
    <xdr:graphicFrame macro="">
      <xdr:nvGraphicFramePr>
        <xdr:cNvPr id="7985" name="Chart 7984">
          <a:extLst>
            <a:ext uri="{FF2B5EF4-FFF2-40B4-BE49-F238E27FC236}">
              <a16:creationId xmlns:a16="http://schemas.microsoft.com/office/drawing/2014/main" i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758372</xdr:colOff>
      <xdr:row>117</xdr:row>
      <xdr:rowOff>7257</xdr:rowOff>
    </xdr:from>
    <xdr:to>
      <xdr:col>7</xdr:col>
      <xdr:colOff>2123168</xdr:colOff>
      <xdr:row>131</xdr:row>
      <xdr:rowOff>75746</xdr:rowOff>
    </xdr:to>
    <xdr:graphicFrame macro="">
      <xdr:nvGraphicFramePr>
        <xdr:cNvPr id="7986" name="Chart 7985">
          <a:extLst>
            <a:ext uri="{FF2B5EF4-FFF2-40B4-BE49-F238E27FC236}">
              <a16:creationId xmlns:a16="http://schemas.microsoft.com/office/drawing/2014/main" id="{00000000-0008-0000-00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4</xdr:col>
      <xdr:colOff>609600</xdr:colOff>
      <xdr:row>164</xdr:row>
      <xdr:rowOff>0</xdr:rowOff>
    </xdr:from>
    <xdr:ext cx="65" cy="172227"/>
    <xdr:sp macro="" textlink="">
      <xdr:nvSpPr>
        <xdr:cNvPr id="7987" name="TextBox 7986">
          <a:extLst>
            <a:ext uri="{FF2B5EF4-FFF2-40B4-BE49-F238E27FC236}">
              <a16:creationId xmlns:a16="http://schemas.microsoft.com/office/drawing/2014/main" id="{00000000-0008-0000-0000-00000B000000}"/>
            </a:ext>
          </a:extLst>
        </xdr:cNvPr>
        <xdr:cNvSpPr txBox="1"/>
      </xdr:nvSpPr>
      <xdr:spPr>
        <a:xfrm>
          <a:off x="8267700" y="33322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165</xdr:row>
      <xdr:rowOff>0</xdr:rowOff>
    </xdr:from>
    <xdr:ext cx="65" cy="172227"/>
    <xdr:sp macro="" textlink="">
      <xdr:nvSpPr>
        <xdr:cNvPr id="7988" name="TextBox 7987">
          <a:extLst>
            <a:ext uri="{FF2B5EF4-FFF2-40B4-BE49-F238E27FC236}">
              <a16:creationId xmlns:a16="http://schemas.microsoft.com/office/drawing/2014/main" id="{00000000-0008-0000-0000-00000C000000}"/>
            </a:ext>
          </a:extLst>
        </xdr:cNvPr>
        <xdr:cNvSpPr txBox="1"/>
      </xdr:nvSpPr>
      <xdr:spPr>
        <a:xfrm>
          <a:off x="8267700" y="33520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165</xdr:row>
      <xdr:rowOff>0</xdr:rowOff>
    </xdr:from>
    <xdr:ext cx="65" cy="172227"/>
    <xdr:sp macro="" textlink="">
      <xdr:nvSpPr>
        <xdr:cNvPr id="7989" name="TextBox 7988">
          <a:extLst>
            <a:ext uri="{FF2B5EF4-FFF2-40B4-BE49-F238E27FC236}">
              <a16:creationId xmlns:a16="http://schemas.microsoft.com/office/drawing/2014/main" id="{00000000-0008-0000-0000-00000D000000}"/>
            </a:ext>
          </a:extLst>
        </xdr:cNvPr>
        <xdr:cNvSpPr txBox="1"/>
      </xdr:nvSpPr>
      <xdr:spPr>
        <a:xfrm>
          <a:off x="8267700" y="33520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166</xdr:row>
      <xdr:rowOff>0</xdr:rowOff>
    </xdr:from>
    <xdr:ext cx="65" cy="172227"/>
    <xdr:sp macro="" textlink="">
      <xdr:nvSpPr>
        <xdr:cNvPr id="7990" name="TextBox 7989">
          <a:extLst>
            <a:ext uri="{FF2B5EF4-FFF2-40B4-BE49-F238E27FC236}">
              <a16:creationId xmlns:a16="http://schemas.microsoft.com/office/drawing/2014/main" id="{00000000-0008-0000-0000-00000E000000}"/>
            </a:ext>
          </a:extLst>
        </xdr:cNvPr>
        <xdr:cNvSpPr txBox="1"/>
      </xdr:nvSpPr>
      <xdr:spPr>
        <a:xfrm>
          <a:off x="8267700" y="33718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166</xdr:row>
      <xdr:rowOff>0</xdr:rowOff>
    </xdr:from>
    <xdr:ext cx="65" cy="172227"/>
    <xdr:sp macro="" textlink="">
      <xdr:nvSpPr>
        <xdr:cNvPr id="7991" name="TextBox 7990">
          <a:extLst>
            <a:ext uri="{FF2B5EF4-FFF2-40B4-BE49-F238E27FC236}">
              <a16:creationId xmlns:a16="http://schemas.microsoft.com/office/drawing/2014/main" id="{00000000-0008-0000-0000-00000F000000}"/>
            </a:ext>
          </a:extLst>
        </xdr:cNvPr>
        <xdr:cNvSpPr txBox="1"/>
      </xdr:nvSpPr>
      <xdr:spPr>
        <a:xfrm>
          <a:off x="8267700" y="33718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167</xdr:row>
      <xdr:rowOff>0</xdr:rowOff>
    </xdr:from>
    <xdr:ext cx="65" cy="172227"/>
    <xdr:sp macro="" textlink="">
      <xdr:nvSpPr>
        <xdr:cNvPr id="7992" name="TextBox 7991">
          <a:extLst>
            <a:ext uri="{FF2B5EF4-FFF2-40B4-BE49-F238E27FC236}">
              <a16:creationId xmlns:a16="http://schemas.microsoft.com/office/drawing/2014/main" id="{00000000-0008-0000-0000-000010000000}"/>
            </a:ext>
          </a:extLst>
        </xdr:cNvPr>
        <xdr:cNvSpPr txBox="1"/>
      </xdr:nvSpPr>
      <xdr:spPr>
        <a:xfrm>
          <a:off x="8267700" y="3391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167</xdr:row>
      <xdr:rowOff>0</xdr:rowOff>
    </xdr:from>
    <xdr:ext cx="65" cy="172227"/>
    <xdr:sp macro="" textlink="">
      <xdr:nvSpPr>
        <xdr:cNvPr id="7993" name="TextBox 7992">
          <a:extLst>
            <a:ext uri="{FF2B5EF4-FFF2-40B4-BE49-F238E27FC236}">
              <a16:creationId xmlns:a16="http://schemas.microsoft.com/office/drawing/2014/main" id="{00000000-0008-0000-0000-000011000000}"/>
            </a:ext>
          </a:extLst>
        </xdr:cNvPr>
        <xdr:cNvSpPr txBox="1"/>
      </xdr:nvSpPr>
      <xdr:spPr>
        <a:xfrm>
          <a:off x="8267700" y="3391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168</xdr:row>
      <xdr:rowOff>0</xdr:rowOff>
    </xdr:from>
    <xdr:ext cx="65" cy="172227"/>
    <xdr:sp macro="" textlink="">
      <xdr:nvSpPr>
        <xdr:cNvPr id="7994" name="TextBox 7993">
          <a:extLst>
            <a:ext uri="{FF2B5EF4-FFF2-40B4-BE49-F238E27FC236}">
              <a16:creationId xmlns:a16="http://schemas.microsoft.com/office/drawing/2014/main" id="{00000000-0008-0000-0000-000012000000}"/>
            </a:ext>
          </a:extLst>
        </xdr:cNvPr>
        <xdr:cNvSpPr txBox="1"/>
      </xdr:nvSpPr>
      <xdr:spPr>
        <a:xfrm>
          <a:off x="8267700" y="34114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168</xdr:row>
      <xdr:rowOff>0</xdr:rowOff>
    </xdr:from>
    <xdr:ext cx="65" cy="172227"/>
    <xdr:sp macro="" textlink="">
      <xdr:nvSpPr>
        <xdr:cNvPr id="7995" name="TextBox 7994">
          <a:extLst>
            <a:ext uri="{FF2B5EF4-FFF2-40B4-BE49-F238E27FC236}">
              <a16:creationId xmlns:a16="http://schemas.microsoft.com/office/drawing/2014/main" id="{00000000-0008-0000-0000-000013000000}"/>
            </a:ext>
          </a:extLst>
        </xdr:cNvPr>
        <xdr:cNvSpPr txBox="1"/>
      </xdr:nvSpPr>
      <xdr:spPr>
        <a:xfrm>
          <a:off x="8267700" y="34114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169</xdr:row>
      <xdr:rowOff>0</xdr:rowOff>
    </xdr:from>
    <xdr:ext cx="65" cy="172227"/>
    <xdr:sp macro="" textlink="">
      <xdr:nvSpPr>
        <xdr:cNvPr id="7996" name="TextBox 7995">
          <a:extLst>
            <a:ext uri="{FF2B5EF4-FFF2-40B4-BE49-F238E27FC236}">
              <a16:creationId xmlns:a16="http://schemas.microsoft.com/office/drawing/2014/main" id="{00000000-0008-0000-0000-000014000000}"/>
            </a:ext>
          </a:extLst>
        </xdr:cNvPr>
        <xdr:cNvSpPr txBox="1"/>
      </xdr:nvSpPr>
      <xdr:spPr>
        <a:xfrm>
          <a:off x="8267700" y="34312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169</xdr:row>
      <xdr:rowOff>0</xdr:rowOff>
    </xdr:from>
    <xdr:ext cx="65" cy="172227"/>
    <xdr:sp macro="" textlink="">
      <xdr:nvSpPr>
        <xdr:cNvPr id="7997" name="TextBox 7996">
          <a:extLst>
            <a:ext uri="{FF2B5EF4-FFF2-40B4-BE49-F238E27FC236}">
              <a16:creationId xmlns:a16="http://schemas.microsoft.com/office/drawing/2014/main" id="{00000000-0008-0000-0000-000015000000}"/>
            </a:ext>
          </a:extLst>
        </xdr:cNvPr>
        <xdr:cNvSpPr txBox="1"/>
      </xdr:nvSpPr>
      <xdr:spPr>
        <a:xfrm>
          <a:off x="8267700" y="34312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7998" name="TextBox 7997">
          <a:extLst>
            <a:ext uri="{FF2B5EF4-FFF2-40B4-BE49-F238E27FC236}">
              <a16:creationId xmlns:a16="http://schemas.microsoft.com/office/drawing/2014/main" id="{00000000-0008-0000-0000-00001600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7999" name="TextBox 7998">
          <a:extLst>
            <a:ext uri="{FF2B5EF4-FFF2-40B4-BE49-F238E27FC236}">
              <a16:creationId xmlns:a16="http://schemas.microsoft.com/office/drawing/2014/main" id="{00000000-0008-0000-0000-00001700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171</xdr:row>
      <xdr:rowOff>0</xdr:rowOff>
    </xdr:from>
    <xdr:ext cx="65" cy="172227"/>
    <xdr:sp macro="" textlink="">
      <xdr:nvSpPr>
        <xdr:cNvPr id="8000" name="TextBox 7999">
          <a:extLst>
            <a:ext uri="{FF2B5EF4-FFF2-40B4-BE49-F238E27FC236}">
              <a16:creationId xmlns:a16="http://schemas.microsoft.com/office/drawing/2014/main" id="{00000000-0008-0000-0000-00001800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171</xdr:row>
      <xdr:rowOff>0</xdr:rowOff>
    </xdr:from>
    <xdr:ext cx="65" cy="172227"/>
    <xdr:sp macro="" textlink="">
      <xdr:nvSpPr>
        <xdr:cNvPr id="8001" name="TextBox 8000">
          <a:extLst>
            <a:ext uri="{FF2B5EF4-FFF2-40B4-BE49-F238E27FC236}">
              <a16:creationId xmlns:a16="http://schemas.microsoft.com/office/drawing/2014/main" id="{00000000-0008-0000-0000-00001900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172</xdr:row>
      <xdr:rowOff>0</xdr:rowOff>
    </xdr:from>
    <xdr:ext cx="65" cy="172227"/>
    <xdr:sp macro="" textlink="">
      <xdr:nvSpPr>
        <xdr:cNvPr id="8002" name="TextBox 8001">
          <a:extLst>
            <a:ext uri="{FF2B5EF4-FFF2-40B4-BE49-F238E27FC236}">
              <a16:creationId xmlns:a16="http://schemas.microsoft.com/office/drawing/2014/main" id="{00000000-0008-0000-0000-00001A000000}"/>
            </a:ext>
          </a:extLst>
        </xdr:cNvPr>
        <xdr:cNvSpPr txBox="1"/>
      </xdr:nvSpPr>
      <xdr:spPr>
        <a:xfrm>
          <a:off x="8267700" y="34998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172</xdr:row>
      <xdr:rowOff>0</xdr:rowOff>
    </xdr:from>
    <xdr:ext cx="65" cy="172227"/>
    <xdr:sp macro="" textlink="">
      <xdr:nvSpPr>
        <xdr:cNvPr id="8003" name="TextBox 8002">
          <a:extLst>
            <a:ext uri="{FF2B5EF4-FFF2-40B4-BE49-F238E27FC236}">
              <a16:creationId xmlns:a16="http://schemas.microsoft.com/office/drawing/2014/main" id="{00000000-0008-0000-0000-00001B000000}"/>
            </a:ext>
          </a:extLst>
        </xdr:cNvPr>
        <xdr:cNvSpPr txBox="1"/>
      </xdr:nvSpPr>
      <xdr:spPr>
        <a:xfrm>
          <a:off x="8267700" y="34998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173</xdr:row>
      <xdr:rowOff>0</xdr:rowOff>
    </xdr:from>
    <xdr:ext cx="65" cy="172227"/>
    <xdr:sp macro="" textlink="">
      <xdr:nvSpPr>
        <xdr:cNvPr id="8004" name="TextBox 8003">
          <a:extLst>
            <a:ext uri="{FF2B5EF4-FFF2-40B4-BE49-F238E27FC236}">
              <a16:creationId xmlns:a16="http://schemas.microsoft.com/office/drawing/2014/main" id="{00000000-0008-0000-0000-00001C000000}"/>
            </a:ext>
          </a:extLst>
        </xdr:cNvPr>
        <xdr:cNvSpPr txBox="1"/>
      </xdr:nvSpPr>
      <xdr:spPr>
        <a:xfrm>
          <a:off x="8267700" y="35227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173</xdr:row>
      <xdr:rowOff>0</xdr:rowOff>
    </xdr:from>
    <xdr:ext cx="65" cy="172227"/>
    <xdr:sp macro="" textlink="">
      <xdr:nvSpPr>
        <xdr:cNvPr id="8005" name="TextBox 8004">
          <a:extLst>
            <a:ext uri="{FF2B5EF4-FFF2-40B4-BE49-F238E27FC236}">
              <a16:creationId xmlns:a16="http://schemas.microsoft.com/office/drawing/2014/main" id="{00000000-0008-0000-0000-00001D000000}"/>
            </a:ext>
          </a:extLst>
        </xdr:cNvPr>
        <xdr:cNvSpPr txBox="1"/>
      </xdr:nvSpPr>
      <xdr:spPr>
        <a:xfrm>
          <a:off x="8267700" y="35227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179</xdr:row>
      <xdr:rowOff>0</xdr:rowOff>
    </xdr:from>
    <xdr:ext cx="65" cy="172227"/>
    <xdr:sp macro="" textlink="">
      <xdr:nvSpPr>
        <xdr:cNvPr id="8006" name="TextBox 8005">
          <a:extLst>
            <a:ext uri="{FF2B5EF4-FFF2-40B4-BE49-F238E27FC236}">
              <a16:creationId xmlns:a16="http://schemas.microsoft.com/office/drawing/2014/main" id="{00000000-0008-0000-0000-00001E000000}"/>
            </a:ext>
          </a:extLst>
        </xdr:cNvPr>
        <xdr:cNvSpPr txBox="1"/>
      </xdr:nvSpPr>
      <xdr:spPr>
        <a:xfrm>
          <a:off x="8267700" y="36324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179</xdr:row>
      <xdr:rowOff>0</xdr:rowOff>
    </xdr:from>
    <xdr:ext cx="65" cy="172227"/>
    <xdr:sp macro="" textlink="">
      <xdr:nvSpPr>
        <xdr:cNvPr id="8007" name="TextBox 8006">
          <a:extLst>
            <a:ext uri="{FF2B5EF4-FFF2-40B4-BE49-F238E27FC236}">
              <a16:creationId xmlns:a16="http://schemas.microsoft.com/office/drawing/2014/main" id="{00000000-0008-0000-0000-00001F000000}"/>
            </a:ext>
          </a:extLst>
        </xdr:cNvPr>
        <xdr:cNvSpPr txBox="1"/>
      </xdr:nvSpPr>
      <xdr:spPr>
        <a:xfrm>
          <a:off x="8267700" y="36324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180</xdr:row>
      <xdr:rowOff>0</xdr:rowOff>
    </xdr:from>
    <xdr:ext cx="65" cy="172227"/>
    <xdr:sp macro="" textlink="">
      <xdr:nvSpPr>
        <xdr:cNvPr id="8008" name="TextBox 8007">
          <a:extLst>
            <a:ext uri="{FF2B5EF4-FFF2-40B4-BE49-F238E27FC236}">
              <a16:creationId xmlns:a16="http://schemas.microsoft.com/office/drawing/2014/main" id="{00000000-0008-0000-0000-000020000000}"/>
            </a:ext>
          </a:extLst>
        </xdr:cNvPr>
        <xdr:cNvSpPr txBox="1"/>
      </xdr:nvSpPr>
      <xdr:spPr>
        <a:xfrm>
          <a:off x="8267700" y="36507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180</xdr:row>
      <xdr:rowOff>0</xdr:rowOff>
    </xdr:from>
    <xdr:ext cx="65" cy="172227"/>
    <xdr:sp macro="" textlink="">
      <xdr:nvSpPr>
        <xdr:cNvPr id="8009" name="TextBox 8008">
          <a:extLst>
            <a:ext uri="{FF2B5EF4-FFF2-40B4-BE49-F238E27FC236}">
              <a16:creationId xmlns:a16="http://schemas.microsoft.com/office/drawing/2014/main" id="{00000000-0008-0000-0000-000021000000}"/>
            </a:ext>
          </a:extLst>
        </xdr:cNvPr>
        <xdr:cNvSpPr txBox="1"/>
      </xdr:nvSpPr>
      <xdr:spPr>
        <a:xfrm>
          <a:off x="8267700" y="36507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181</xdr:row>
      <xdr:rowOff>0</xdr:rowOff>
    </xdr:from>
    <xdr:ext cx="65" cy="172227"/>
    <xdr:sp macro="" textlink="">
      <xdr:nvSpPr>
        <xdr:cNvPr id="8010" name="TextBox 8009">
          <a:extLst>
            <a:ext uri="{FF2B5EF4-FFF2-40B4-BE49-F238E27FC236}">
              <a16:creationId xmlns:a16="http://schemas.microsoft.com/office/drawing/2014/main" id="{00000000-0008-0000-0000-000022000000}"/>
            </a:ext>
          </a:extLst>
        </xdr:cNvPr>
        <xdr:cNvSpPr txBox="1"/>
      </xdr:nvSpPr>
      <xdr:spPr>
        <a:xfrm>
          <a:off x="8267700" y="36690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181</xdr:row>
      <xdr:rowOff>0</xdr:rowOff>
    </xdr:from>
    <xdr:ext cx="65" cy="172227"/>
    <xdr:sp macro="" textlink="">
      <xdr:nvSpPr>
        <xdr:cNvPr id="8011" name="TextBox 8010">
          <a:extLst>
            <a:ext uri="{FF2B5EF4-FFF2-40B4-BE49-F238E27FC236}">
              <a16:creationId xmlns:a16="http://schemas.microsoft.com/office/drawing/2014/main" id="{00000000-0008-0000-0000-000023000000}"/>
            </a:ext>
          </a:extLst>
        </xdr:cNvPr>
        <xdr:cNvSpPr txBox="1"/>
      </xdr:nvSpPr>
      <xdr:spPr>
        <a:xfrm>
          <a:off x="8267700" y="36690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182</xdr:row>
      <xdr:rowOff>0</xdr:rowOff>
    </xdr:from>
    <xdr:ext cx="65" cy="172227"/>
    <xdr:sp macro="" textlink="">
      <xdr:nvSpPr>
        <xdr:cNvPr id="8012" name="TextBox 8011">
          <a:extLst>
            <a:ext uri="{FF2B5EF4-FFF2-40B4-BE49-F238E27FC236}">
              <a16:creationId xmlns:a16="http://schemas.microsoft.com/office/drawing/2014/main" id="{00000000-0008-0000-0000-000024000000}"/>
            </a:ext>
          </a:extLst>
        </xdr:cNvPr>
        <xdr:cNvSpPr txBox="1"/>
      </xdr:nvSpPr>
      <xdr:spPr>
        <a:xfrm>
          <a:off x="8267700" y="36873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182</xdr:row>
      <xdr:rowOff>0</xdr:rowOff>
    </xdr:from>
    <xdr:ext cx="65" cy="172227"/>
    <xdr:sp macro="" textlink="">
      <xdr:nvSpPr>
        <xdr:cNvPr id="8013" name="TextBox 8012">
          <a:extLst>
            <a:ext uri="{FF2B5EF4-FFF2-40B4-BE49-F238E27FC236}">
              <a16:creationId xmlns:a16="http://schemas.microsoft.com/office/drawing/2014/main" id="{00000000-0008-0000-0000-000025000000}"/>
            </a:ext>
          </a:extLst>
        </xdr:cNvPr>
        <xdr:cNvSpPr txBox="1"/>
      </xdr:nvSpPr>
      <xdr:spPr>
        <a:xfrm>
          <a:off x="8267700" y="36873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183</xdr:row>
      <xdr:rowOff>0</xdr:rowOff>
    </xdr:from>
    <xdr:ext cx="65" cy="172227"/>
    <xdr:sp macro="" textlink="">
      <xdr:nvSpPr>
        <xdr:cNvPr id="8014" name="TextBox 8013">
          <a:extLst>
            <a:ext uri="{FF2B5EF4-FFF2-40B4-BE49-F238E27FC236}">
              <a16:creationId xmlns:a16="http://schemas.microsoft.com/office/drawing/2014/main" id="{00000000-0008-0000-0000-000026000000}"/>
            </a:ext>
          </a:extLst>
        </xdr:cNvPr>
        <xdr:cNvSpPr txBox="1"/>
      </xdr:nvSpPr>
      <xdr:spPr>
        <a:xfrm>
          <a:off x="8267700" y="37056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183</xdr:row>
      <xdr:rowOff>0</xdr:rowOff>
    </xdr:from>
    <xdr:ext cx="65" cy="172227"/>
    <xdr:sp macro="" textlink="">
      <xdr:nvSpPr>
        <xdr:cNvPr id="8015" name="TextBox 8014">
          <a:extLst>
            <a:ext uri="{FF2B5EF4-FFF2-40B4-BE49-F238E27FC236}">
              <a16:creationId xmlns:a16="http://schemas.microsoft.com/office/drawing/2014/main" id="{00000000-0008-0000-0000-000027000000}"/>
            </a:ext>
          </a:extLst>
        </xdr:cNvPr>
        <xdr:cNvSpPr txBox="1"/>
      </xdr:nvSpPr>
      <xdr:spPr>
        <a:xfrm>
          <a:off x="8267700" y="37056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189</xdr:row>
      <xdr:rowOff>0</xdr:rowOff>
    </xdr:from>
    <xdr:ext cx="65" cy="172227"/>
    <xdr:sp macro="" textlink="">
      <xdr:nvSpPr>
        <xdr:cNvPr id="8016" name="TextBox 8015">
          <a:extLst>
            <a:ext uri="{FF2B5EF4-FFF2-40B4-BE49-F238E27FC236}">
              <a16:creationId xmlns:a16="http://schemas.microsoft.com/office/drawing/2014/main" id="{00000000-0008-0000-0000-000028000000}"/>
            </a:ext>
          </a:extLst>
        </xdr:cNvPr>
        <xdr:cNvSpPr txBox="1"/>
      </xdr:nvSpPr>
      <xdr:spPr>
        <a:xfrm>
          <a:off x="8267700" y="38153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189</xdr:row>
      <xdr:rowOff>0</xdr:rowOff>
    </xdr:from>
    <xdr:ext cx="65" cy="172227"/>
    <xdr:sp macro="" textlink="">
      <xdr:nvSpPr>
        <xdr:cNvPr id="8017" name="TextBox 8016">
          <a:extLst>
            <a:ext uri="{FF2B5EF4-FFF2-40B4-BE49-F238E27FC236}">
              <a16:creationId xmlns:a16="http://schemas.microsoft.com/office/drawing/2014/main" id="{00000000-0008-0000-0000-000029000000}"/>
            </a:ext>
          </a:extLst>
        </xdr:cNvPr>
        <xdr:cNvSpPr txBox="1"/>
      </xdr:nvSpPr>
      <xdr:spPr>
        <a:xfrm>
          <a:off x="8267700" y="38153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190</xdr:row>
      <xdr:rowOff>0</xdr:rowOff>
    </xdr:from>
    <xdr:ext cx="65" cy="172227"/>
    <xdr:sp macro="" textlink="">
      <xdr:nvSpPr>
        <xdr:cNvPr id="8018" name="TextBox 8017">
          <a:extLst>
            <a:ext uri="{FF2B5EF4-FFF2-40B4-BE49-F238E27FC236}">
              <a16:creationId xmlns:a16="http://schemas.microsoft.com/office/drawing/2014/main" id="{00000000-0008-0000-0000-00002A000000}"/>
            </a:ext>
          </a:extLst>
        </xdr:cNvPr>
        <xdr:cNvSpPr txBox="1"/>
      </xdr:nvSpPr>
      <xdr:spPr>
        <a:xfrm>
          <a:off x="8267700" y="38336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190</xdr:row>
      <xdr:rowOff>0</xdr:rowOff>
    </xdr:from>
    <xdr:ext cx="65" cy="172227"/>
    <xdr:sp macro="" textlink="">
      <xdr:nvSpPr>
        <xdr:cNvPr id="8019" name="TextBox 8018">
          <a:extLst>
            <a:ext uri="{FF2B5EF4-FFF2-40B4-BE49-F238E27FC236}">
              <a16:creationId xmlns:a16="http://schemas.microsoft.com/office/drawing/2014/main" id="{00000000-0008-0000-0000-00002B000000}"/>
            </a:ext>
          </a:extLst>
        </xdr:cNvPr>
        <xdr:cNvSpPr txBox="1"/>
      </xdr:nvSpPr>
      <xdr:spPr>
        <a:xfrm>
          <a:off x="8267700" y="38336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191</xdr:row>
      <xdr:rowOff>0</xdr:rowOff>
    </xdr:from>
    <xdr:ext cx="65" cy="172227"/>
    <xdr:sp macro="" textlink="">
      <xdr:nvSpPr>
        <xdr:cNvPr id="8020" name="TextBox 8019">
          <a:extLst>
            <a:ext uri="{FF2B5EF4-FFF2-40B4-BE49-F238E27FC236}">
              <a16:creationId xmlns:a16="http://schemas.microsoft.com/office/drawing/2014/main" id="{00000000-0008-0000-0000-00002C000000}"/>
            </a:ext>
          </a:extLst>
        </xdr:cNvPr>
        <xdr:cNvSpPr txBox="1"/>
      </xdr:nvSpPr>
      <xdr:spPr>
        <a:xfrm>
          <a:off x="8267700" y="38519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191</xdr:row>
      <xdr:rowOff>0</xdr:rowOff>
    </xdr:from>
    <xdr:ext cx="65" cy="172227"/>
    <xdr:sp macro="" textlink="">
      <xdr:nvSpPr>
        <xdr:cNvPr id="8021" name="TextBox 8020">
          <a:extLst>
            <a:ext uri="{FF2B5EF4-FFF2-40B4-BE49-F238E27FC236}">
              <a16:creationId xmlns:a16="http://schemas.microsoft.com/office/drawing/2014/main" id="{00000000-0008-0000-0000-00002D000000}"/>
            </a:ext>
          </a:extLst>
        </xdr:cNvPr>
        <xdr:cNvSpPr txBox="1"/>
      </xdr:nvSpPr>
      <xdr:spPr>
        <a:xfrm>
          <a:off x="8267700" y="38519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192</xdr:row>
      <xdr:rowOff>0</xdr:rowOff>
    </xdr:from>
    <xdr:ext cx="65" cy="172227"/>
    <xdr:sp macro="" textlink="">
      <xdr:nvSpPr>
        <xdr:cNvPr id="8022" name="TextBox 8021">
          <a:extLst>
            <a:ext uri="{FF2B5EF4-FFF2-40B4-BE49-F238E27FC236}">
              <a16:creationId xmlns:a16="http://schemas.microsoft.com/office/drawing/2014/main" id="{00000000-0008-0000-0000-00002E000000}"/>
            </a:ext>
          </a:extLst>
        </xdr:cNvPr>
        <xdr:cNvSpPr txBox="1"/>
      </xdr:nvSpPr>
      <xdr:spPr>
        <a:xfrm>
          <a:off x="8267700" y="38701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192</xdr:row>
      <xdr:rowOff>0</xdr:rowOff>
    </xdr:from>
    <xdr:ext cx="65" cy="172227"/>
    <xdr:sp macro="" textlink="">
      <xdr:nvSpPr>
        <xdr:cNvPr id="8023" name="TextBox 8022">
          <a:extLst>
            <a:ext uri="{FF2B5EF4-FFF2-40B4-BE49-F238E27FC236}">
              <a16:creationId xmlns:a16="http://schemas.microsoft.com/office/drawing/2014/main" id="{00000000-0008-0000-0000-00002F000000}"/>
            </a:ext>
          </a:extLst>
        </xdr:cNvPr>
        <xdr:cNvSpPr txBox="1"/>
      </xdr:nvSpPr>
      <xdr:spPr>
        <a:xfrm>
          <a:off x="8267700" y="38701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193</xdr:row>
      <xdr:rowOff>0</xdr:rowOff>
    </xdr:from>
    <xdr:ext cx="65" cy="172227"/>
    <xdr:sp macro="" textlink="">
      <xdr:nvSpPr>
        <xdr:cNvPr id="8024" name="TextBox 8023">
          <a:extLst>
            <a:ext uri="{FF2B5EF4-FFF2-40B4-BE49-F238E27FC236}">
              <a16:creationId xmlns:a16="http://schemas.microsoft.com/office/drawing/2014/main" id="{00000000-0008-0000-0000-000030000000}"/>
            </a:ext>
          </a:extLst>
        </xdr:cNvPr>
        <xdr:cNvSpPr txBox="1"/>
      </xdr:nvSpPr>
      <xdr:spPr>
        <a:xfrm>
          <a:off x="8267700" y="38884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193</xdr:row>
      <xdr:rowOff>0</xdr:rowOff>
    </xdr:from>
    <xdr:ext cx="65" cy="172227"/>
    <xdr:sp macro="" textlink="">
      <xdr:nvSpPr>
        <xdr:cNvPr id="8025" name="TextBox 8024">
          <a:extLst>
            <a:ext uri="{FF2B5EF4-FFF2-40B4-BE49-F238E27FC236}">
              <a16:creationId xmlns:a16="http://schemas.microsoft.com/office/drawing/2014/main" id="{00000000-0008-0000-0000-000031000000}"/>
            </a:ext>
          </a:extLst>
        </xdr:cNvPr>
        <xdr:cNvSpPr txBox="1"/>
      </xdr:nvSpPr>
      <xdr:spPr>
        <a:xfrm>
          <a:off x="8267700" y="38884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197</xdr:row>
      <xdr:rowOff>0</xdr:rowOff>
    </xdr:from>
    <xdr:ext cx="65" cy="172227"/>
    <xdr:sp macro="" textlink="">
      <xdr:nvSpPr>
        <xdr:cNvPr id="8026" name="TextBox 8025">
          <a:extLst>
            <a:ext uri="{FF2B5EF4-FFF2-40B4-BE49-F238E27FC236}">
              <a16:creationId xmlns:a16="http://schemas.microsoft.com/office/drawing/2014/main" id="{00000000-0008-0000-0000-000032000000}"/>
            </a:ext>
          </a:extLst>
        </xdr:cNvPr>
        <xdr:cNvSpPr txBox="1"/>
      </xdr:nvSpPr>
      <xdr:spPr>
        <a:xfrm>
          <a:off x="8267700" y="39616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197</xdr:row>
      <xdr:rowOff>0</xdr:rowOff>
    </xdr:from>
    <xdr:ext cx="65" cy="172227"/>
    <xdr:sp macro="" textlink="">
      <xdr:nvSpPr>
        <xdr:cNvPr id="8027" name="TextBox 8026">
          <a:extLst>
            <a:ext uri="{FF2B5EF4-FFF2-40B4-BE49-F238E27FC236}">
              <a16:creationId xmlns:a16="http://schemas.microsoft.com/office/drawing/2014/main" id="{00000000-0008-0000-0000-000033000000}"/>
            </a:ext>
          </a:extLst>
        </xdr:cNvPr>
        <xdr:cNvSpPr txBox="1"/>
      </xdr:nvSpPr>
      <xdr:spPr>
        <a:xfrm>
          <a:off x="8267700" y="39616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197</xdr:row>
      <xdr:rowOff>0</xdr:rowOff>
    </xdr:from>
    <xdr:ext cx="65" cy="172227"/>
    <xdr:sp macro="" textlink="">
      <xdr:nvSpPr>
        <xdr:cNvPr id="8028" name="TextBox 8027">
          <a:extLst>
            <a:ext uri="{FF2B5EF4-FFF2-40B4-BE49-F238E27FC236}">
              <a16:creationId xmlns:a16="http://schemas.microsoft.com/office/drawing/2014/main" id="{00000000-0008-0000-0000-000034000000}"/>
            </a:ext>
          </a:extLst>
        </xdr:cNvPr>
        <xdr:cNvSpPr txBox="1"/>
      </xdr:nvSpPr>
      <xdr:spPr>
        <a:xfrm>
          <a:off x="8267700" y="39616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197</xdr:row>
      <xdr:rowOff>0</xdr:rowOff>
    </xdr:from>
    <xdr:ext cx="65" cy="172227"/>
    <xdr:sp macro="" textlink="">
      <xdr:nvSpPr>
        <xdr:cNvPr id="8029" name="TextBox 8028">
          <a:extLst>
            <a:ext uri="{FF2B5EF4-FFF2-40B4-BE49-F238E27FC236}">
              <a16:creationId xmlns:a16="http://schemas.microsoft.com/office/drawing/2014/main" id="{00000000-0008-0000-0000-000035000000}"/>
            </a:ext>
          </a:extLst>
        </xdr:cNvPr>
        <xdr:cNvSpPr txBox="1"/>
      </xdr:nvSpPr>
      <xdr:spPr>
        <a:xfrm>
          <a:off x="8267700" y="39616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197</xdr:row>
      <xdr:rowOff>0</xdr:rowOff>
    </xdr:from>
    <xdr:ext cx="65" cy="172227"/>
    <xdr:sp macro="" textlink="">
      <xdr:nvSpPr>
        <xdr:cNvPr id="8030" name="TextBox 8029">
          <a:extLst>
            <a:ext uri="{FF2B5EF4-FFF2-40B4-BE49-F238E27FC236}">
              <a16:creationId xmlns:a16="http://schemas.microsoft.com/office/drawing/2014/main" id="{00000000-0008-0000-0000-000036000000}"/>
            </a:ext>
          </a:extLst>
        </xdr:cNvPr>
        <xdr:cNvSpPr txBox="1"/>
      </xdr:nvSpPr>
      <xdr:spPr>
        <a:xfrm>
          <a:off x="8267700" y="39616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197</xdr:row>
      <xdr:rowOff>0</xdr:rowOff>
    </xdr:from>
    <xdr:ext cx="65" cy="172227"/>
    <xdr:sp macro="" textlink="">
      <xdr:nvSpPr>
        <xdr:cNvPr id="8031" name="TextBox 8030">
          <a:extLst>
            <a:ext uri="{FF2B5EF4-FFF2-40B4-BE49-F238E27FC236}">
              <a16:creationId xmlns:a16="http://schemas.microsoft.com/office/drawing/2014/main" id="{00000000-0008-0000-0000-000037000000}"/>
            </a:ext>
          </a:extLst>
        </xdr:cNvPr>
        <xdr:cNvSpPr txBox="1"/>
      </xdr:nvSpPr>
      <xdr:spPr>
        <a:xfrm>
          <a:off x="8267700" y="39616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197</xdr:row>
      <xdr:rowOff>0</xdr:rowOff>
    </xdr:from>
    <xdr:ext cx="65" cy="172227"/>
    <xdr:sp macro="" textlink="">
      <xdr:nvSpPr>
        <xdr:cNvPr id="8032" name="TextBox 8031">
          <a:extLst>
            <a:ext uri="{FF2B5EF4-FFF2-40B4-BE49-F238E27FC236}">
              <a16:creationId xmlns:a16="http://schemas.microsoft.com/office/drawing/2014/main" id="{00000000-0008-0000-0000-000038000000}"/>
            </a:ext>
          </a:extLst>
        </xdr:cNvPr>
        <xdr:cNvSpPr txBox="1"/>
      </xdr:nvSpPr>
      <xdr:spPr>
        <a:xfrm>
          <a:off x="8267700" y="39616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197</xdr:row>
      <xdr:rowOff>0</xdr:rowOff>
    </xdr:from>
    <xdr:ext cx="65" cy="172227"/>
    <xdr:sp macro="" textlink="">
      <xdr:nvSpPr>
        <xdr:cNvPr id="8033" name="TextBox 8032">
          <a:extLst>
            <a:ext uri="{FF2B5EF4-FFF2-40B4-BE49-F238E27FC236}">
              <a16:creationId xmlns:a16="http://schemas.microsoft.com/office/drawing/2014/main" id="{00000000-0008-0000-0000-000039000000}"/>
            </a:ext>
          </a:extLst>
        </xdr:cNvPr>
        <xdr:cNvSpPr txBox="1"/>
      </xdr:nvSpPr>
      <xdr:spPr>
        <a:xfrm>
          <a:off x="8267700" y="39616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197</xdr:row>
      <xdr:rowOff>0</xdr:rowOff>
    </xdr:from>
    <xdr:ext cx="65" cy="172227"/>
    <xdr:sp macro="" textlink="">
      <xdr:nvSpPr>
        <xdr:cNvPr id="8034" name="TextBox 8033">
          <a:extLst>
            <a:ext uri="{FF2B5EF4-FFF2-40B4-BE49-F238E27FC236}">
              <a16:creationId xmlns:a16="http://schemas.microsoft.com/office/drawing/2014/main" id="{00000000-0008-0000-0000-00003A000000}"/>
            </a:ext>
          </a:extLst>
        </xdr:cNvPr>
        <xdr:cNvSpPr txBox="1"/>
      </xdr:nvSpPr>
      <xdr:spPr>
        <a:xfrm>
          <a:off x="8267700" y="39616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197</xdr:row>
      <xdr:rowOff>0</xdr:rowOff>
    </xdr:from>
    <xdr:ext cx="65" cy="172227"/>
    <xdr:sp macro="" textlink="">
      <xdr:nvSpPr>
        <xdr:cNvPr id="8035" name="TextBox 8034">
          <a:extLst>
            <a:ext uri="{FF2B5EF4-FFF2-40B4-BE49-F238E27FC236}">
              <a16:creationId xmlns:a16="http://schemas.microsoft.com/office/drawing/2014/main" id="{00000000-0008-0000-0000-00003B000000}"/>
            </a:ext>
          </a:extLst>
        </xdr:cNvPr>
        <xdr:cNvSpPr txBox="1"/>
      </xdr:nvSpPr>
      <xdr:spPr>
        <a:xfrm>
          <a:off x="8267700" y="39616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197</xdr:row>
      <xdr:rowOff>0</xdr:rowOff>
    </xdr:from>
    <xdr:ext cx="65" cy="172227"/>
    <xdr:sp macro="" textlink="">
      <xdr:nvSpPr>
        <xdr:cNvPr id="8036" name="TextBox 8035">
          <a:extLst>
            <a:ext uri="{FF2B5EF4-FFF2-40B4-BE49-F238E27FC236}">
              <a16:creationId xmlns:a16="http://schemas.microsoft.com/office/drawing/2014/main" id="{00000000-0008-0000-0000-00003C000000}"/>
            </a:ext>
          </a:extLst>
        </xdr:cNvPr>
        <xdr:cNvSpPr txBox="1"/>
      </xdr:nvSpPr>
      <xdr:spPr>
        <a:xfrm>
          <a:off x="8267700" y="39616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197</xdr:row>
      <xdr:rowOff>0</xdr:rowOff>
    </xdr:from>
    <xdr:ext cx="65" cy="172227"/>
    <xdr:sp macro="" textlink="">
      <xdr:nvSpPr>
        <xdr:cNvPr id="8037" name="TextBox 8036">
          <a:extLst>
            <a:ext uri="{FF2B5EF4-FFF2-40B4-BE49-F238E27FC236}">
              <a16:creationId xmlns:a16="http://schemas.microsoft.com/office/drawing/2014/main" id="{00000000-0008-0000-0000-00003D000000}"/>
            </a:ext>
          </a:extLst>
        </xdr:cNvPr>
        <xdr:cNvSpPr txBox="1"/>
      </xdr:nvSpPr>
      <xdr:spPr>
        <a:xfrm>
          <a:off x="8267700" y="39616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197</xdr:row>
      <xdr:rowOff>0</xdr:rowOff>
    </xdr:from>
    <xdr:ext cx="65" cy="172227"/>
    <xdr:sp macro="" textlink="">
      <xdr:nvSpPr>
        <xdr:cNvPr id="8038" name="TextBox 8037">
          <a:extLst>
            <a:ext uri="{FF2B5EF4-FFF2-40B4-BE49-F238E27FC236}">
              <a16:creationId xmlns:a16="http://schemas.microsoft.com/office/drawing/2014/main" id="{00000000-0008-0000-0000-00003E000000}"/>
            </a:ext>
          </a:extLst>
        </xdr:cNvPr>
        <xdr:cNvSpPr txBox="1"/>
      </xdr:nvSpPr>
      <xdr:spPr>
        <a:xfrm>
          <a:off x="8267700" y="39616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197</xdr:row>
      <xdr:rowOff>0</xdr:rowOff>
    </xdr:from>
    <xdr:ext cx="65" cy="172227"/>
    <xdr:sp macro="" textlink="">
      <xdr:nvSpPr>
        <xdr:cNvPr id="8039" name="TextBox 8038">
          <a:extLst>
            <a:ext uri="{FF2B5EF4-FFF2-40B4-BE49-F238E27FC236}">
              <a16:creationId xmlns:a16="http://schemas.microsoft.com/office/drawing/2014/main" id="{00000000-0008-0000-0000-00003F000000}"/>
            </a:ext>
          </a:extLst>
        </xdr:cNvPr>
        <xdr:cNvSpPr txBox="1"/>
      </xdr:nvSpPr>
      <xdr:spPr>
        <a:xfrm>
          <a:off x="8267700" y="39616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197</xdr:row>
      <xdr:rowOff>0</xdr:rowOff>
    </xdr:from>
    <xdr:ext cx="65" cy="172227"/>
    <xdr:sp macro="" textlink="">
      <xdr:nvSpPr>
        <xdr:cNvPr id="8040" name="TextBox 8039">
          <a:extLst>
            <a:ext uri="{FF2B5EF4-FFF2-40B4-BE49-F238E27FC236}">
              <a16:creationId xmlns:a16="http://schemas.microsoft.com/office/drawing/2014/main" id="{00000000-0008-0000-0000-000040000000}"/>
            </a:ext>
          </a:extLst>
        </xdr:cNvPr>
        <xdr:cNvSpPr txBox="1"/>
      </xdr:nvSpPr>
      <xdr:spPr>
        <a:xfrm>
          <a:off x="8267700" y="39616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197</xdr:row>
      <xdr:rowOff>0</xdr:rowOff>
    </xdr:from>
    <xdr:ext cx="65" cy="172227"/>
    <xdr:sp macro="" textlink="">
      <xdr:nvSpPr>
        <xdr:cNvPr id="8041" name="TextBox 8040">
          <a:extLst>
            <a:ext uri="{FF2B5EF4-FFF2-40B4-BE49-F238E27FC236}">
              <a16:creationId xmlns:a16="http://schemas.microsoft.com/office/drawing/2014/main" id="{00000000-0008-0000-0000-000041000000}"/>
            </a:ext>
          </a:extLst>
        </xdr:cNvPr>
        <xdr:cNvSpPr txBox="1"/>
      </xdr:nvSpPr>
      <xdr:spPr>
        <a:xfrm>
          <a:off x="8267700" y="39616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197</xdr:row>
      <xdr:rowOff>0</xdr:rowOff>
    </xdr:from>
    <xdr:ext cx="65" cy="172227"/>
    <xdr:sp macro="" textlink="">
      <xdr:nvSpPr>
        <xdr:cNvPr id="8042" name="TextBox 8041">
          <a:extLst>
            <a:ext uri="{FF2B5EF4-FFF2-40B4-BE49-F238E27FC236}">
              <a16:creationId xmlns:a16="http://schemas.microsoft.com/office/drawing/2014/main" id="{00000000-0008-0000-0000-000042000000}"/>
            </a:ext>
          </a:extLst>
        </xdr:cNvPr>
        <xdr:cNvSpPr txBox="1"/>
      </xdr:nvSpPr>
      <xdr:spPr>
        <a:xfrm>
          <a:off x="8267700" y="39616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197</xdr:row>
      <xdr:rowOff>0</xdr:rowOff>
    </xdr:from>
    <xdr:ext cx="65" cy="172227"/>
    <xdr:sp macro="" textlink="">
      <xdr:nvSpPr>
        <xdr:cNvPr id="8043" name="TextBox 8042">
          <a:extLst>
            <a:ext uri="{FF2B5EF4-FFF2-40B4-BE49-F238E27FC236}">
              <a16:creationId xmlns:a16="http://schemas.microsoft.com/office/drawing/2014/main" id="{00000000-0008-0000-0000-000043000000}"/>
            </a:ext>
          </a:extLst>
        </xdr:cNvPr>
        <xdr:cNvSpPr txBox="1"/>
      </xdr:nvSpPr>
      <xdr:spPr>
        <a:xfrm>
          <a:off x="8267700" y="39616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197</xdr:row>
      <xdr:rowOff>0</xdr:rowOff>
    </xdr:from>
    <xdr:ext cx="65" cy="172227"/>
    <xdr:sp macro="" textlink="">
      <xdr:nvSpPr>
        <xdr:cNvPr id="8044" name="TextBox 8043">
          <a:extLst>
            <a:ext uri="{FF2B5EF4-FFF2-40B4-BE49-F238E27FC236}">
              <a16:creationId xmlns:a16="http://schemas.microsoft.com/office/drawing/2014/main" id="{00000000-0008-0000-0000-000044000000}"/>
            </a:ext>
          </a:extLst>
        </xdr:cNvPr>
        <xdr:cNvSpPr txBox="1"/>
      </xdr:nvSpPr>
      <xdr:spPr>
        <a:xfrm>
          <a:off x="8267700" y="39616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197</xdr:row>
      <xdr:rowOff>0</xdr:rowOff>
    </xdr:from>
    <xdr:ext cx="65" cy="172227"/>
    <xdr:sp macro="" textlink="">
      <xdr:nvSpPr>
        <xdr:cNvPr id="8045" name="TextBox 8044">
          <a:extLst>
            <a:ext uri="{FF2B5EF4-FFF2-40B4-BE49-F238E27FC236}">
              <a16:creationId xmlns:a16="http://schemas.microsoft.com/office/drawing/2014/main" id="{00000000-0008-0000-0000-000045000000}"/>
            </a:ext>
          </a:extLst>
        </xdr:cNvPr>
        <xdr:cNvSpPr txBox="1"/>
      </xdr:nvSpPr>
      <xdr:spPr>
        <a:xfrm>
          <a:off x="8267700" y="39616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166</xdr:row>
      <xdr:rowOff>0</xdr:rowOff>
    </xdr:from>
    <xdr:ext cx="65" cy="172227"/>
    <xdr:sp macro="" textlink="">
      <xdr:nvSpPr>
        <xdr:cNvPr id="8046" name="TextBox 8045">
          <a:extLst>
            <a:ext uri="{FF2B5EF4-FFF2-40B4-BE49-F238E27FC236}">
              <a16:creationId xmlns:a16="http://schemas.microsoft.com/office/drawing/2014/main" id="{00000000-0008-0000-0000-000048000000}"/>
            </a:ext>
          </a:extLst>
        </xdr:cNvPr>
        <xdr:cNvSpPr txBox="1"/>
      </xdr:nvSpPr>
      <xdr:spPr>
        <a:xfrm>
          <a:off x="8267700" y="33718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166</xdr:row>
      <xdr:rowOff>0</xdr:rowOff>
    </xdr:from>
    <xdr:ext cx="65" cy="172227"/>
    <xdr:sp macro="" textlink="">
      <xdr:nvSpPr>
        <xdr:cNvPr id="8047" name="TextBox 8046">
          <a:extLst>
            <a:ext uri="{FF2B5EF4-FFF2-40B4-BE49-F238E27FC236}">
              <a16:creationId xmlns:a16="http://schemas.microsoft.com/office/drawing/2014/main" id="{00000000-0008-0000-0000-000049000000}"/>
            </a:ext>
          </a:extLst>
        </xdr:cNvPr>
        <xdr:cNvSpPr txBox="1"/>
      </xdr:nvSpPr>
      <xdr:spPr>
        <a:xfrm>
          <a:off x="8267700" y="33718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167</xdr:row>
      <xdr:rowOff>0</xdr:rowOff>
    </xdr:from>
    <xdr:ext cx="65" cy="172227"/>
    <xdr:sp macro="" textlink="">
      <xdr:nvSpPr>
        <xdr:cNvPr id="8048" name="TextBox 8047">
          <a:extLst>
            <a:ext uri="{FF2B5EF4-FFF2-40B4-BE49-F238E27FC236}">
              <a16:creationId xmlns:a16="http://schemas.microsoft.com/office/drawing/2014/main" id="{00000000-0008-0000-0000-00004C000000}"/>
            </a:ext>
          </a:extLst>
        </xdr:cNvPr>
        <xdr:cNvSpPr txBox="1"/>
      </xdr:nvSpPr>
      <xdr:spPr>
        <a:xfrm>
          <a:off x="8267700" y="3391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167</xdr:row>
      <xdr:rowOff>0</xdr:rowOff>
    </xdr:from>
    <xdr:ext cx="65" cy="172227"/>
    <xdr:sp macro="" textlink="">
      <xdr:nvSpPr>
        <xdr:cNvPr id="8049" name="TextBox 8048">
          <a:extLst>
            <a:ext uri="{FF2B5EF4-FFF2-40B4-BE49-F238E27FC236}">
              <a16:creationId xmlns:a16="http://schemas.microsoft.com/office/drawing/2014/main" id="{00000000-0008-0000-0000-00004D000000}"/>
            </a:ext>
          </a:extLst>
        </xdr:cNvPr>
        <xdr:cNvSpPr txBox="1"/>
      </xdr:nvSpPr>
      <xdr:spPr>
        <a:xfrm>
          <a:off x="8267700" y="3391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168</xdr:row>
      <xdr:rowOff>0</xdr:rowOff>
    </xdr:from>
    <xdr:ext cx="65" cy="172227"/>
    <xdr:sp macro="" textlink="">
      <xdr:nvSpPr>
        <xdr:cNvPr id="8050" name="TextBox 8049">
          <a:extLst>
            <a:ext uri="{FF2B5EF4-FFF2-40B4-BE49-F238E27FC236}">
              <a16:creationId xmlns:a16="http://schemas.microsoft.com/office/drawing/2014/main" id="{00000000-0008-0000-0000-00004E000000}"/>
            </a:ext>
          </a:extLst>
        </xdr:cNvPr>
        <xdr:cNvSpPr txBox="1"/>
      </xdr:nvSpPr>
      <xdr:spPr>
        <a:xfrm>
          <a:off x="8267700" y="34114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168</xdr:row>
      <xdr:rowOff>0</xdr:rowOff>
    </xdr:from>
    <xdr:ext cx="65" cy="172227"/>
    <xdr:sp macro="" textlink="">
      <xdr:nvSpPr>
        <xdr:cNvPr id="8051" name="TextBox 8050">
          <a:extLst>
            <a:ext uri="{FF2B5EF4-FFF2-40B4-BE49-F238E27FC236}">
              <a16:creationId xmlns:a16="http://schemas.microsoft.com/office/drawing/2014/main" id="{00000000-0008-0000-0000-00004F000000}"/>
            </a:ext>
          </a:extLst>
        </xdr:cNvPr>
        <xdr:cNvSpPr txBox="1"/>
      </xdr:nvSpPr>
      <xdr:spPr>
        <a:xfrm>
          <a:off x="8267700" y="34114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168</xdr:row>
      <xdr:rowOff>0</xdr:rowOff>
    </xdr:from>
    <xdr:ext cx="65" cy="172227"/>
    <xdr:sp macro="" textlink="">
      <xdr:nvSpPr>
        <xdr:cNvPr id="8052" name="TextBox 8051">
          <a:extLst>
            <a:ext uri="{FF2B5EF4-FFF2-40B4-BE49-F238E27FC236}">
              <a16:creationId xmlns:a16="http://schemas.microsoft.com/office/drawing/2014/main" id="{00000000-0008-0000-0000-000050000000}"/>
            </a:ext>
          </a:extLst>
        </xdr:cNvPr>
        <xdr:cNvSpPr txBox="1"/>
      </xdr:nvSpPr>
      <xdr:spPr>
        <a:xfrm>
          <a:off x="8267700" y="34114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168</xdr:row>
      <xdr:rowOff>0</xdr:rowOff>
    </xdr:from>
    <xdr:ext cx="65" cy="172227"/>
    <xdr:sp macro="" textlink="">
      <xdr:nvSpPr>
        <xdr:cNvPr id="8053" name="TextBox 8052">
          <a:extLst>
            <a:ext uri="{FF2B5EF4-FFF2-40B4-BE49-F238E27FC236}">
              <a16:creationId xmlns:a16="http://schemas.microsoft.com/office/drawing/2014/main" id="{00000000-0008-0000-0000-000051000000}"/>
            </a:ext>
          </a:extLst>
        </xdr:cNvPr>
        <xdr:cNvSpPr txBox="1"/>
      </xdr:nvSpPr>
      <xdr:spPr>
        <a:xfrm>
          <a:off x="8267700" y="34114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165</xdr:row>
      <xdr:rowOff>0</xdr:rowOff>
    </xdr:from>
    <xdr:ext cx="65" cy="172227"/>
    <xdr:sp macro="" textlink="">
      <xdr:nvSpPr>
        <xdr:cNvPr id="8054" name="TextBox 8053">
          <a:extLst>
            <a:ext uri="{FF2B5EF4-FFF2-40B4-BE49-F238E27FC236}">
              <a16:creationId xmlns:a16="http://schemas.microsoft.com/office/drawing/2014/main" id="{00000000-0008-0000-0000-000052000000}"/>
            </a:ext>
          </a:extLst>
        </xdr:cNvPr>
        <xdr:cNvSpPr txBox="1"/>
      </xdr:nvSpPr>
      <xdr:spPr>
        <a:xfrm>
          <a:off x="8267700" y="33520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165</xdr:row>
      <xdr:rowOff>0</xdr:rowOff>
    </xdr:from>
    <xdr:ext cx="65" cy="172227"/>
    <xdr:sp macro="" textlink="">
      <xdr:nvSpPr>
        <xdr:cNvPr id="8055" name="TextBox 8054">
          <a:extLst>
            <a:ext uri="{FF2B5EF4-FFF2-40B4-BE49-F238E27FC236}">
              <a16:creationId xmlns:a16="http://schemas.microsoft.com/office/drawing/2014/main" id="{00000000-0008-0000-0000-000053000000}"/>
            </a:ext>
          </a:extLst>
        </xdr:cNvPr>
        <xdr:cNvSpPr txBox="1"/>
      </xdr:nvSpPr>
      <xdr:spPr>
        <a:xfrm>
          <a:off x="8267700" y="33520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166</xdr:row>
      <xdr:rowOff>0</xdr:rowOff>
    </xdr:from>
    <xdr:ext cx="65" cy="172227"/>
    <xdr:sp macro="" textlink="">
      <xdr:nvSpPr>
        <xdr:cNvPr id="8056" name="TextBox 8055">
          <a:extLst>
            <a:ext uri="{FF2B5EF4-FFF2-40B4-BE49-F238E27FC236}">
              <a16:creationId xmlns:a16="http://schemas.microsoft.com/office/drawing/2014/main" id="{00000000-0008-0000-0000-000054000000}"/>
            </a:ext>
          </a:extLst>
        </xdr:cNvPr>
        <xdr:cNvSpPr txBox="1"/>
      </xdr:nvSpPr>
      <xdr:spPr>
        <a:xfrm>
          <a:off x="8267700" y="33718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166</xdr:row>
      <xdr:rowOff>0</xdr:rowOff>
    </xdr:from>
    <xdr:ext cx="65" cy="172227"/>
    <xdr:sp macro="" textlink="">
      <xdr:nvSpPr>
        <xdr:cNvPr id="8057" name="TextBox 8056">
          <a:extLst>
            <a:ext uri="{FF2B5EF4-FFF2-40B4-BE49-F238E27FC236}">
              <a16:creationId xmlns:a16="http://schemas.microsoft.com/office/drawing/2014/main" id="{00000000-0008-0000-0000-000055000000}"/>
            </a:ext>
          </a:extLst>
        </xdr:cNvPr>
        <xdr:cNvSpPr txBox="1"/>
      </xdr:nvSpPr>
      <xdr:spPr>
        <a:xfrm>
          <a:off x="8267700" y="33718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166</xdr:row>
      <xdr:rowOff>0</xdr:rowOff>
    </xdr:from>
    <xdr:ext cx="65" cy="172227"/>
    <xdr:sp macro="" textlink="">
      <xdr:nvSpPr>
        <xdr:cNvPr id="8058" name="TextBox 8057">
          <a:extLst>
            <a:ext uri="{FF2B5EF4-FFF2-40B4-BE49-F238E27FC236}">
              <a16:creationId xmlns:a16="http://schemas.microsoft.com/office/drawing/2014/main" id="{00000000-0008-0000-0000-000056000000}"/>
            </a:ext>
          </a:extLst>
        </xdr:cNvPr>
        <xdr:cNvSpPr txBox="1"/>
      </xdr:nvSpPr>
      <xdr:spPr>
        <a:xfrm>
          <a:off x="8267700" y="33718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166</xdr:row>
      <xdr:rowOff>0</xdr:rowOff>
    </xdr:from>
    <xdr:ext cx="65" cy="172227"/>
    <xdr:sp macro="" textlink="">
      <xdr:nvSpPr>
        <xdr:cNvPr id="8059" name="TextBox 8058">
          <a:extLst>
            <a:ext uri="{FF2B5EF4-FFF2-40B4-BE49-F238E27FC236}">
              <a16:creationId xmlns:a16="http://schemas.microsoft.com/office/drawing/2014/main" id="{00000000-0008-0000-0000-000057000000}"/>
            </a:ext>
          </a:extLst>
        </xdr:cNvPr>
        <xdr:cNvSpPr txBox="1"/>
      </xdr:nvSpPr>
      <xdr:spPr>
        <a:xfrm>
          <a:off x="8267700" y="33718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167</xdr:row>
      <xdr:rowOff>0</xdr:rowOff>
    </xdr:from>
    <xdr:ext cx="65" cy="172227"/>
    <xdr:sp macro="" textlink="">
      <xdr:nvSpPr>
        <xdr:cNvPr id="8060" name="TextBox 8059">
          <a:extLst>
            <a:ext uri="{FF2B5EF4-FFF2-40B4-BE49-F238E27FC236}">
              <a16:creationId xmlns:a16="http://schemas.microsoft.com/office/drawing/2014/main" id="{00000000-0008-0000-0000-000058000000}"/>
            </a:ext>
          </a:extLst>
        </xdr:cNvPr>
        <xdr:cNvSpPr txBox="1"/>
      </xdr:nvSpPr>
      <xdr:spPr>
        <a:xfrm>
          <a:off x="8267700" y="3391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167</xdr:row>
      <xdr:rowOff>0</xdr:rowOff>
    </xdr:from>
    <xdr:ext cx="65" cy="172227"/>
    <xdr:sp macro="" textlink="">
      <xdr:nvSpPr>
        <xdr:cNvPr id="8061" name="TextBox 8060">
          <a:extLst>
            <a:ext uri="{FF2B5EF4-FFF2-40B4-BE49-F238E27FC236}">
              <a16:creationId xmlns:a16="http://schemas.microsoft.com/office/drawing/2014/main" id="{00000000-0008-0000-0000-000059000000}"/>
            </a:ext>
          </a:extLst>
        </xdr:cNvPr>
        <xdr:cNvSpPr txBox="1"/>
      </xdr:nvSpPr>
      <xdr:spPr>
        <a:xfrm>
          <a:off x="8267700" y="3391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167</xdr:row>
      <xdr:rowOff>0</xdr:rowOff>
    </xdr:from>
    <xdr:ext cx="65" cy="172227"/>
    <xdr:sp macro="" textlink="">
      <xdr:nvSpPr>
        <xdr:cNvPr id="8062" name="TextBox 8061">
          <a:extLst>
            <a:ext uri="{FF2B5EF4-FFF2-40B4-BE49-F238E27FC236}">
              <a16:creationId xmlns:a16="http://schemas.microsoft.com/office/drawing/2014/main" id="{00000000-0008-0000-0000-00005A000000}"/>
            </a:ext>
          </a:extLst>
        </xdr:cNvPr>
        <xdr:cNvSpPr txBox="1"/>
      </xdr:nvSpPr>
      <xdr:spPr>
        <a:xfrm>
          <a:off x="8267700" y="3391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167</xdr:row>
      <xdr:rowOff>0</xdr:rowOff>
    </xdr:from>
    <xdr:ext cx="65" cy="172227"/>
    <xdr:sp macro="" textlink="">
      <xdr:nvSpPr>
        <xdr:cNvPr id="8063" name="TextBox 8062">
          <a:extLst>
            <a:ext uri="{FF2B5EF4-FFF2-40B4-BE49-F238E27FC236}">
              <a16:creationId xmlns:a16="http://schemas.microsoft.com/office/drawing/2014/main" id="{00000000-0008-0000-0000-00005B000000}"/>
            </a:ext>
          </a:extLst>
        </xdr:cNvPr>
        <xdr:cNvSpPr txBox="1"/>
      </xdr:nvSpPr>
      <xdr:spPr>
        <a:xfrm>
          <a:off x="8267700" y="3391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167</xdr:row>
      <xdr:rowOff>0</xdr:rowOff>
    </xdr:from>
    <xdr:ext cx="65" cy="172227"/>
    <xdr:sp macro="" textlink="">
      <xdr:nvSpPr>
        <xdr:cNvPr id="8064" name="TextBox 8063">
          <a:extLst>
            <a:ext uri="{FF2B5EF4-FFF2-40B4-BE49-F238E27FC236}">
              <a16:creationId xmlns:a16="http://schemas.microsoft.com/office/drawing/2014/main" id="{00000000-0008-0000-0000-00005C000000}"/>
            </a:ext>
          </a:extLst>
        </xdr:cNvPr>
        <xdr:cNvSpPr txBox="1"/>
      </xdr:nvSpPr>
      <xdr:spPr>
        <a:xfrm>
          <a:off x="8267700" y="3391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167</xdr:row>
      <xdr:rowOff>0</xdr:rowOff>
    </xdr:from>
    <xdr:ext cx="65" cy="172227"/>
    <xdr:sp macro="" textlink="">
      <xdr:nvSpPr>
        <xdr:cNvPr id="8065" name="TextBox 8064">
          <a:extLst>
            <a:ext uri="{FF2B5EF4-FFF2-40B4-BE49-F238E27FC236}">
              <a16:creationId xmlns:a16="http://schemas.microsoft.com/office/drawing/2014/main" id="{00000000-0008-0000-0000-00005D000000}"/>
            </a:ext>
          </a:extLst>
        </xdr:cNvPr>
        <xdr:cNvSpPr txBox="1"/>
      </xdr:nvSpPr>
      <xdr:spPr>
        <a:xfrm>
          <a:off x="8267700" y="3391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167</xdr:row>
      <xdr:rowOff>0</xdr:rowOff>
    </xdr:from>
    <xdr:ext cx="65" cy="172227"/>
    <xdr:sp macro="" textlink="">
      <xdr:nvSpPr>
        <xdr:cNvPr id="8066" name="TextBox 8065">
          <a:extLst>
            <a:ext uri="{FF2B5EF4-FFF2-40B4-BE49-F238E27FC236}">
              <a16:creationId xmlns:a16="http://schemas.microsoft.com/office/drawing/2014/main" id="{00000000-0008-0000-0000-00005E000000}"/>
            </a:ext>
          </a:extLst>
        </xdr:cNvPr>
        <xdr:cNvSpPr txBox="1"/>
      </xdr:nvSpPr>
      <xdr:spPr>
        <a:xfrm>
          <a:off x="8267700" y="3391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167</xdr:row>
      <xdr:rowOff>0</xdr:rowOff>
    </xdr:from>
    <xdr:ext cx="65" cy="172227"/>
    <xdr:sp macro="" textlink="">
      <xdr:nvSpPr>
        <xdr:cNvPr id="8067" name="TextBox 8066">
          <a:extLst>
            <a:ext uri="{FF2B5EF4-FFF2-40B4-BE49-F238E27FC236}">
              <a16:creationId xmlns:a16="http://schemas.microsoft.com/office/drawing/2014/main" id="{00000000-0008-0000-0000-00005F000000}"/>
            </a:ext>
          </a:extLst>
        </xdr:cNvPr>
        <xdr:cNvSpPr txBox="1"/>
      </xdr:nvSpPr>
      <xdr:spPr>
        <a:xfrm>
          <a:off x="8267700" y="3391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165</xdr:row>
      <xdr:rowOff>0</xdr:rowOff>
    </xdr:from>
    <xdr:ext cx="65" cy="172227"/>
    <xdr:sp macro="" textlink="">
      <xdr:nvSpPr>
        <xdr:cNvPr id="8068" name="TextBox 8067">
          <a:extLst>
            <a:ext uri="{FF2B5EF4-FFF2-40B4-BE49-F238E27FC236}">
              <a16:creationId xmlns:a16="http://schemas.microsoft.com/office/drawing/2014/main" id="{00000000-0008-0000-0000-000060000000}"/>
            </a:ext>
          </a:extLst>
        </xdr:cNvPr>
        <xdr:cNvSpPr txBox="1"/>
      </xdr:nvSpPr>
      <xdr:spPr>
        <a:xfrm>
          <a:off x="8267700" y="33520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165</xdr:row>
      <xdr:rowOff>0</xdr:rowOff>
    </xdr:from>
    <xdr:ext cx="65" cy="172227"/>
    <xdr:sp macro="" textlink="">
      <xdr:nvSpPr>
        <xdr:cNvPr id="8069" name="TextBox 8068">
          <a:extLst>
            <a:ext uri="{FF2B5EF4-FFF2-40B4-BE49-F238E27FC236}">
              <a16:creationId xmlns:a16="http://schemas.microsoft.com/office/drawing/2014/main" id="{00000000-0008-0000-0000-000061000000}"/>
            </a:ext>
          </a:extLst>
        </xdr:cNvPr>
        <xdr:cNvSpPr txBox="1"/>
      </xdr:nvSpPr>
      <xdr:spPr>
        <a:xfrm>
          <a:off x="8267700" y="33520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165</xdr:row>
      <xdr:rowOff>0</xdr:rowOff>
    </xdr:from>
    <xdr:ext cx="65" cy="172227"/>
    <xdr:sp macro="" textlink="">
      <xdr:nvSpPr>
        <xdr:cNvPr id="8070" name="TextBox 8069">
          <a:extLst>
            <a:ext uri="{FF2B5EF4-FFF2-40B4-BE49-F238E27FC236}">
              <a16:creationId xmlns:a16="http://schemas.microsoft.com/office/drawing/2014/main" id="{00000000-0008-0000-0000-000062000000}"/>
            </a:ext>
          </a:extLst>
        </xdr:cNvPr>
        <xdr:cNvSpPr txBox="1"/>
      </xdr:nvSpPr>
      <xdr:spPr>
        <a:xfrm>
          <a:off x="8267700" y="33520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165</xdr:row>
      <xdr:rowOff>0</xdr:rowOff>
    </xdr:from>
    <xdr:ext cx="65" cy="172227"/>
    <xdr:sp macro="" textlink="">
      <xdr:nvSpPr>
        <xdr:cNvPr id="8071" name="TextBox 8070">
          <a:extLst>
            <a:ext uri="{FF2B5EF4-FFF2-40B4-BE49-F238E27FC236}">
              <a16:creationId xmlns:a16="http://schemas.microsoft.com/office/drawing/2014/main" id="{00000000-0008-0000-0000-000063000000}"/>
            </a:ext>
          </a:extLst>
        </xdr:cNvPr>
        <xdr:cNvSpPr txBox="1"/>
      </xdr:nvSpPr>
      <xdr:spPr>
        <a:xfrm>
          <a:off x="8267700" y="33520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166</xdr:row>
      <xdr:rowOff>0</xdr:rowOff>
    </xdr:from>
    <xdr:ext cx="65" cy="172227"/>
    <xdr:sp macro="" textlink="">
      <xdr:nvSpPr>
        <xdr:cNvPr id="8072" name="TextBox 8071">
          <a:extLst>
            <a:ext uri="{FF2B5EF4-FFF2-40B4-BE49-F238E27FC236}">
              <a16:creationId xmlns:a16="http://schemas.microsoft.com/office/drawing/2014/main" id="{00000000-0008-0000-0000-000064000000}"/>
            </a:ext>
          </a:extLst>
        </xdr:cNvPr>
        <xdr:cNvSpPr txBox="1"/>
      </xdr:nvSpPr>
      <xdr:spPr>
        <a:xfrm>
          <a:off x="8267700" y="33718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166</xdr:row>
      <xdr:rowOff>0</xdr:rowOff>
    </xdr:from>
    <xdr:ext cx="65" cy="172227"/>
    <xdr:sp macro="" textlink="">
      <xdr:nvSpPr>
        <xdr:cNvPr id="8073" name="TextBox 8072">
          <a:extLst>
            <a:ext uri="{FF2B5EF4-FFF2-40B4-BE49-F238E27FC236}">
              <a16:creationId xmlns:a16="http://schemas.microsoft.com/office/drawing/2014/main" id="{00000000-0008-0000-0000-000065000000}"/>
            </a:ext>
          </a:extLst>
        </xdr:cNvPr>
        <xdr:cNvSpPr txBox="1"/>
      </xdr:nvSpPr>
      <xdr:spPr>
        <a:xfrm>
          <a:off x="8267700" y="33718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166</xdr:row>
      <xdr:rowOff>0</xdr:rowOff>
    </xdr:from>
    <xdr:ext cx="65" cy="172227"/>
    <xdr:sp macro="" textlink="">
      <xdr:nvSpPr>
        <xdr:cNvPr id="8074" name="TextBox 8073">
          <a:extLst>
            <a:ext uri="{FF2B5EF4-FFF2-40B4-BE49-F238E27FC236}">
              <a16:creationId xmlns:a16="http://schemas.microsoft.com/office/drawing/2014/main" id="{00000000-0008-0000-0000-000066000000}"/>
            </a:ext>
          </a:extLst>
        </xdr:cNvPr>
        <xdr:cNvSpPr txBox="1"/>
      </xdr:nvSpPr>
      <xdr:spPr>
        <a:xfrm>
          <a:off x="8267700" y="33718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166</xdr:row>
      <xdr:rowOff>0</xdr:rowOff>
    </xdr:from>
    <xdr:ext cx="65" cy="172227"/>
    <xdr:sp macro="" textlink="">
      <xdr:nvSpPr>
        <xdr:cNvPr id="8075" name="TextBox 8074">
          <a:extLst>
            <a:ext uri="{FF2B5EF4-FFF2-40B4-BE49-F238E27FC236}">
              <a16:creationId xmlns:a16="http://schemas.microsoft.com/office/drawing/2014/main" id="{00000000-0008-0000-0000-000067000000}"/>
            </a:ext>
          </a:extLst>
        </xdr:cNvPr>
        <xdr:cNvSpPr txBox="1"/>
      </xdr:nvSpPr>
      <xdr:spPr>
        <a:xfrm>
          <a:off x="8267700" y="33718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166</xdr:row>
      <xdr:rowOff>0</xdr:rowOff>
    </xdr:from>
    <xdr:ext cx="65" cy="172227"/>
    <xdr:sp macro="" textlink="">
      <xdr:nvSpPr>
        <xdr:cNvPr id="8076" name="TextBox 8075">
          <a:extLst>
            <a:ext uri="{FF2B5EF4-FFF2-40B4-BE49-F238E27FC236}">
              <a16:creationId xmlns:a16="http://schemas.microsoft.com/office/drawing/2014/main" id="{00000000-0008-0000-0000-000068000000}"/>
            </a:ext>
          </a:extLst>
        </xdr:cNvPr>
        <xdr:cNvSpPr txBox="1"/>
      </xdr:nvSpPr>
      <xdr:spPr>
        <a:xfrm>
          <a:off x="8267700" y="33718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166</xdr:row>
      <xdr:rowOff>0</xdr:rowOff>
    </xdr:from>
    <xdr:ext cx="65" cy="172227"/>
    <xdr:sp macro="" textlink="">
      <xdr:nvSpPr>
        <xdr:cNvPr id="8077" name="TextBox 8076">
          <a:extLst>
            <a:ext uri="{FF2B5EF4-FFF2-40B4-BE49-F238E27FC236}">
              <a16:creationId xmlns:a16="http://schemas.microsoft.com/office/drawing/2014/main" id="{00000000-0008-0000-0000-000069000000}"/>
            </a:ext>
          </a:extLst>
        </xdr:cNvPr>
        <xdr:cNvSpPr txBox="1"/>
      </xdr:nvSpPr>
      <xdr:spPr>
        <a:xfrm>
          <a:off x="8267700" y="33718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166</xdr:row>
      <xdr:rowOff>0</xdr:rowOff>
    </xdr:from>
    <xdr:ext cx="65" cy="172227"/>
    <xdr:sp macro="" textlink="">
      <xdr:nvSpPr>
        <xdr:cNvPr id="8078" name="TextBox 8077">
          <a:extLst>
            <a:ext uri="{FF2B5EF4-FFF2-40B4-BE49-F238E27FC236}">
              <a16:creationId xmlns:a16="http://schemas.microsoft.com/office/drawing/2014/main" id="{00000000-0008-0000-0000-00006A000000}"/>
            </a:ext>
          </a:extLst>
        </xdr:cNvPr>
        <xdr:cNvSpPr txBox="1"/>
      </xdr:nvSpPr>
      <xdr:spPr>
        <a:xfrm>
          <a:off x="8267700" y="33718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166</xdr:row>
      <xdr:rowOff>0</xdr:rowOff>
    </xdr:from>
    <xdr:ext cx="65" cy="172227"/>
    <xdr:sp macro="" textlink="">
      <xdr:nvSpPr>
        <xdr:cNvPr id="8079" name="TextBox 8078">
          <a:extLst>
            <a:ext uri="{FF2B5EF4-FFF2-40B4-BE49-F238E27FC236}">
              <a16:creationId xmlns:a16="http://schemas.microsoft.com/office/drawing/2014/main" id="{00000000-0008-0000-0000-00006B000000}"/>
            </a:ext>
          </a:extLst>
        </xdr:cNvPr>
        <xdr:cNvSpPr txBox="1"/>
      </xdr:nvSpPr>
      <xdr:spPr>
        <a:xfrm>
          <a:off x="8267700" y="33718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166</xdr:row>
      <xdr:rowOff>0</xdr:rowOff>
    </xdr:from>
    <xdr:ext cx="65" cy="172227"/>
    <xdr:sp macro="" textlink="">
      <xdr:nvSpPr>
        <xdr:cNvPr id="8080" name="TextBox 8079">
          <a:extLst>
            <a:ext uri="{FF2B5EF4-FFF2-40B4-BE49-F238E27FC236}">
              <a16:creationId xmlns:a16="http://schemas.microsoft.com/office/drawing/2014/main" id="{00000000-0008-0000-0000-00006C000000}"/>
            </a:ext>
          </a:extLst>
        </xdr:cNvPr>
        <xdr:cNvSpPr txBox="1"/>
      </xdr:nvSpPr>
      <xdr:spPr>
        <a:xfrm>
          <a:off x="8267700" y="33718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166</xdr:row>
      <xdr:rowOff>0</xdr:rowOff>
    </xdr:from>
    <xdr:ext cx="65" cy="172227"/>
    <xdr:sp macro="" textlink="">
      <xdr:nvSpPr>
        <xdr:cNvPr id="8081" name="TextBox 8080">
          <a:extLst>
            <a:ext uri="{FF2B5EF4-FFF2-40B4-BE49-F238E27FC236}">
              <a16:creationId xmlns:a16="http://schemas.microsoft.com/office/drawing/2014/main" id="{00000000-0008-0000-0000-00006D000000}"/>
            </a:ext>
          </a:extLst>
        </xdr:cNvPr>
        <xdr:cNvSpPr txBox="1"/>
      </xdr:nvSpPr>
      <xdr:spPr>
        <a:xfrm>
          <a:off x="8267700" y="33718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166</xdr:row>
      <xdr:rowOff>0</xdr:rowOff>
    </xdr:from>
    <xdr:ext cx="65" cy="172227"/>
    <xdr:sp macro="" textlink="">
      <xdr:nvSpPr>
        <xdr:cNvPr id="8082" name="TextBox 8081">
          <a:extLst>
            <a:ext uri="{FF2B5EF4-FFF2-40B4-BE49-F238E27FC236}">
              <a16:creationId xmlns:a16="http://schemas.microsoft.com/office/drawing/2014/main" id="{00000000-0008-0000-0000-00006E000000}"/>
            </a:ext>
          </a:extLst>
        </xdr:cNvPr>
        <xdr:cNvSpPr txBox="1"/>
      </xdr:nvSpPr>
      <xdr:spPr>
        <a:xfrm>
          <a:off x="8267700" y="33718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166</xdr:row>
      <xdr:rowOff>0</xdr:rowOff>
    </xdr:from>
    <xdr:ext cx="65" cy="172227"/>
    <xdr:sp macro="" textlink="">
      <xdr:nvSpPr>
        <xdr:cNvPr id="8083" name="TextBox 8082">
          <a:extLst>
            <a:ext uri="{FF2B5EF4-FFF2-40B4-BE49-F238E27FC236}">
              <a16:creationId xmlns:a16="http://schemas.microsoft.com/office/drawing/2014/main" id="{00000000-0008-0000-0000-00006F000000}"/>
            </a:ext>
          </a:extLst>
        </xdr:cNvPr>
        <xdr:cNvSpPr txBox="1"/>
      </xdr:nvSpPr>
      <xdr:spPr>
        <a:xfrm>
          <a:off x="8267700" y="33718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166</xdr:row>
      <xdr:rowOff>0</xdr:rowOff>
    </xdr:from>
    <xdr:ext cx="65" cy="172227"/>
    <xdr:sp macro="" textlink="">
      <xdr:nvSpPr>
        <xdr:cNvPr id="8084" name="TextBox 8083">
          <a:extLst>
            <a:ext uri="{FF2B5EF4-FFF2-40B4-BE49-F238E27FC236}">
              <a16:creationId xmlns:a16="http://schemas.microsoft.com/office/drawing/2014/main" id="{00000000-0008-0000-0000-000070000000}"/>
            </a:ext>
          </a:extLst>
        </xdr:cNvPr>
        <xdr:cNvSpPr txBox="1"/>
      </xdr:nvSpPr>
      <xdr:spPr>
        <a:xfrm>
          <a:off x="8267700" y="33718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166</xdr:row>
      <xdr:rowOff>0</xdr:rowOff>
    </xdr:from>
    <xdr:ext cx="65" cy="172227"/>
    <xdr:sp macro="" textlink="">
      <xdr:nvSpPr>
        <xdr:cNvPr id="8085" name="TextBox 8084">
          <a:extLst>
            <a:ext uri="{FF2B5EF4-FFF2-40B4-BE49-F238E27FC236}">
              <a16:creationId xmlns:a16="http://schemas.microsoft.com/office/drawing/2014/main" id="{00000000-0008-0000-0000-000071000000}"/>
            </a:ext>
          </a:extLst>
        </xdr:cNvPr>
        <xdr:cNvSpPr txBox="1"/>
      </xdr:nvSpPr>
      <xdr:spPr>
        <a:xfrm>
          <a:off x="8267700" y="33718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166</xdr:row>
      <xdr:rowOff>0</xdr:rowOff>
    </xdr:from>
    <xdr:ext cx="65" cy="172227"/>
    <xdr:sp macro="" textlink="">
      <xdr:nvSpPr>
        <xdr:cNvPr id="8086" name="TextBox 8085">
          <a:extLst>
            <a:ext uri="{FF2B5EF4-FFF2-40B4-BE49-F238E27FC236}">
              <a16:creationId xmlns:a16="http://schemas.microsoft.com/office/drawing/2014/main" id="{00000000-0008-0000-0000-000072000000}"/>
            </a:ext>
          </a:extLst>
        </xdr:cNvPr>
        <xdr:cNvSpPr txBox="1"/>
      </xdr:nvSpPr>
      <xdr:spPr>
        <a:xfrm>
          <a:off x="8267700" y="33718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166</xdr:row>
      <xdr:rowOff>0</xdr:rowOff>
    </xdr:from>
    <xdr:ext cx="65" cy="172227"/>
    <xdr:sp macro="" textlink="">
      <xdr:nvSpPr>
        <xdr:cNvPr id="8087" name="TextBox 8086">
          <a:extLst>
            <a:ext uri="{FF2B5EF4-FFF2-40B4-BE49-F238E27FC236}">
              <a16:creationId xmlns:a16="http://schemas.microsoft.com/office/drawing/2014/main" id="{00000000-0008-0000-0000-000073000000}"/>
            </a:ext>
          </a:extLst>
        </xdr:cNvPr>
        <xdr:cNvSpPr txBox="1"/>
      </xdr:nvSpPr>
      <xdr:spPr>
        <a:xfrm>
          <a:off x="8267700" y="33718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166</xdr:row>
      <xdr:rowOff>0</xdr:rowOff>
    </xdr:from>
    <xdr:ext cx="65" cy="172227"/>
    <xdr:sp macro="" textlink="">
      <xdr:nvSpPr>
        <xdr:cNvPr id="8088" name="TextBox 8087">
          <a:extLst>
            <a:ext uri="{FF2B5EF4-FFF2-40B4-BE49-F238E27FC236}">
              <a16:creationId xmlns:a16="http://schemas.microsoft.com/office/drawing/2014/main" id="{00000000-0008-0000-0000-000074000000}"/>
            </a:ext>
          </a:extLst>
        </xdr:cNvPr>
        <xdr:cNvSpPr txBox="1"/>
      </xdr:nvSpPr>
      <xdr:spPr>
        <a:xfrm>
          <a:off x="12580620" y="33718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166</xdr:row>
      <xdr:rowOff>0</xdr:rowOff>
    </xdr:from>
    <xdr:ext cx="65" cy="172227"/>
    <xdr:sp macro="" textlink="">
      <xdr:nvSpPr>
        <xdr:cNvPr id="8089" name="TextBox 8088">
          <a:extLst>
            <a:ext uri="{FF2B5EF4-FFF2-40B4-BE49-F238E27FC236}">
              <a16:creationId xmlns:a16="http://schemas.microsoft.com/office/drawing/2014/main" id="{00000000-0008-0000-0000-000075000000}"/>
            </a:ext>
          </a:extLst>
        </xdr:cNvPr>
        <xdr:cNvSpPr txBox="1"/>
      </xdr:nvSpPr>
      <xdr:spPr>
        <a:xfrm>
          <a:off x="12580620" y="33718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166</xdr:row>
      <xdr:rowOff>0</xdr:rowOff>
    </xdr:from>
    <xdr:ext cx="65" cy="172227"/>
    <xdr:sp macro="" textlink="">
      <xdr:nvSpPr>
        <xdr:cNvPr id="8090" name="TextBox 8089">
          <a:extLst>
            <a:ext uri="{FF2B5EF4-FFF2-40B4-BE49-F238E27FC236}">
              <a16:creationId xmlns:a16="http://schemas.microsoft.com/office/drawing/2014/main" id="{00000000-0008-0000-0000-000076000000}"/>
            </a:ext>
          </a:extLst>
        </xdr:cNvPr>
        <xdr:cNvSpPr txBox="1"/>
      </xdr:nvSpPr>
      <xdr:spPr>
        <a:xfrm>
          <a:off x="12580620" y="33718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166</xdr:row>
      <xdr:rowOff>0</xdr:rowOff>
    </xdr:from>
    <xdr:ext cx="65" cy="172227"/>
    <xdr:sp macro="" textlink="">
      <xdr:nvSpPr>
        <xdr:cNvPr id="8091" name="TextBox 8090">
          <a:extLst>
            <a:ext uri="{FF2B5EF4-FFF2-40B4-BE49-F238E27FC236}">
              <a16:creationId xmlns:a16="http://schemas.microsoft.com/office/drawing/2014/main" id="{00000000-0008-0000-0000-000077000000}"/>
            </a:ext>
          </a:extLst>
        </xdr:cNvPr>
        <xdr:cNvSpPr txBox="1"/>
      </xdr:nvSpPr>
      <xdr:spPr>
        <a:xfrm>
          <a:off x="12580620" y="33718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166</xdr:row>
      <xdr:rowOff>0</xdr:rowOff>
    </xdr:from>
    <xdr:ext cx="65" cy="172227"/>
    <xdr:sp macro="" textlink="">
      <xdr:nvSpPr>
        <xdr:cNvPr id="8092" name="TextBox 8091">
          <a:extLst>
            <a:ext uri="{FF2B5EF4-FFF2-40B4-BE49-F238E27FC236}">
              <a16:creationId xmlns:a16="http://schemas.microsoft.com/office/drawing/2014/main" id="{00000000-0008-0000-0000-000078000000}"/>
            </a:ext>
          </a:extLst>
        </xdr:cNvPr>
        <xdr:cNvSpPr txBox="1"/>
      </xdr:nvSpPr>
      <xdr:spPr>
        <a:xfrm>
          <a:off x="12580620" y="33718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166</xdr:row>
      <xdr:rowOff>0</xdr:rowOff>
    </xdr:from>
    <xdr:ext cx="65" cy="172227"/>
    <xdr:sp macro="" textlink="">
      <xdr:nvSpPr>
        <xdr:cNvPr id="8093" name="TextBox 8092">
          <a:extLst>
            <a:ext uri="{FF2B5EF4-FFF2-40B4-BE49-F238E27FC236}">
              <a16:creationId xmlns:a16="http://schemas.microsoft.com/office/drawing/2014/main" id="{00000000-0008-0000-0000-000079000000}"/>
            </a:ext>
          </a:extLst>
        </xdr:cNvPr>
        <xdr:cNvSpPr txBox="1"/>
      </xdr:nvSpPr>
      <xdr:spPr>
        <a:xfrm>
          <a:off x="12580620" y="33718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166</xdr:row>
      <xdr:rowOff>0</xdr:rowOff>
    </xdr:from>
    <xdr:ext cx="65" cy="172227"/>
    <xdr:sp macro="" textlink="">
      <xdr:nvSpPr>
        <xdr:cNvPr id="8094" name="TextBox 8093">
          <a:extLst>
            <a:ext uri="{FF2B5EF4-FFF2-40B4-BE49-F238E27FC236}">
              <a16:creationId xmlns:a16="http://schemas.microsoft.com/office/drawing/2014/main" id="{00000000-0008-0000-0000-00007A000000}"/>
            </a:ext>
          </a:extLst>
        </xdr:cNvPr>
        <xdr:cNvSpPr txBox="1"/>
      </xdr:nvSpPr>
      <xdr:spPr>
        <a:xfrm>
          <a:off x="12580620" y="33718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166</xdr:row>
      <xdr:rowOff>0</xdr:rowOff>
    </xdr:from>
    <xdr:ext cx="65" cy="172227"/>
    <xdr:sp macro="" textlink="">
      <xdr:nvSpPr>
        <xdr:cNvPr id="8095" name="TextBox 8094">
          <a:extLst>
            <a:ext uri="{FF2B5EF4-FFF2-40B4-BE49-F238E27FC236}">
              <a16:creationId xmlns:a16="http://schemas.microsoft.com/office/drawing/2014/main" id="{00000000-0008-0000-0000-00007B000000}"/>
            </a:ext>
          </a:extLst>
        </xdr:cNvPr>
        <xdr:cNvSpPr txBox="1"/>
      </xdr:nvSpPr>
      <xdr:spPr>
        <a:xfrm>
          <a:off x="12580620" y="33718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165</xdr:row>
      <xdr:rowOff>0</xdr:rowOff>
    </xdr:from>
    <xdr:ext cx="65" cy="172227"/>
    <xdr:sp macro="" textlink="">
      <xdr:nvSpPr>
        <xdr:cNvPr id="8096" name="TextBox 8095">
          <a:extLst>
            <a:ext uri="{FF2B5EF4-FFF2-40B4-BE49-F238E27FC236}">
              <a16:creationId xmlns:a16="http://schemas.microsoft.com/office/drawing/2014/main" id="{00000000-0008-0000-0000-00007C000000}"/>
            </a:ext>
          </a:extLst>
        </xdr:cNvPr>
        <xdr:cNvSpPr txBox="1"/>
      </xdr:nvSpPr>
      <xdr:spPr>
        <a:xfrm>
          <a:off x="8267700" y="33520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165</xdr:row>
      <xdr:rowOff>0</xdr:rowOff>
    </xdr:from>
    <xdr:ext cx="65" cy="172227"/>
    <xdr:sp macro="" textlink="">
      <xdr:nvSpPr>
        <xdr:cNvPr id="8097" name="TextBox 8096">
          <a:extLst>
            <a:ext uri="{FF2B5EF4-FFF2-40B4-BE49-F238E27FC236}">
              <a16:creationId xmlns:a16="http://schemas.microsoft.com/office/drawing/2014/main" id="{00000000-0008-0000-0000-00007D000000}"/>
            </a:ext>
          </a:extLst>
        </xdr:cNvPr>
        <xdr:cNvSpPr txBox="1"/>
      </xdr:nvSpPr>
      <xdr:spPr>
        <a:xfrm>
          <a:off x="8267700" y="33520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165</xdr:row>
      <xdr:rowOff>0</xdr:rowOff>
    </xdr:from>
    <xdr:ext cx="65" cy="172227"/>
    <xdr:sp macro="" textlink="">
      <xdr:nvSpPr>
        <xdr:cNvPr id="8098" name="TextBox 8097">
          <a:extLst>
            <a:ext uri="{FF2B5EF4-FFF2-40B4-BE49-F238E27FC236}">
              <a16:creationId xmlns:a16="http://schemas.microsoft.com/office/drawing/2014/main" id="{00000000-0008-0000-0000-00007E000000}"/>
            </a:ext>
          </a:extLst>
        </xdr:cNvPr>
        <xdr:cNvSpPr txBox="1"/>
      </xdr:nvSpPr>
      <xdr:spPr>
        <a:xfrm>
          <a:off x="8267700" y="33520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165</xdr:row>
      <xdr:rowOff>0</xdr:rowOff>
    </xdr:from>
    <xdr:ext cx="65" cy="172227"/>
    <xdr:sp macro="" textlink="">
      <xdr:nvSpPr>
        <xdr:cNvPr id="8099" name="TextBox 8098">
          <a:extLst>
            <a:ext uri="{FF2B5EF4-FFF2-40B4-BE49-F238E27FC236}">
              <a16:creationId xmlns:a16="http://schemas.microsoft.com/office/drawing/2014/main" id="{00000000-0008-0000-0000-00007F000000}"/>
            </a:ext>
          </a:extLst>
        </xdr:cNvPr>
        <xdr:cNvSpPr txBox="1"/>
      </xdr:nvSpPr>
      <xdr:spPr>
        <a:xfrm>
          <a:off x="8267700" y="33520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166</xdr:row>
      <xdr:rowOff>0</xdr:rowOff>
    </xdr:from>
    <xdr:ext cx="65" cy="172227"/>
    <xdr:sp macro="" textlink="">
      <xdr:nvSpPr>
        <xdr:cNvPr id="8100" name="TextBox 8099">
          <a:extLst>
            <a:ext uri="{FF2B5EF4-FFF2-40B4-BE49-F238E27FC236}">
              <a16:creationId xmlns:a16="http://schemas.microsoft.com/office/drawing/2014/main" id="{00000000-0008-0000-0000-000080000000}"/>
            </a:ext>
          </a:extLst>
        </xdr:cNvPr>
        <xdr:cNvSpPr txBox="1"/>
      </xdr:nvSpPr>
      <xdr:spPr>
        <a:xfrm>
          <a:off x="8267700" y="33718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166</xdr:row>
      <xdr:rowOff>0</xdr:rowOff>
    </xdr:from>
    <xdr:ext cx="65" cy="172227"/>
    <xdr:sp macro="" textlink="">
      <xdr:nvSpPr>
        <xdr:cNvPr id="8101" name="TextBox 8100">
          <a:extLst>
            <a:ext uri="{FF2B5EF4-FFF2-40B4-BE49-F238E27FC236}">
              <a16:creationId xmlns:a16="http://schemas.microsoft.com/office/drawing/2014/main" id="{00000000-0008-0000-0000-000081000000}"/>
            </a:ext>
          </a:extLst>
        </xdr:cNvPr>
        <xdr:cNvSpPr txBox="1"/>
      </xdr:nvSpPr>
      <xdr:spPr>
        <a:xfrm>
          <a:off x="8267700" y="33718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166</xdr:row>
      <xdr:rowOff>0</xdr:rowOff>
    </xdr:from>
    <xdr:ext cx="65" cy="172227"/>
    <xdr:sp macro="" textlink="">
      <xdr:nvSpPr>
        <xdr:cNvPr id="8102" name="TextBox 8101">
          <a:extLst>
            <a:ext uri="{FF2B5EF4-FFF2-40B4-BE49-F238E27FC236}">
              <a16:creationId xmlns:a16="http://schemas.microsoft.com/office/drawing/2014/main" id="{00000000-0008-0000-0000-000082000000}"/>
            </a:ext>
          </a:extLst>
        </xdr:cNvPr>
        <xdr:cNvSpPr txBox="1"/>
      </xdr:nvSpPr>
      <xdr:spPr>
        <a:xfrm>
          <a:off x="8267700" y="33718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166</xdr:row>
      <xdr:rowOff>0</xdr:rowOff>
    </xdr:from>
    <xdr:ext cx="65" cy="172227"/>
    <xdr:sp macro="" textlink="">
      <xdr:nvSpPr>
        <xdr:cNvPr id="8103" name="TextBox 8102">
          <a:extLst>
            <a:ext uri="{FF2B5EF4-FFF2-40B4-BE49-F238E27FC236}">
              <a16:creationId xmlns:a16="http://schemas.microsoft.com/office/drawing/2014/main" id="{00000000-0008-0000-0000-000083000000}"/>
            </a:ext>
          </a:extLst>
        </xdr:cNvPr>
        <xdr:cNvSpPr txBox="1"/>
      </xdr:nvSpPr>
      <xdr:spPr>
        <a:xfrm>
          <a:off x="8267700" y="33718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166</xdr:row>
      <xdr:rowOff>0</xdr:rowOff>
    </xdr:from>
    <xdr:ext cx="65" cy="172227"/>
    <xdr:sp macro="" textlink="">
      <xdr:nvSpPr>
        <xdr:cNvPr id="8104" name="TextBox 8103">
          <a:extLst>
            <a:ext uri="{FF2B5EF4-FFF2-40B4-BE49-F238E27FC236}">
              <a16:creationId xmlns:a16="http://schemas.microsoft.com/office/drawing/2014/main" id="{00000000-0008-0000-0000-000084000000}"/>
            </a:ext>
          </a:extLst>
        </xdr:cNvPr>
        <xdr:cNvSpPr txBox="1"/>
      </xdr:nvSpPr>
      <xdr:spPr>
        <a:xfrm>
          <a:off x="8267700" y="33718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166</xdr:row>
      <xdr:rowOff>0</xdr:rowOff>
    </xdr:from>
    <xdr:ext cx="65" cy="172227"/>
    <xdr:sp macro="" textlink="">
      <xdr:nvSpPr>
        <xdr:cNvPr id="8105" name="TextBox 8104">
          <a:extLst>
            <a:ext uri="{FF2B5EF4-FFF2-40B4-BE49-F238E27FC236}">
              <a16:creationId xmlns:a16="http://schemas.microsoft.com/office/drawing/2014/main" id="{00000000-0008-0000-0000-000085000000}"/>
            </a:ext>
          </a:extLst>
        </xdr:cNvPr>
        <xdr:cNvSpPr txBox="1"/>
      </xdr:nvSpPr>
      <xdr:spPr>
        <a:xfrm>
          <a:off x="8267700" y="33718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166</xdr:row>
      <xdr:rowOff>0</xdr:rowOff>
    </xdr:from>
    <xdr:ext cx="65" cy="172227"/>
    <xdr:sp macro="" textlink="">
      <xdr:nvSpPr>
        <xdr:cNvPr id="8106" name="TextBox 8105">
          <a:extLst>
            <a:ext uri="{FF2B5EF4-FFF2-40B4-BE49-F238E27FC236}">
              <a16:creationId xmlns:a16="http://schemas.microsoft.com/office/drawing/2014/main" id="{00000000-0008-0000-0000-000086000000}"/>
            </a:ext>
          </a:extLst>
        </xdr:cNvPr>
        <xdr:cNvSpPr txBox="1"/>
      </xdr:nvSpPr>
      <xdr:spPr>
        <a:xfrm>
          <a:off x="8267700" y="33718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166</xdr:row>
      <xdr:rowOff>0</xdr:rowOff>
    </xdr:from>
    <xdr:ext cx="65" cy="172227"/>
    <xdr:sp macro="" textlink="">
      <xdr:nvSpPr>
        <xdr:cNvPr id="8107" name="TextBox 8106">
          <a:extLst>
            <a:ext uri="{FF2B5EF4-FFF2-40B4-BE49-F238E27FC236}">
              <a16:creationId xmlns:a16="http://schemas.microsoft.com/office/drawing/2014/main" id="{00000000-0008-0000-0000-000087000000}"/>
            </a:ext>
          </a:extLst>
        </xdr:cNvPr>
        <xdr:cNvSpPr txBox="1"/>
      </xdr:nvSpPr>
      <xdr:spPr>
        <a:xfrm>
          <a:off x="8267700" y="33718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166</xdr:row>
      <xdr:rowOff>0</xdr:rowOff>
    </xdr:from>
    <xdr:ext cx="65" cy="172227"/>
    <xdr:sp macro="" textlink="">
      <xdr:nvSpPr>
        <xdr:cNvPr id="8108" name="TextBox 8107">
          <a:extLst>
            <a:ext uri="{FF2B5EF4-FFF2-40B4-BE49-F238E27FC236}">
              <a16:creationId xmlns:a16="http://schemas.microsoft.com/office/drawing/2014/main" id="{00000000-0008-0000-0000-000088000000}"/>
            </a:ext>
          </a:extLst>
        </xdr:cNvPr>
        <xdr:cNvSpPr txBox="1"/>
      </xdr:nvSpPr>
      <xdr:spPr>
        <a:xfrm>
          <a:off x="8267700" y="33718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166</xdr:row>
      <xdr:rowOff>0</xdr:rowOff>
    </xdr:from>
    <xdr:ext cx="65" cy="172227"/>
    <xdr:sp macro="" textlink="">
      <xdr:nvSpPr>
        <xdr:cNvPr id="8109" name="TextBox 8108">
          <a:extLst>
            <a:ext uri="{FF2B5EF4-FFF2-40B4-BE49-F238E27FC236}">
              <a16:creationId xmlns:a16="http://schemas.microsoft.com/office/drawing/2014/main" id="{00000000-0008-0000-0000-000089000000}"/>
            </a:ext>
          </a:extLst>
        </xdr:cNvPr>
        <xdr:cNvSpPr txBox="1"/>
      </xdr:nvSpPr>
      <xdr:spPr>
        <a:xfrm>
          <a:off x="8267700" y="33718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166</xdr:row>
      <xdr:rowOff>0</xdr:rowOff>
    </xdr:from>
    <xdr:ext cx="65" cy="172227"/>
    <xdr:sp macro="" textlink="">
      <xdr:nvSpPr>
        <xdr:cNvPr id="8110" name="TextBox 8109">
          <a:extLst>
            <a:ext uri="{FF2B5EF4-FFF2-40B4-BE49-F238E27FC236}">
              <a16:creationId xmlns:a16="http://schemas.microsoft.com/office/drawing/2014/main" id="{00000000-0008-0000-0000-00008A000000}"/>
            </a:ext>
          </a:extLst>
        </xdr:cNvPr>
        <xdr:cNvSpPr txBox="1"/>
      </xdr:nvSpPr>
      <xdr:spPr>
        <a:xfrm>
          <a:off x="8267700" y="33718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166</xdr:row>
      <xdr:rowOff>0</xdr:rowOff>
    </xdr:from>
    <xdr:ext cx="65" cy="172227"/>
    <xdr:sp macro="" textlink="">
      <xdr:nvSpPr>
        <xdr:cNvPr id="8111" name="TextBox 8110">
          <a:extLst>
            <a:ext uri="{FF2B5EF4-FFF2-40B4-BE49-F238E27FC236}">
              <a16:creationId xmlns:a16="http://schemas.microsoft.com/office/drawing/2014/main" id="{00000000-0008-0000-0000-00008B000000}"/>
            </a:ext>
          </a:extLst>
        </xdr:cNvPr>
        <xdr:cNvSpPr txBox="1"/>
      </xdr:nvSpPr>
      <xdr:spPr>
        <a:xfrm>
          <a:off x="8267700" y="33718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167</xdr:row>
      <xdr:rowOff>0</xdr:rowOff>
    </xdr:from>
    <xdr:ext cx="65" cy="172227"/>
    <xdr:sp macro="" textlink="">
      <xdr:nvSpPr>
        <xdr:cNvPr id="8112" name="TextBox 8111">
          <a:extLst>
            <a:ext uri="{FF2B5EF4-FFF2-40B4-BE49-F238E27FC236}">
              <a16:creationId xmlns:a16="http://schemas.microsoft.com/office/drawing/2014/main" id="{00000000-0008-0000-0000-00008C000000}"/>
            </a:ext>
          </a:extLst>
        </xdr:cNvPr>
        <xdr:cNvSpPr txBox="1"/>
      </xdr:nvSpPr>
      <xdr:spPr>
        <a:xfrm>
          <a:off x="8267700" y="3391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167</xdr:row>
      <xdr:rowOff>0</xdr:rowOff>
    </xdr:from>
    <xdr:ext cx="65" cy="172227"/>
    <xdr:sp macro="" textlink="">
      <xdr:nvSpPr>
        <xdr:cNvPr id="8113" name="TextBox 8112">
          <a:extLst>
            <a:ext uri="{FF2B5EF4-FFF2-40B4-BE49-F238E27FC236}">
              <a16:creationId xmlns:a16="http://schemas.microsoft.com/office/drawing/2014/main" id="{00000000-0008-0000-0000-00008D000000}"/>
            </a:ext>
          </a:extLst>
        </xdr:cNvPr>
        <xdr:cNvSpPr txBox="1"/>
      </xdr:nvSpPr>
      <xdr:spPr>
        <a:xfrm>
          <a:off x="8267700" y="3391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167</xdr:row>
      <xdr:rowOff>0</xdr:rowOff>
    </xdr:from>
    <xdr:ext cx="65" cy="172227"/>
    <xdr:sp macro="" textlink="">
      <xdr:nvSpPr>
        <xdr:cNvPr id="8114" name="TextBox 8113">
          <a:extLst>
            <a:ext uri="{FF2B5EF4-FFF2-40B4-BE49-F238E27FC236}">
              <a16:creationId xmlns:a16="http://schemas.microsoft.com/office/drawing/2014/main" id="{00000000-0008-0000-0000-00008E000000}"/>
            </a:ext>
          </a:extLst>
        </xdr:cNvPr>
        <xdr:cNvSpPr txBox="1"/>
      </xdr:nvSpPr>
      <xdr:spPr>
        <a:xfrm>
          <a:off x="8267700" y="3391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167</xdr:row>
      <xdr:rowOff>0</xdr:rowOff>
    </xdr:from>
    <xdr:ext cx="65" cy="172227"/>
    <xdr:sp macro="" textlink="">
      <xdr:nvSpPr>
        <xdr:cNvPr id="8115" name="TextBox 8114">
          <a:extLst>
            <a:ext uri="{FF2B5EF4-FFF2-40B4-BE49-F238E27FC236}">
              <a16:creationId xmlns:a16="http://schemas.microsoft.com/office/drawing/2014/main" id="{00000000-0008-0000-0000-00008F000000}"/>
            </a:ext>
          </a:extLst>
        </xdr:cNvPr>
        <xdr:cNvSpPr txBox="1"/>
      </xdr:nvSpPr>
      <xdr:spPr>
        <a:xfrm>
          <a:off x="8267700" y="3391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167</xdr:row>
      <xdr:rowOff>0</xdr:rowOff>
    </xdr:from>
    <xdr:ext cx="65" cy="172227"/>
    <xdr:sp macro="" textlink="">
      <xdr:nvSpPr>
        <xdr:cNvPr id="8116" name="TextBox 8115">
          <a:extLst>
            <a:ext uri="{FF2B5EF4-FFF2-40B4-BE49-F238E27FC236}">
              <a16:creationId xmlns:a16="http://schemas.microsoft.com/office/drawing/2014/main" id="{00000000-0008-0000-0000-000090000000}"/>
            </a:ext>
          </a:extLst>
        </xdr:cNvPr>
        <xdr:cNvSpPr txBox="1"/>
      </xdr:nvSpPr>
      <xdr:spPr>
        <a:xfrm>
          <a:off x="8267700" y="3391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167</xdr:row>
      <xdr:rowOff>0</xdr:rowOff>
    </xdr:from>
    <xdr:ext cx="65" cy="172227"/>
    <xdr:sp macro="" textlink="">
      <xdr:nvSpPr>
        <xdr:cNvPr id="8117" name="TextBox 8116">
          <a:extLst>
            <a:ext uri="{FF2B5EF4-FFF2-40B4-BE49-F238E27FC236}">
              <a16:creationId xmlns:a16="http://schemas.microsoft.com/office/drawing/2014/main" id="{00000000-0008-0000-0000-000091000000}"/>
            </a:ext>
          </a:extLst>
        </xdr:cNvPr>
        <xdr:cNvSpPr txBox="1"/>
      </xdr:nvSpPr>
      <xdr:spPr>
        <a:xfrm>
          <a:off x="8267700" y="3391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167</xdr:row>
      <xdr:rowOff>0</xdr:rowOff>
    </xdr:from>
    <xdr:ext cx="65" cy="172227"/>
    <xdr:sp macro="" textlink="">
      <xdr:nvSpPr>
        <xdr:cNvPr id="8118" name="TextBox 8117">
          <a:extLst>
            <a:ext uri="{FF2B5EF4-FFF2-40B4-BE49-F238E27FC236}">
              <a16:creationId xmlns:a16="http://schemas.microsoft.com/office/drawing/2014/main" id="{00000000-0008-0000-0000-000092000000}"/>
            </a:ext>
          </a:extLst>
        </xdr:cNvPr>
        <xdr:cNvSpPr txBox="1"/>
      </xdr:nvSpPr>
      <xdr:spPr>
        <a:xfrm>
          <a:off x="8267700" y="3391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167</xdr:row>
      <xdr:rowOff>0</xdr:rowOff>
    </xdr:from>
    <xdr:ext cx="65" cy="172227"/>
    <xdr:sp macro="" textlink="">
      <xdr:nvSpPr>
        <xdr:cNvPr id="8119" name="TextBox 8118">
          <a:extLst>
            <a:ext uri="{FF2B5EF4-FFF2-40B4-BE49-F238E27FC236}">
              <a16:creationId xmlns:a16="http://schemas.microsoft.com/office/drawing/2014/main" id="{00000000-0008-0000-0000-000093000000}"/>
            </a:ext>
          </a:extLst>
        </xdr:cNvPr>
        <xdr:cNvSpPr txBox="1"/>
      </xdr:nvSpPr>
      <xdr:spPr>
        <a:xfrm>
          <a:off x="8267700" y="3391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167</xdr:row>
      <xdr:rowOff>0</xdr:rowOff>
    </xdr:from>
    <xdr:ext cx="65" cy="172227"/>
    <xdr:sp macro="" textlink="">
      <xdr:nvSpPr>
        <xdr:cNvPr id="8120" name="TextBox 8119">
          <a:extLst>
            <a:ext uri="{FF2B5EF4-FFF2-40B4-BE49-F238E27FC236}">
              <a16:creationId xmlns:a16="http://schemas.microsoft.com/office/drawing/2014/main" id="{00000000-0008-0000-0000-000094000000}"/>
            </a:ext>
          </a:extLst>
        </xdr:cNvPr>
        <xdr:cNvSpPr txBox="1"/>
      </xdr:nvSpPr>
      <xdr:spPr>
        <a:xfrm>
          <a:off x="8267700" y="3391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167</xdr:row>
      <xdr:rowOff>0</xdr:rowOff>
    </xdr:from>
    <xdr:ext cx="65" cy="172227"/>
    <xdr:sp macro="" textlink="">
      <xdr:nvSpPr>
        <xdr:cNvPr id="8121" name="TextBox 8120">
          <a:extLst>
            <a:ext uri="{FF2B5EF4-FFF2-40B4-BE49-F238E27FC236}">
              <a16:creationId xmlns:a16="http://schemas.microsoft.com/office/drawing/2014/main" id="{00000000-0008-0000-0000-000095000000}"/>
            </a:ext>
          </a:extLst>
        </xdr:cNvPr>
        <xdr:cNvSpPr txBox="1"/>
      </xdr:nvSpPr>
      <xdr:spPr>
        <a:xfrm>
          <a:off x="8267700" y="3391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167</xdr:row>
      <xdr:rowOff>0</xdr:rowOff>
    </xdr:from>
    <xdr:ext cx="65" cy="172227"/>
    <xdr:sp macro="" textlink="">
      <xdr:nvSpPr>
        <xdr:cNvPr id="8122" name="TextBox 8121">
          <a:extLst>
            <a:ext uri="{FF2B5EF4-FFF2-40B4-BE49-F238E27FC236}">
              <a16:creationId xmlns:a16="http://schemas.microsoft.com/office/drawing/2014/main" id="{00000000-0008-0000-0000-000096000000}"/>
            </a:ext>
          </a:extLst>
        </xdr:cNvPr>
        <xdr:cNvSpPr txBox="1"/>
      </xdr:nvSpPr>
      <xdr:spPr>
        <a:xfrm>
          <a:off x="8267700" y="3391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167</xdr:row>
      <xdr:rowOff>0</xdr:rowOff>
    </xdr:from>
    <xdr:ext cx="65" cy="172227"/>
    <xdr:sp macro="" textlink="">
      <xdr:nvSpPr>
        <xdr:cNvPr id="8123" name="TextBox 8122">
          <a:extLst>
            <a:ext uri="{FF2B5EF4-FFF2-40B4-BE49-F238E27FC236}">
              <a16:creationId xmlns:a16="http://schemas.microsoft.com/office/drawing/2014/main" id="{00000000-0008-0000-0000-000097000000}"/>
            </a:ext>
          </a:extLst>
        </xdr:cNvPr>
        <xdr:cNvSpPr txBox="1"/>
      </xdr:nvSpPr>
      <xdr:spPr>
        <a:xfrm>
          <a:off x="8267700" y="3391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167</xdr:row>
      <xdr:rowOff>0</xdr:rowOff>
    </xdr:from>
    <xdr:ext cx="65" cy="172227"/>
    <xdr:sp macro="" textlink="">
      <xdr:nvSpPr>
        <xdr:cNvPr id="8124" name="TextBox 8123">
          <a:extLst>
            <a:ext uri="{FF2B5EF4-FFF2-40B4-BE49-F238E27FC236}">
              <a16:creationId xmlns:a16="http://schemas.microsoft.com/office/drawing/2014/main" id="{00000000-0008-0000-0000-000098000000}"/>
            </a:ext>
          </a:extLst>
        </xdr:cNvPr>
        <xdr:cNvSpPr txBox="1"/>
      </xdr:nvSpPr>
      <xdr:spPr>
        <a:xfrm>
          <a:off x="8267700" y="3391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167</xdr:row>
      <xdr:rowOff>0</xdr:rowOff>
    </xdr:from>
    <xdr:ext cx="65" cy="172227"/>
    <xdr:sp macro="" textlink="">
      <xdr:nvSpPr>
        <xdr:cNvPr id="8125" name="TextBox 8124">
          <a:extLst>
            <a:ext uri="{FF2B5EF4-FFF2-40B4-BE49-F238E27FC236}">
              <a16:creationId xmlns:a16="http://schemas.microsoft.com/office/drawing/2014/main" id="{00000000-0008-0000-0000-000099000000}"/>
            </a:ext>
          </a:extLst>
        </xdr:cNvPr>
        <xdr:cNvSpPr txBox="1"/>
      </xdr:nvSpPr>
      <xdr:spPr>
        <a:xfrm>
          <a:off x="8267700" y="3391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167</xdr:row>
      <xdr:rowOff>0</xdr:rowOff>
    </xdr:from>
    <xdr:ext cx="65" cy="172227"/>
    <xdr:sp macro="" textlink="">
      <xdr:nvSpPr>
        <xdr:cNvPr id="8126" name="TextBox 8125">
          <a:extLst>
            <a:ext uri="{FF2B5EF4-FFF2-40B4-BE49-F238E27FC236}">
              <a16:creationId xmlns:a16="http://schemas.microsoft.com/office/drawing/2014/main" id="{00000000-0008-0000-0000-00009A000000}"/>
            </a:ext>
          </a:extLst>
        </xdr:cNvPr>
        <xdr:cNvSpPr txBox="1"/>
      </xdr:nvSpPr>
      <xdr:spPr>
        <a:xfrm>
          <a:off x="8267700" y="3391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167</xdr:row>
      <xdr:rowOff>0</xdr:rowOff>
    </xdr:from>
    <xdr:ext cx="65" cy="172227"/>
    <xdr:sp macro="" textlink="">
      <xdr:nvSpPr>
        <xdr:cNvPr id="8127" name="TextBox 8126">
          <a:extLst>
            <a:ext uri="{FF2B5EF4-FFF2-40B4-BE49-F238E27FC236}">
              <a16:creationId xmlns:a16="http://schemas.microsoft.com/office/drawing/2014/main" id="{00000000-0008-0000-0000-00009B000000}"/>
            </a:ext>
          </a:extLst>
        </xdr:cNvPr>
        <xdr:cNvSpPr txBox="1"/>
      </xdr:nvSpPr>
      <xdr:spPr>
        <a:xfrm>
          <a:off x="8267700" y="3391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167</xdr:row>
      <xdr:rowOff>0</xdr:rowOff>
    </xdr:from>
    <xdr:ext cx="65" cy="172227"/>
    <xdr:sp macro="" textlink="">
      <xdr:nvSpPr>
        <xdr:cNvPr id="8128" name="TextBox 8127">
          <a:extLst>
            <a:ext uri="{FF2B5EF4-FFF2-40B4-BE49-F238E27FC236}">
              <a16:creationId xmlns:a16="http://schemas.microsoft.com/office/drawing/2014/main" id="{00000000-0008-0000-0000-00009C000000}"/>
            </a:ext>
          </a:extLst>
        </xdr:cNvPr>
        <xdr:cNvSpPr txBox="1"/>
      </xdr:nvSpPr>
      <xdr:spPr>
        <a:xfrm>
          <a:off x="8267700" y="3391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167</xdr:row>
      <xdr:rowOff>0</xdr:rowOff>
    </xdr:from>
    <xdr:ext cx="65" cy="172227"/>
    <xdr:sp macro="" textlink="">
      <xdr:nvSpPr>
        <xdr:cNvPr id="8129" name="TextBox 8128">
          <a:extLst>
            <a:ext uri="{FF2B5EF4-FFF2-40B4-BE49-F238E27FC236}">
              <a16:creationId xmlns:a16="http://schemas.microsoft.com/office/drawing/2014/main" id="{00000000-0008-0000-0000-00009D000000}"/>
            </a:ext>
          </a:extLst>
        </xdr:cNvPr>
        <xdr:cNvSpPr txBox="1"/>
      </xdr:nvSpPr>
      <xdr:spPr>
        <a:xfrm>
          <a:off x="8267700" y="3391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167</xdr:row>
      <xdr:rowOff>0</xdr:rowOff>
    </xdr:from>
    <xdr:ext cx="65" cy="172227"/>
    <xdr:sp macro="" textlink="">
      <xdr:nvSpPr>
        <xdr:cNvPr id="8130" name="TextBox 8129">
          <a:extLst>
            <a:ext uri="{FF2B5EF4-FFF2-40B4-BE49-F238E27FC236}">
              <a16:creationId xmlns:a16="http://schemas.microsoft.com/office/drawing/2014/main" id="{00000000-0008-0000-0000-00009E000000}"/>
            </a:ext>
          </a:extLst>
        </xdr:cNvPr>
        <xdr:cNvSpPr txBox="1"/>
      </xdr:nvSpPr>
      <xdr:spPr>
        <a:xfrm>
          <a:off x="8267700" y="3391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167</xdr:row>
      <xdr:rowOff>0</xdr:rowOff>
    </xdr:from>
    <xdr:ext cx="65" cy="172227"/>
    <xdr:sp macro="" textlink="">
      <xdr:nvSpPr>
        <xdr:cNvPr id="8131" name="TextBox 8130">
          <a:extLst>
            <a:ext uri="{FF2B5EF4-FFF2-40B4-BE49-F238E27FC236}">
              <a16:creationId xmlns:a16="http://schemas.microsoft.com/office/drawing/2014/main" id="{00000000-0008-0000-0000-00009F000000}"/>
            </a:ext>
          </a:extLst>
        </xdr:cNvPr>
        <xdr:cNvSpPr txBox="1"/>
      </xdr:nvSpPr>
      <xdr:spPr>
        <a:xfrm>
          <a:off x="8267700" y="3391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167</xdr:row>
      <xdr:rowOff>0</xdr:rowOff>
    </xdr:from>
    <xdr:ext cx="65" cy="172227"/>
    <xdr:sp macro="" textlink="">
      <xdr:nvSpPr>
        <xdr:cNvPr id="8132" name="TextBox 8131">
          <a:extLst>
            <a:ext uri="{FF2B5EF4-FFF2-40B4-BE49-F238E27FC236}">
              <a16:creationId xmlns:a16="http://schemas.microsoft.com/office/drawing/2014/main" id="{00000000-0008-0000-0000-0000A0000000}"/>
            </a:ext>
          </a:extLst>
        </xdr:cNvPr>
        <xdr:cNvSpPr txBox="1"/>
      </xdr:nvSpPr>
      <xdr:spPr>
        <a:xfrm>
          <a:off x="8267700" y="3391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167</xdr:row>
      <xdr:rowOff>0</xdr:rowOff>
    </xdr:from>
    <xdr:ext cx="65" cy="172227"/>
    <xdr:sp macro="" textlink="">
      <xdr:nvSpPr>
        <xdr:cNvPr id="8133" name="TextBox 8132">
          <a:extLst>
            <a:ext uri="{FF2B5EF4-FFF2-40B4-BE49-F238E27FC236}">
              <a16:creationId xmlns:a16="http://schemas.microsoft.com/office/drawing/2014/main" id="{00000000-0008-0000-0000-0000A1000000}"/>
            </a:ext>
          </a:extLst>
        </xdr:cNvPr>
        <xdr:cNvSpPr txBox="1"/>
      </xdr:nvSpPr>
      <xdr:spPr>
        <a:xfrm>
          <a:off x="8267700" y="3391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167</xdr:row>
      <xdr:rowOff>0</xdr:rowOff>
    </xdr:from>
    <xdr:ext cx="65" cy="172227"/>
    <xdr:sp macro="" textlink="">
      <xdr:nvSpPr>
        <xdr:cNvPr id="8134" name="TextBox 8133">
          <a:extLst>
            <a:ext uri="{FF2B5EF4-FFF2-40B4-BE49-F238E27FC236}">
              <a16:creationId xmlns:a16="http://schemas.microsoft.com/office/drawing/2014/main" id="{00000000-0008-0000-0000-0000A2000000}"/>
            </a:ext>
          </a:extLst>
        </xdr:cNvPr>
        <xdr:cNvSpPr txBox="1"/>
      </xdr:nvSpPr>
      <xdr:spPr>
        <a:xfrm>
          <a:off x="8267700" y="3391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167</xdr:row>
      <xdr:rowOff>0</xdr:rowOff>
    </xdr:from>
    <xdr:ext cx="65" cy="172227"/>
    <xdr:sp macro="" textlink="">
      <xdr:nvSpPr>
        <xdr:cNvPr id="8135" name="TextBox 8134">
          <a:extLst>
            <a:ext uri="{FF2B5EF4-FFF2-40B4-BE49-F238E27FC236}">
              <a16:creationId xmlns:a16="http://schemas.microsoft.com/office/drawing/2014/main" id="{00000000-0008-0000-0000-0000A3000000}"/>
            </a:ext>
          </a:extLst>
        </xdr:cNvPr>
        <xdr:cNvSpPr txBox="1"/>
      </xdr:nvSpPr>
      <xdr:spPr>
        <a:xfrm>
          <a:off x="8267700" y="3391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167</xdr:row>
      <xdr:rowOff>0</xdr:rowOff>
    </xdr:from>
    <xdr:ext cx="65" cy="172227"/>
    <xdr:sp macro="" textlink="">
      <xdr:nvSpPr>
        <xdr:cNvPr id="8136" name="TextBox 8135">
          <a:extLst>
            <a:ext uri="{FF2B5EF4-FFF2-40B4-BE49-F238E27FC236}">
              <a16:creationId xmlns:a16="http://schemas.microsoft.com/office/drawing/2014/main" id="{00000000-0008-0000-0000-0000A4000000}"/>
            </a:ext>
          </a:extLst>
        </xdr:cNvPr>
        <xdr:cNvSpPr txBox="1"/>
      </xdr:nvSpPr>
      <xdr:spPr>
        <a:xfrm>
          <a:off x="8267700" y="3391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167</xdr:row>
      <xdr:rowOff>0</xdr:rowOff>
    </xdr:from>
    <xdr:ext cx="65" cy="172227"/>
    <xdr:sp macro="" textlink="">
      <xdr:nvSpPr>
        <xdr:cNvPr id="8137" name="TextBox 8136">
          <a:extLst>
            <a:ext uri="{FF2B5EF4-FFF2-40B4-BE49-F238E27FC236}">
              <a16:creationId xmlns:a16="http://schemas.microsoft.com/office/drawing/2014/main" id="{00000000-0008-0000-0000-0000A5000000}"/>
            </a:ext>
          </a:extLst>
        </xdr:cNvPr>
        <xdr:cNvSpPr txBox="1"/>
      </xdr:nvSpPr>
      <xdr:spPr>
        <a:xfrm>
          <a:off x="8267700" y="3391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167</xdr:row>
      <xdr:rowOff>0</xdr:rowOff>
    </xdr:from>
    <xdr:ext cx="65" cy="172227"/>
    <xdr:sp macro="" textlink="">
      <xdr:nvSpPr>
        <xdr:cNvPr id="8138" name="TextBox 8137">
          <a:extLst>
            <a:ext uri="{FF2B5EF4-FFF2-40B4-BE49-F238E27FC236}">
              <a16:creationId xmlns:a16="http://schemas.microsoft.com/office/drawing/2014/main" id="{00000000-0008-0000-0000-0000A6000000}"/>
            </a:ext>
          </a:extLst>
        </xdr:cNvPr>
        <xdr:cNvSpPr txBox="1"/>
      </xdr:nvSpPr>
      <xdr:spPr>
        <a:xfrm>
          <a:off x="8267700" y="3391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167</xdr:row>
      <xdr:rowOff>0</xdr:rowOff>
    </xdr:from>
    <xdr:ext cx="65" cy="172227"/>
    <xdr:sp macro="" textlink="">
      <xdr:nvSpPr>
        <xdr:cNvPr id="8139" name="TextBox 8138">
          <a:extLst>
            <a:ext uri="{FF2B5EF4-FFF2-40B4-BE49-F238E27FC236}">
              <a16:creationId xmlns:a16="http://schemas.microsoft.com/office/drawing/2014/main" id="{00000000-0008-0000-0000-0000A7000000}"/>
            </a:ext>
          </a:extLst>
        </xdr:cNvPr>
        <xdr:cNvSpPr txBox="1"/>
      </xdr:nvSpPr>
      <xdr:spPr>
        <a:xfrm>
          <a:off x="8267700" y="3391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167</xdr:row>
      <xdr:rowOff>0</xdr:rowOff>
    </xdr:from>
    <xdr:ext cx="65" cy="172227"/>
    <xdr:sp macro="" textlink="">
      <xdr:nvSpPr>
        <xdr:cNvPr id="8140" name="TextBox 8139">
          <a:extLst>
            <a:ext uri="{FF2B5EF4-FFF2-40B4-BE49-F238E27FC236}">
              <a16:creationId xmlns:a16="http://schemas.microsoft.com/office/drawing/2014/main" id="{00000000-0008-0000-0000-0000A8000000}"/>
            </a:ext>
          </a:extLst>
        </xdr:cNvPr>
        <xdr:cNvSpPr txBox="1"/>
      </xdr:nvSpPr>
      <xdr:spPr>
        <a:xfrm>
          <a:off x="8267700" y="3391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167</xdr:row>
      <xdr:rowOff>0</xdr:rowOff>
    </xdr:from>
    <xdr:ext cx="65" cy="172227"/>
    <xdr:sp macro="" textlink="">
      <xdr:nvSpPr>
        <xdr:cNvPr id="8141" name="TextBox 8140">
          <a:extLst>
            <a:ext uri="{FF2B5EF4-FFF2-40B4-BE49-F238E27FC236}">
              <a16:creationId xmlns:a16="http://schemas.microsoft.com/office/drawing/2014/main" id="{00000000-0008-0000-0000-0000A9000000}"/>
            </a:ext>
          </a:extLst>
        </xdr:cNvPr>
        <xdr:cNvSpPr txBox="1"/>
      </xdr:nvSpPr>
      <xdr:spPr>
        <a:xfrm>
          <a:off x="8267700" y="3391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167</xdr:row>
      <xdr:rowOff>0</xdr:rowOff>
    </xdr:from>
    <xdr:ext cx="65" cy="172227"/>
    <xdr:sp macro="" textlink="">
      <xdr:nvSpPr>
        <xdr:cNvPr id="8142" name="TextBox 8141">
          <a:extLst>
            <a:ext uri="{FF2B5EF4-FFF2-40B4-BE49-F238E27FC236}">
              <a16:creationId xmlns:a16="http://schemas.microsoft.com/office/drawing/2014/main" id="{00000000-0008-0000-0000-0000AA000000}"/>
            </a:ext>
          </a:extLst>
        </xdr:cNvPr>
        <xdr:cNvSpPr txBox="1"/>
      </xdr:nvSpPr>
      <xdr:spPr>
        <a:xfrm>
          <a:off x="8267700" y="3391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167</xdr:row>
      <xdr:rowOff>0</xdr:rowOff>
    </xdr:from>
    <xdr:ext cx="65" cy="172227"/>
    <xdr:sp macro="" textlink="">
      <xdr:nvSpPr>
        <xdr:cNvPr id="8143" name="TextBox 8142">
          <a:extLst>
            <a:ext uri="{FF2B5EF4-FFF2-40B4-BE49-F238E27FC236}">
              <a16:creationId xmlns:a16="http://schemas.microsoft.com/office/drawing/2014/main" id="{00000000-0008-0000-0000-0000AB000000}"/>
            </a:ext>
          </a:extLst>
        </xdr:cNvPr>
        <xdr:cNvSpPr txBox="1"/>
      </xdr:nvSpPr>
      <xdr:spPr>
        <a:xfrm>
          <a:off x="8267700" y="3391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167</xdr:row>
      <xdr:rowOff>0</xdr:rowOff>
    </xdr:from>
    <xdr:ext cx="65" cy="172227"/>
    <xdr:sp macro="" textlink="">
      <xdr:nvSpPr>
        <xdr:cNvPr id="8144" name="TextBox 8143">
          <a:extLst>
            <a:ext uri="{FF2B5EF4-FFF2-40B4-BE49-F238E27FC236}">
              <a16:creationId xmlns:a16="http://schemas.microsoft.com/office/drawing/2014/main" id="{00000000-0008-0000-0000-0000AC000000}"/>
            </a:ext>
          </a:extLst>
        </xdr:cNvPr>
        <xdr:cNvSpPr txBox="1"/>
      </xdr:nvSpPr>
      <xdr:spPr>
        <a:xfrm>
          <a:off x="8267700" y="3391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167</xdr:row>
      <xdr:rowOff>0</xdr:rowOff>
    </xdr:from>
    <xdr:ext cx="65" cy="172227"/>
    <xdr:sp macro="" textlink="">
      <xdr:nvSpPr>
        <xdr:cNvPr id="8145" name="TextBox 8144">
          <a:extLst>
            <a:ext uri="{FF2B5EF4-FFF2-40B4-BE49-F238E27FC236}">
              <a16:creationId xmlns:a16="http://schemas.microsoft.com/office/drawing/2014/main" id="{00000000-0008-0000-0000-0000AD000000}"/>
            </a:ext>
          </a:extLst>
        </xdr:cNvPr>
        <xdr:cNvSpPr txBox="1"/>
      </xdr:nvSpPr>
      <xdr:spPr>
        <a:xfrm>
          <a:off x="8267700" y="3391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167</xdr:row>
      <xdr:rowOff>0</xdr:rowOff>
    </xdr:from>
    <xdr:ext cx="65" cy="172227"/>
    <xdr:sp macro="" textlink="">
      <xdr:nvSpPr>
        <xdr:cNvPr id="8146" name="TextBox 8145">
          <a:extLst>
            <a:ext uri="{FF2B5EF4-FFF2-40B4-BE49-F238E27FC236}">
              <a16:creationId xmlns:a16="http://schemas.microsoft.com/office/drawing/2014/main" id="{00000000-0008-0000-0000-0000AE000000}"/>
            </a:ext>
          </a:extLst>
        </xdr:cNvPr>
        <xdr:cNvSpPr txBox="1"/>
      </xdr:nvSpPr>
      <xdr:spPr>
        <a:xfrm>
          <a:off x="8267700" y="3391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167</xdr:row>
      <xdr:rowOff>0</xdr:rowOff>
    </xdr:from>
    <xdr:ext cx="65" cy="172227"/>
    <xdr:sp macro="" textlink="">
      <xdr:nvSpPr>
        <xdr:cNvPr id="8147" name="TextBox 8146">
          <a:extLst>
            <a:ext uri="{FF2B5EF4-FFF2-40B4-BE49-F238E27FC236}">
              <a16:creationId xmlns:a16="http://schemas.microsoft.com/office/drawing/2014/main" id="{00000000-0008-0000-0000-0000AF000000}"/>
            </a:ext>
          </a:extLst>
        </xdr:cNvPr>
        <xdr:cNvSpPr txBox="1"/>
      </xdr:nvSpPr>
      <xdr:spPr>
        <a:xfrm>
          <a:off x="8267700" y="3391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167</xdr:row>
      <xdr:rowOff>0</xdr:rowOff>
    </xdr:from>
    <xdr:ext cx="65" cy="172227"/>
    <xdr:sp macro="" textlink="">
      <xdr:nvSpPr>
        <xdr:cNvPr id="8148" name="TextBox 8147">
          <a:extLst>
            <a:ext uri="{FF2B5EF4-FFF2-40B4-BE49-F238E27FC236}">
              <a16:creationId xmlns:a16="http://schemas.microsoft.com/office/drawing/2014/main" id="{00000000-0008-0000-0000-0000B0000000}"/>
            </a:ext>
          </a:extLst>
        </xdr:cNvPr>
        <xdr:cNvSpPr txBox="1"/>
      </xdr:nvSpPr>
      <xdr:spPr>
        <a:xfrm>
          <a:off x="12580620" y="3391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167</xdr:row>
      <xdr:rowOff>0</xdr:rowOff>
    </xdr:from>
    <xdr:ext cx="65" cy="172227"/>
    <xdr:sp macro="" textlink="">
      <xdr:nvSpPr>
        <xdr:cNvPr id="8149" name="TextBox 8148">
          <a:extLst>
            <a:ext uri="{FF2B5EF4-FFF2-40B4-BE49-F238E27FC236}">
              <a16:creationId xmlns:a16="http://schemas.microsoft.com/office/drawing/2014/main" id="{00000000-0008-0000-0000-0000B1000000}"/>
            </a:ext>
          </a:extLst>
        </xdr:cNvPr>
        <xdr:cNvSpPr txBox="1"/>
      </xdr:nvSpPr>
      <xdr:spPr>
        <a:xfrm>
          <a:off x="12580620" y="3391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167</xdr:row>
      <xdr:rowOff>0</xdr:rowOff>
    </xdr:from>
    <xdr:ext cx="65" cy="172227"/>
    <xdr:sp macro="" textlink="">
      <xdr:nvSpPr>
        <xdr:cNvPr id="8150" name="TextBox 8149">
          <a:extLst>
            <a:ext uri="{FF2B5EF4-FFF2-40B4-BE49-F238E27FC236}">
              <a16:creationId xmlns:a16="http://schemas.microsoft.com/office/drawing/2014/main" id="{00000000-0008-0000-0000-0000B2000000}"/>
            </a:ext>
          </a:extLst>
        </xdr:cNvPr>
        <xdr:cNvSpPr txBox="1"/>
      </xdr:nvSpPr>
      <xdr:spPr>
        <a:xfrm>
          <a:off x="12580620" y="3391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167</xdr:row>
      <xdr:rowOff>0</xdr:rowOff>
    </xdr:from>
    <xdr:ext cx="65" cy="172227"/>
    <xdr:sp macro="" textlink="">
      <xdr:nvSpPr>
        <xdr:cNvPr id="8151" name="TextBox 8150">
          <a:extLst>
            <a:ext uri="{FF2B5EF4-FFF2-40B4-BE49-F238E27FC236}">
              <a16:creationId xmlns:a16="http://schemas.microsoft.com/office/drawing/2014/main" id="{00000000-0008-0000-0000-0000B3000000}"/>
            </a:ext>
          </a:extLst>
        </xdr:cNvPr>
        <xdr:cNvSpPr txBox="1"/>
      </xdr:nvSpPr>
      <xdr:spPr>
        <a:xfrm>
          <a:off x="12580620" y="3391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167</xdr:row>
      <xdr:rowOff>0</xdr:rowOff>
    </xdr:from>
    <xdr:ext cx="65" cy="172227"/>
    <xdr:sp macro="" textlink="">
      <xdr:nvSpPr>
        <xdr:cNvPr id="8152" name="TextBox 8151">
          <a:extLst>
            <a:ext uri="{FF2B5EF4-FFF2-40B4-BE49-F238E27FC236}">
              <a16:creationId xmlns:a16="http://schemas.microsoft.com/office/drawing/2014/main" id="{00000000-0008-0000-0000-0000B4000000}"/>
            </a:ext>
          </a:extLst>
        </xdr:cNvPr>
        <xdr:cNvSpPr txBox="1"/>
      </xdr:nvSpPr>
      <xdr:spPr>
        <a:xfrm>
          <a:off x="12580620" y="3391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167</xdr:row>
      <xdr:rowOff>0</xdr:rowOff>
    </xdr:from>
    <xdr:ext cx="65" cy="172227"/>
    <xdr:sp macro="" textlink="">
      <xdr:nvSpPr>
        <xdr:cNvPr id="8153" name="TextBox 8152">
          <a:extLst>
            <a:ext uri="{FF2B5EF4-FFF2-40B4-BE49-F238E27FC236}">
              <a16:creationId xmlns:a16="http://schemas.microsoft.com/office/drawing/2014/main" id="{00000000-0008-0000-0000-0000B5000000}"/>
            </a:ext>
          </a:extLst>
        </xdr:cNvPr>
        <xdr:cNvSpPr txBox="1"/>
      </xdr:nvSpPr>
      <xdr:spPr>
        <a:xfrm>
          <a:off x="12580620" y="3391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167</xdr:row>
      <xdr:rowOff>0</xdr:rowOff>
    </xdr:from>
    <xdr:ext cx="65" cy="172227"/>
    <xdr:sp macro="" textlink="">
      <xdr:nvSpPr>
        <xdr:cNvPr id="8154" name="TextBox 8153">
          <a:extLst>
            <a:ext uri="{FF2B5EF4-FFF2-40B4-BE49-F238E27FC236}">
              <a16:creationId xmlns:a16="http://schemas.microsoft.com/office/drawing/2014/main" id="{00000000-0008-0000-0000-0000B6000000}"/>
            </a:ext>
          </a:extLst>
        </xdr:cNvPr>
        <xdr:cNvSpPr txBox="1"/>
      </xdr:nvSpPr>
      <xdr:spPr>
        <a:xfrm>
          <a:off x="12580620" y="3391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167</xdr:row>
      <xdr:rowOff>0</xdr:rowOff>
    </xdr:from>
    <xdr:ext cx="65" cy="172227"/>
    <xdr:sp macro="" textlink="">
      <xdr:nvSpPr>
        <xdr:cNvPr id="8155" name="TextBox 8154">
          <a:extLst>
            <a:ext uri="{FF2B5EF4-FFF2-40B4-BE49-F238E27FC236}">
              <a16:creationId xmlns:a16="http://schemas.microsoft.com/office/drawing/2014/main" id="{00000000-0008-0000-0000-0000B7000000}"/>
            </a:ext>
          </a:extLst>
        </xdr:cNvPr>
        <xdr:cNvSpPr txBox="1"/>
      </xdr:nvSpPr>
      <xdr:spPr>
        <a:xfrm>
          <a:off x="12580620" y="3391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168</xdr:row>
      <xdr:rowOff>0</xdr:rowOff>
    </xdr:from>
    <xdr:ext cx="65" cy="172227"/>
    <xdr:sp macro="" textlink="">
      <xdr:nvSpPr>
        <xdr:cNvPr id="8156" name="TextBox 8155">
          <a:extLst>
            <a:ext uri="{FF2B5EF4-FFF2-40B4-BE49-F238E27FC236}">
              <a16:creationId xmlns:a16="http://schemas.microsoft.com/office/drawing/2014/main" id="{00000000-0008-0000-0000-0000B8000000}"/>
            </a:ext>
          </a:extLst>
        </xdr:cNvPr>
        <xdr:cNvSpPr txBox="1"/>
      </xdr:nvSpPr>
      <xdr:spPr>
        <a:xfrm>
          <a:off x="8267700" y="34114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168</xdr:row>
      <xdr:rowOff>0</xdr:rowOff>
    </xdr:from>
    <xdr:ext cx="65" cy="172227"/>
    <xdr:sp macro="" textlink="">
      <xdr:nvSpPr>
        <xdr:cNvPr id="8157" name="TextBox 8156">
          <a:extLst>
            <a:ext uri="{FF2B5EF4-FFF2-40B4-BE49-F238E27FC236}">
              <a16:creationId xmlns:a16="http://schemas.microsoft.com/office/drawing/2014/main" id="{00000000-0008-0000-0000-0000B9000000}"/>
            </a:ext>
          </a:extLst>
        </xdr:cNvPr>
        <xdr:cNvSpPr txBox="1"/>
      </xdr:nvSpPr>
      <xdr:spPr>
        <a:xfrm>
          <a:off x="8267700" y="34114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168</xdr:row>
      <xdr:rowOff>0</xdr:rowOff>
    </xdr:from>
    <xdr:ext cx="65" cy="172227"/>
    <xdr:sp macro="" textlink="">
      <xdr:nvSpPr>
        <xdr:cNvPr id="8158" name="TextBox 8157">
          <a:extLst>
            <a:ext uri="{FF2B5EF4-FFF2-40B4-BE49-F238E27FC236}">
              <a16:creationId xmlns:a16="http://schemas.microsoft.com/office/drawing/2014/main" id="{00000000-0008-0000-0000-0000BA000000}"/>
            </a:ext>
          </a:extLst>
        </xdr:cNvPr>
        <xdr:cNvSpPr txBox="1"/>
      </xdr:nvSpPr>
      <xdr:spPr>
        <a:xfrm>
          <a:off x="8267700" y="34114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168</xdr:row>
      <xdr:rowOff>0</xdr:rowOff>
    </xdr:from>
    <xdr:ext cx="65" cy="172227"/>
    <xdr:sp macro="" textlink="">
      <xdr:nvSpPr>
        <xdr:cNvPr id="8159" name="TextBox 8158">
          <a:extLst>
            <a:ext uri="{FF2B5EF4-FFF2-40B4-BE49-F238E27FC236}">
              <a16:creationId xmlns:a16="http://schemas.microsoft.com/office/drawing/2014/main" id="{00000000-0008-0000-0000-0000BB000000}"/>
            </a:ext>
          </a:extLst>
        </xdr:cNvPr>
        <xdr:cNvSpPr txBox="1"/>
      </xdr:nvSpPr>
      <xdr:spPr>
        <a:xfrm>
          <a:off x="8267700" y="34114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168</xdr:row>
      <xdr:rowOff>0</xdr:rowOff>
    </xdr:from>
    <xdr:ext cx="65" cy="172227"/>
    <xdr:sp macro="" textlink="">
      <xdr:nvSpPr>
        <xdr:cNvPr id="8160" name="TextBox 8159">
          <a:extLst>
            <a:ext uri="{FF2B5EF4-FFF2-40B4-BE49-F238E27FC236}">
              <a16:creationId xmlns:a16="http://schemas.microsoft.com/office/drawing/2014/main" id="{00000000-0008-0000-0000-0000BC000000}"/>
            </a:ext>
          </a:extLst>
        </xdr:cNvPr>
        <xdr:cNvSpPr txBox="1"/>
      </xdr:nvSpPr>
      <xdr:spPr>
        <a:xfrm>
          <a:off x="8267700" y="34114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168</xdr:row>
      <xdr:rowOff>0</xdr:rowOff>
    </xdr:from>
    <xdr:ext cx="65" cy="172227"/>
    <xdr:sp macro="" textlink="">
      <xdr:nvSpPr>
        <xdr:cNvPr id="8161" name="TextBox 8160">
          <a:extLst>
            <a:ext uri="{FF2B5EF4-FFF2-40B4-BE49-F238E27FC236}">
              <a16:creationId xmlns:a16="http://schemas.microsoft.com/office/drawing/2014/main" id="{00000000-0008-0000-0000-0000BD000000}"/>
            </a:ext>
          </a:extLst>
        </xdr:cNvPr>
        <xdr:cNvSpPr txBox="1"/>
      </xdr:nvSpPr>
      <xdr:spPr>
        <a:xfrm>
          <a:off x="8267700" y="34114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168</xdr:row>
      <xdr:rowOff>0</xdr:rowOff>
    </xdr:from>
    <xdr:ext cx="65" cy="172227"/>
    <xdr:sp macro="" textlink="">
      <xdr:nvSpPr>
        <xdr:cNvPr id="8162" name="TextBox 8161">
          <a:extLst>
            <a:ext uri="{FF2B5EF4-FFF2-40B4-BE49-F238E27FC236}">
              <a16:creationId xmlns:a16="http://schemas.microsoft.com/office/drawing/2014/main" id="{00000000-0008-0000-0000-0000BE000000}"/>
            </a:ext>
          </a:extLst>
        </xdr:cNvPr>
        <xdr:cNvSpPr txBox="1"/>
      </xdr:nvSpPr>
      <xdr:spPr>
        <a:xfrm>
          <a:off x="8267700" y="34114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168</xdr:row>
      <xdr:rowOff>0</xdr:rowOff>
    </xdr:from>
    <xdr:ext cx="65" cy="172227"/>
    <xdr:sp macro="" textlink="">
      <xdr:nvSpPr>
        <xdr:cNvPr id="8163" name="TextBox 8162">
          <a:extLst>
            <a:ext uri="{FF2B5EF4-FFF2-40B4-BE49-F238E27FC236}">
              <a16:creationId xmlns:a16="http://schemas.microsoft.com/office/drawing/2014/main" id="{00000000-0008-0000-0000-0000BF000000}"/>
            </a:ext>
          </a:extLst>
        </xdr:cNvPr>
        <xdr:cNvSpPr txBox="1"/>
      </xdr:nvSpPr>
      <xdr:spPr>
        <a:xfrm>
          <a:off x="8267700" y="34114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168</xdr:row>
      <xdr:rowOff>0</xdr:rowOff>
    </xdr:from>
    <xdr:ext cx="65" cy="172227"/>
    <xdr:sp macro="" textlink="">
      <xdr:nvSpPr>
        <xdr:cNvPr id="8164" name="TextBox 8163">
          <a:extLst>
            <a:ext uri="{FF2B5EF4-FFF2-40B4-BE49-F238E27FC236}">
              <a16:creationId xmlns:a16="http://schemas.microsoft.com/office/drawing/2014/main" id="{00000000-0008-0000-0000-0000C0000000}"/>
            </a:ext>
          </a:extLst>
        </xdr:cNvPr>
        <xdr:cNvSpPr txBox="1"/>
      </xdr:nvSpPr>
      <xdr:spPr>
        <a:xfrm>
          <a:off x="8267700" y="34114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168</xdr:row>
      <xdr:rowOff>0</xdr:rowOff>
    </xdr:from>
    <xdr:ext cx="65" cy="172227"/>
    <xdr:sp macro="" textlink="">
      <xdr:nvSpPr>
        <xdr:cNvPr id="8165" name="TextBox 8164">
          <a:extLst>
            <a:ext uri="{FF2B5EF4-FFF2-40B4-BE49-F238E27FC236}">
              <a16:creationId xmlns:a16="http://schemas.microsoft.com/office/drawing/2014/main" id="{00000000-0008-0000-0000-0000C1000000}"/>
            </a:ext>
          </a:extLst>
        </xdr:cNvPr>
        <xdr:cNvSpPr txBox="1"/>
      </xdr:nvSpPr>
      <xdr:spPr>
        <a:xfrm>
          <a:off x="8267700" y="34114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168</xdr:row>
      <xdr:rowOff>0</xdr:rowOff>
    </xdr:from>
    <xdr:ext cx="65" cy="172227"/>
    <xdr:sp macro="" textlink="">
      <xdr:nvSpPr>
        <xdr:cNvPr id="8166" name="TextBox 8165">
          <a:extLst>
            <a:ext uri="{FF2B5EF4-FFF2-40B4-BE49-F238E27FC236}">
              <a16:creationId xmlns:a16="http://schemas.microsoft.com/office/drawing/2014/main" id="{00000000-0008-0000-0000-0000C2000000}"/>
            </a:ext>
          </a:extLst>
        </xdr:cNvPr>
        <xdr:cNvSpPr txBox="1"/>
      </xdr:nvSpPr>
      <xdr:spPr>
        <a:xfrm>
          <a:off x="8267700" y="34114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168</xdr:row>
      <xdr:rowOff>0</xdr:rowOff>
    </xdr:from>
    <xdr:ext cx="65" cy="172227"/>
    <xdr:sp macro="" textlink="">
      <xdr:nvSpPr>
        <xdr:cNvPr id="8167" name="TextBox 8166">
          <a:extLst>
            <a:ext uri="{FF2B5EF4-FFF2-40B4-BE49-F238E27FC236}">
              <a16:creationId xmlns:a16="http://schemas.microsoft.com/office/drawing/2014/main" id="{00000000-0008-0000-0000-0000C3000000}"/>
            </a:ext>
          </a:extLst>
        </xdr:cNvPr>
        <xdr:cNvSpPr txBox="1"/>
      </xdr:nvSpPr>
      <xdr:spPr>
        <a:xfrm>
          <a:off x="8267700" y="34114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168</xdr:row>
      <xdr:rowOff>0</xdr:rowOff>
    </xdr:from>
    <xdr:ext cx="65" cy="172227"/>
    <xdr:sp macro="" textlink="">
      <xdr:nvSpPr>
        <xdr:cNvPr id="8168" name="TextBox 8167">
          <a:extLst>
            <a:ext uri="{FF2B5EF4-FFF2-40B4-BE49-F238E27FC236}">
              <a16:creationId xmlns:a16="http://schemas.microsoft.com/office/drawing/2014/main" id="{00000000-0008-0000-0000-0000C4000000}"/>
            </a:ext>
          </a:extLst>
        </xdr:cNvPr>
        <xdr:cNvSpPr txBox="1"/>
      </xdr:nvSpPr>
      <xdr:spPr>
        <a:xfrm>
          <a:off x="8267700" y="34114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168</xdr:row>
      <xdr:rowOff>0</xdr:rowOff>
    </xdr:from>
    <xdr:ext cx="65" cy="172227"/>
    <xdr:sp macro="" textlink="">
      <xdr:nvSpPr>
        <xdr:cNvPr id="8169" name="TextBox 8168">
          <a:extLst>
            <a:ext uri="{FF2B5EF4-FFF2-40B4-BE49-F238E27FC236}">
              <a16:creationId xmlns:a16="http://schemas.microsoft.com/office/drawing/2014/main" id="{00000000-0008-0000-0000-0000C5000000}"/>
            </a:ext>
          </a:extLst>
        </xdr:cNvPr>
        <xdr:cNvSpPr txBox="1"/>
      </xdr:nvSpPr>
      <xdr:spPr>
        <a:xfrm>
          <a:off x="8267700" y="34114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168</xdr:row>
      <xdr:rowOff>0</xdr:rowOff>
    </xdr:from>
    <xdr:ext cx="65" cy="172227"/>
    <xdr:sp macro="" textlink="">
      <xdr:nvSpPr>
        <xdr:cNvPr id="8170" name="TextBox 8169">
          <a:extLst>
            <a:ext uri="{FF2B5EF4-FFF2-40B4-BE49-F238E27FC236}">
              <a16:creationId xmlns:a16="http://schemas.microsoft.com/office/drawing/2014/main" id="{00000000-0008-0000-0000-0000C6000000}"/>
            </a:ext>
          </a:extLst>
        </xdr:cNvPr>
        <xdr:cNvSpPr txBox="1"/>
      </xdr:nvSpPr>
      <xdr:spPr>
        <a:xfrm>
          <a:off x="8267700" y="34114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168</xdr:row>
      <xdr:rowOff>0</xdr:rowOff>
    </xdr:from>
    <xdr:ext cx="65" cy="172227"/>
    <xdr:sp macro="" textlink="">
      <xdr:nvSpPr>
        <xdr:cNvPr id="8171" name="TextBox 8170">
          <a:extLst>
            <a:ext uri="{FF2B5EF4-FFF2-40B4-BE49-F238E27FC236}">
              <a16:creationId xmlns:a16="http://schemas.microsoft.com/office/drawing/2014/main" id="{00000000-0008-0000-0000-0000C7000000}"/>
            </a:ext>
          </a:extLst>
        </xdr:cNvPr>
        <xdr:cNvSpPr txBox="1"/>
      </xdr:nvSpPr>
      <xdr:spPr>
        <a:xfrm>
          <a:off x="8267700" y="34114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168</xdr:row>
      <xdr:rowOff>0</xdr:rowOff>
    </xdr:from>
    <xdr:ext cx="65" cy="172227"/>
    <xdr:sp macro="" textlink="">
      <xdr:nvSpPr>
        <xdr:cNvPr id="8172" name="TextBox 8171">
          <a:extLst>
            <a:ext uri="{FF2B5EF4-FFF2-40B4-BE49-F238E27FC236}">
              <a16:creationId xmlns:a16="http://schemas.microsoft.com/office/drawing/2014/main" id="{00000000-0008-0000-0000-0000C8000000}"/>
            </a:ext>
          </a:extLst>
        </xdr:cNvPr>
        <xdr:cNvSpPr txBox="1"/>
      </xdr:nvSpPr>
      <xdr:spPr>
        <a:xfrm>
          <a:off x="8267700" y="34114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168</xdr:row>
      <xdr:rowOff>0</xdr:rowOff>
    </xdr:from>
    <xdr:ext cx="65" cy="172227"/>
    <xdr:sp macro="" textlink="">
      <xdr:nvSpPr>
        <xdr:cNvPr id="8173" name="TextBox 8172">
          <a:extLst>
            <a:ext uri="{FF2B5EF4-FFF2-40B4-BE49-F238E27FC236}">
              <a16:creationId xmlns:a16="http://schemas.microsoft.com/office/drawing/2014/main" id="{00000000-0008-0000-0000-0000C9000000}"/>
            </a:ext>
          </a:extLst>
        </xdr:cNvPr>
        <xdr:cNvSpPr txBox="1"/>
      </xdr:nvSpPr>
      <xdr:spPr>
        <a:xfrm>
          <a:off x="8267700" y="34114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168</xdr:row>
      <xdr:rowOff>0</xdr:rowOff>
    </xdr:from>
    <xdr:ext cx="65" cy="172227"/>
    <xdr:sp macro="" textlink="">
      <xdr:nvSpPr>
        <xdr:cNvPr id="8174" name="TextBox 8173">
          <a:extLst>
            <a:ext uri="{FF2B5EF4-FFF2-40B4-BE49-F238E27FC236}">
              <a16:creationId xmlns:a16="http://schemas.microsoft.com/office/drawing/2014/main" id="{00000000-0008-0000-0000-0000CA000000}"/>
            </a:ext>
          </a:extLst>
        </xdr:cNvPr>
        <xdr:cNvSpPr txBox="1"/>
      </xdr:nvSpPr>
      <xdr:spPr>
        <a:xfrm>
          <a:off x="8267700" y="34114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168</xdr:row>
      <xdr:rowOff>0</xdr:rowOff>
    </xdr:from>
    <xdr:ext cx="65" cy="172227"/>
    <xdr:sp macro="" textlink="">
      <xdr:nvSpPr>
        <xdr:cNvPr id="8175" name="TextBox 8174">
          <a:extLst>
            <a:ext uri="{FF2B5EF4-FFF2-40B4-BE49-F238E27FC236}">
              <a16:creationId xmlns:a16="http://schemas.microsoft.com/office/drawing/2014/main" id="{00000000-0008-0000-0000-0000CB000000}"/>
            </a:ext>
          </a:extLst>
        </xdr:cNvPr>
        <xdr:cNvSpPr txBox="1"/>
      </xdr:nvSpPr>
      <xdr:spPr>
        <a:xfrm>
          <a:off x="8267700" y="34114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168</xdr:row>
      <xdr:rowOff>0</xdr:rowOff>
    </xdr:from>
    <xdr:ext cx="65" cy="172227"/>
    <xdr:sp macro="" textlink="">
      <xdr:nvSpPr>
        <xdr:cNvPr id="8176" name="TextBox 8175">
          <a:extLst>
            <a:ext uri="{FF2B5EF4-FFF2-40B4-BE49-F238E27FC236}">
              <a16:creationId xmlns:a16="http://schemas.microsoft.com/office/drawing/2014/main" id="{00000000-0008-0000-0000-0000CC000000}"/>
            </a:ext>
          </a:extLst>
        </xdr:cNvPr>
        <xdr:cNvSpPr txBox="1"/>
      </xdr:nvSpPr>
      <xdr:spPr>
        <a:xfrm>
          <a:off x="8267700" y="34114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168</xdr:row>
      <xdr:rowOff>0</xdr:rowOff>
    </xdr:from>
    <xdr:ext cx="65" cy="172227"/>
    <xdr:sp macro="" textlink="">
      <xdr:nvSpPr>
        <xdr:cNvPr id="8177" name="TextBox 8176">
          <a:extLst>
            <a:ext uri="{FF2B5EF4-FFF2-40B4-BE49-F238E27FC236}">
              <a16:creationId xmlns:a16="http://schemas.microsoft.com/office/drawing/2014/main" id="{00000000-0008-0000-0000-0000CD000000}"/>
            </a:ext>
          </a:extLst>
        </xdr:cNvPr>
        <xdr:cNvSpPr txBox="1"/>
      </xdr:nvSpPr>
      <xdr:spPr>
        <a:xfrm>
          <a:off x="8267700" y="34114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168</xdr:row>
      <xdr:rowOff>0</xdr:rowOff>
    </xdr:from>
    <xdr:ext cx="65" cy="172227"/>
    <xdr:sp macro="" textlink="">
      <xdr:nvSpPr>
        <xdr:cNvPr id="8178" name="TextBox 8177">
          <a:extLst>
            <a:ext uri="{FF2B5EF4-FFF2-40B4-BE49-F238E27FC236}">
              <a16:creationId xmlns:a16="http://schemas.microsoft.com/office/drawing/2014/main" id="{00000000-0008-0000-0000-0000CE000000}"/>
            </a:ext>
          </a:extLst>
        </xdr:cNvPr>
        <xdr:cNvSpPr txBox="1"/>
      </xdr:nvSpPr>
      <xdr:spPr>
        <a:xfrm>
          <a:off x="8267700" y="34114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168</xdr:row>
      <xdr:rowOff>0</xdr:rowOff>
    </xdr:from>
    <xdr:ext cx="65" cy="172227"/>
    <xdr:sp macro="" textlink="">
      <xdr:nvSpPr>
        <xdr:cNvPr id="8179" name="TextBox 8178">
          <a:extLst>
            <a:ext uri="{FF2B5EF4-FFF2-40B4-BE49-F238E27FC236}">
              <a16:creationId xmlns:a16="http://schemas.microsoft.com/office/drawing/2014/main" id="{00000000-0008-0000-0000-0000CF000000}"/>
            </a:ext>
          </a:extLst>
        </xdr:cNvPr>
        <xdr:cNvSpPr txBox="1"/>
      </xdr:nvSpPr>
      <xdr:spPr>
        <a:xfrm>
          <a:off x="8267700" y="34114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168</xdr:row>
      <xdr:rowOff>0</xdr:rowOff>
    </xdr:from>
    <xdr:ext cx="65" cy="172227"/>
    <xdr:sp macro="" textlink="">
      <xdr:nvSpPr>
        <xdr:cNvPr id="8180" name="TextBox 8179">
          <a:extLst>
            <a:ext uri="{FF2B5EF4-FFF2-40B4-BE49-F238E27FC236}">
              <a16:creationId xmlns:a16="http://schemas.microsoft.com/office/drawing/2014/main" id="{00000000-0008-0000-0000-0000D0000000}"/>
            </a:ext>
          </a:extLst>
        </xdr:cNvPr>
        <xdr:cNvSpPr txBox="1"/>
      </xdr:nvSpPr>
      <xdr:spPr>
        <a:xfrm>
          <a:off x="8267700" y="34114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168</xdr:row>
      <xdr:rowOff>0</xdr:rowOff>
    </xdr:from>
    <xdr:ext cx="65" cy="172227"/>
    <xdr:sp macro="" textlink="">
      <xdr:nvSpPr>
        <xdr:cNvPr id="8181" name="TextBox 8180">
          <a:extLst>
            <a:ext uri="{FF2B5EF4-FFF2-40B4-BE49-F238E27FC236}">
              <a16:creationId xmlns:a16="http://schemas.microsoft.com/office/drawing/2014/main" id="{00000000-0008-0000-0000-0000D1000000}"/>
            </a:ext>
          </a:extLst>
        </xdr:cNvPr>
        <xdr:cNvSpPr txBox="1"/>
      </xdr:nvSpPr>
      <xdr:spPr>
        <a:xfrm>
          <a:off x="8267700" y="34114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168</xdr:row>
      <xdr:rowOff>0</xdr:rowOff>
    </xdr:from>
    <xdr:ext cx="65" cy="172227"/>
    <xdr:sp macro="" textlink="">
      <xdr:nvSpPr>
        <xdr:cNvPr id="8182" name="TextBox 8181">
          <a:extLst>
            <a:ext uri="{FF2B5EF4-FFF2-40B4-BE49-F238E27FC236}">
              <a16:creationId xmlns:a16="http://schemas.microsoft.com/office/drawing/2014/main" id="{00000000-0008-0000-0000-0000D2000000}"/>
            </a:ext>
          </a:extLst>
        </xdr:cNvPr>
        <xdr:cNvSpPr txBox="1"/>
      </xdr:nvSpPr>
      <xdr:spPr>
        <a:xfrm>
          <a:off x="8267700" y="34114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168</xdr:row>
      <xdr:rowOff>0</xdr:rowOff>
    </xdr:from>
    <xdr:ext cx="65" cy="172227"/>
    <xdr:sp macro="" textlink="">
      <xdr:nvSpPr>
        <xdr:cNvPr id="8183" name="TextBox 8182">
          <a:extLst>
            <a:ext uri="{FF2B5EF4-FFF2-40B4-BE49-F238E27FC236}">
              <a16:creationId xmlns:a16="http://schemas.microsoft.com/office/drawing/2014/main" id="{00000000-0008-0000-0000-0000D3000000}"/>
            </a:ext>
          </a:extLst>
        </xdr:cNvPr>
        <xdr:cNvSpPr txBox="1"/>
      </xdr:nvSpPr>
      <xdr:spPr>
        <a:xfrm>
          <a:off x="8267700" y="34114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168</xdr:row>
      <xdr:rowOff>0</xdr:rowOff>
    </xdr:from>
    <xdr:ext cx="65" cy="172227"/>
    <xdr:sp macro="" textlink="">
      <xdr:nvSpPr>
        <xdr:cNvPr id="8184" name="TextBox 8183">
          <a:extLst>
            <a:ext uri="{FF2B5EF4-FFF2-40B4-BE49-F238E27FC236}">
              <a16:creationId xmlns:a16="http://schemas.microsoft.com/office/drawing/2014/main" id="{00000000-0008-0000-0000-0000D4000000}"/>
            </a:ext>
          </a:extLst>
        </xdr:cNvPr>
        <xdr:cNvSpPr txBox="1"/>
      </xdr:nvSpPr>
      <xdr:spPr>
        <a:xfrm>
          <a:off x="8267700" y="34114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168</xdr:row>
      <xdr:rowOff>0</xdr:rowOff>
    </xdr:from>
    <xdr:ext cx="65" cy="172227"/>
    <xdr:sp macro="" textlink="">
      <xdr:nvSpPr>
        <xdr:cNvPr id="8185" name="TextBox 8184">
          <a:extLst>
            <a:ext uri="{FF2B5EF4-FFF2-40B4-BE49-F238E27FC236}">
              <a16:creationId xmlns:a16="http://schemas.microsoft.com/office/drawing/2014/main" id="{00000000-0008-0000-0000-0000D5000000}"/>
            </a:ext>
          </a:extLst>
        </xdr:cNvPr>
        <xdr:cNvSpPr txBox="1"/>
      </xdr:nvSpPr>
      <xdr:spPr>
        <a:xfrm>
          <a:off x="8267700" y="34114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168</xdr:row>
      <xdr:rowOff>0</xdr:rowOff>
    </xdr:from>
    <xdr:ext cx="65" cy="172227"/>
    <xdr:sp macro="" textlink="">
      <xdr:nvSpPr>
        <xdr:cNvPr id="8186" name="TextBox 8185">
          <a:extLst>
            <a:ext uri="{FF2B5EF4-FFF2-40B4-BE49-F238E27FC236}">
              <a16:creationId xmlns:a16="http://schemas.microsoft.com/office/drawing/2014/main" id="{00000000-0008-0000-0000-0000D6000000}"/>
            </a:ext>
          </a:extLst>
        </xdr:cNvPr>
        <xdr:cNvSpPr txBox="1"/>
      </xdr:nvSpPr>
      <xdr:spPr>
        <a:xfrm>
          <a:off x="8267700" y="34114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168</xdr:row>
      <xdr:rowOff>0</xdr:rowOff>
    </xdr:from>
    <xdr:ext cx="65" cy="172227"/>
    <xdr:sp macro="" textlink="">
      <xdr:nvSpPr>
        <xdr:cNvPr id="8187" name="TextBox 8186">
          <a:extLst>
            <a:ext uri="{FF2B5EF4-FFF2-40B4-BE49-F238E27FC236}">
              <a16:creationId xmlns:a16="http://schemas.microsoft.com/office/drawing/2014/main" id="{00000000-0008-0000-0000-0000D7000000}"/>
            </a:ext>
          </a:extLst>
        </xdr:cNvPr>
        <xdr:cNvSpPr txBox="1"/>
      </xdr:nvSpPr>
      <xdr:spPr>
        <a:xfrm>
          <a:off x="8267700" y="34114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168</xdr:row>
      <xdr:rowOff>0</xdr:rowOff>
    </xdr:from>
    <xdr:ext cx="65" cy="172227"/>
    <xdr:sp macro="" textlink="">
      <xdr:nvSpPr>
        <xdr:cNvPr id="8188" name="TextBox 8187">
          <a:extLst>
            <a:ext uri="{FF2B5EF4-FFF2-40B4-BE49-F238E27FC236}">
              <a16:creationId xmlns:a16="http://schemas.microsoft.com/office/drawing/2014/main" id="{00000000-0008-0000-0000-0000D8000000}"/>
            </a:ext>
          </a:extLst>
        </xdr:cNvPr>
        <xdr:cNvSpPr txBox="1"/>
      </xdr:nvSpPr>
      <xdr:spPr>
        <a:xfrm>
          <a:off x="8267700" y="34114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168</xdr:row>
      <xdr:rowOff>0</xdr:rowOff>
    </xdr:from>
    <xdr:ext cx="65" cy="172227"/>
    <xdr:sp macro="" textlink="">
      <xdr:nvSpPr>
        <xdr:cNvPr id="8189" name="TextBox 8188">
          <a:extLst>
            <a:ext uri="{FF2B5EF4-FFF2-40B4-BE49-F238E27FC236}">
              <a16:creationId xmlns:a16="http://schemas.microsoft.com/office/drawing/2014/main" id="{00000000-0008-0000-0000-0000D9000000}"/>
            </a:ext>
          </a:extLst>
        </xdr:cNvPr>
        <xdr:cNvSpPr txBox="1"/>
      </xdr:nvSpPr>
      <xdr:spPr>
        <a:xfrm>
          <a:off x="8267700" y="34114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168</xdr:row>
      <xdr:rowOff>0</xdr:rowOff>
    </xdr:from>
    <xdr:ext cx="65" cy="172227"/>
    <xdr:sp macro="" textlink="">
      <xdr:nvSpPr>
        <xdr:cNvPr id="8190" name="TextBox 8189">
          <a:extLst>
            <a:ext uri="{FF2B5EF4-FFF2-40B4-BE49-F238E27FC236}">
              <a16:creationId xmlns:a16="http://schemas.microsoft.com/office/drawing/2014/main" id="{00000000-0008-0000-0000-0000DA000000}"/>
            </a:ext>
          </a:extLst>
        </xdr:cNvPr>
        <xdr:cNvSpPr txBox="1"/>
      </xdr:nvSpPr>
      <xdr:spPr>
        <a:xfrm>
          <a:off x="8267700" y="34114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168</xdr:row>
      <xdr:rowOff>0</xdr:rowOff>
    </xdr:from>
    <xdr:ext cx="65" cy="172227"/>
    <xdr:sp macro="" textlink="">
      <xdr:nvSpPr>
        <xdr:cNvPr id="8191" name="TextBox 8190">
          <a:extLst>
            <a:ext uri="{FF2B5EF4-FFF2-40B4-BE49-F238E27FC236}">
              <a16:creationId xmlns:a16="http://schemas.microsoft.com/office/drawing/2014/main" id="{00000000-0008-0000-0000-0000DB000000}"/>
            </a:ext>
          </a:extLst>
        </xdr:cNvPr>
        <xdr:cNvSpPr txBox="1"/>
      </xdr:nvSpPr>
      <xdr:spPr>
        <a:xfrm>
          <a:off x="8267700" y="34114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168</xdr:row>
      <xdr:rowOff>0</xdr:rowOff>
    </xdr:from>
    <xdr:ext cx="65" cy="172227"/>
    <xdr:sp macro="" textlink="">
      <xdr:nvSpPr>
        <xdr:cNvPr id="8192" name="TextBox 8191">
          <a:extLst>
            <a:ext uri="{FF2B5EF4-FFF2-40B4-BE49-F238E27FC236}">
              <a16:creationId xmlns:a16="http://schemas.microsoft.com/office/drawing/2014/main" id="{00000000-0008-0000-0000-0000DC000000}"/>
            </a:ext>
          </a:extLst>
        </xdr:cNvPr>
        <xdr:cNvSpPr txBox="1"/>
      </xdr:nvSpPr>
      <xdr:spPr>
        <a:xfrm>
          <a:off x="8267700" y="34114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168</xdr:row>
      <xdr:rowOff>0</xdr:rowOff>
    </xdr:from>
    <xdr:ext cx="65" cy="172227"/>
    <xdr:sp macro="" textlink="">
      <xdr:nvSpPr>
        <xdr:cNvPr id="8193" name="TextBox 8192">
          <a:extLst>
            <a:ext uri="{FF2B5EF4-FFF2-40B4-BE49-F238E27FC236}">
              <a16:creationId xmlns:a16="http://schemas.microsoft.com/office/drawing/2014/main" id="{00000000-0008-0000-0000-0000DD000000}"/>
            </a:ext>
          </a:extLst>
        </xdr:cNvPr>
        <xdr:cNvSpPr txBox="1"/>
      </xdr:nvSpPr>
      <xdr:spPr>
        <a:xfrm>
          <a:off x="8267700" y="34114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168</xdr:row>
      <xdr:rowOff>0</xdr:rowOff>
    </xdr:from>
    <xdr:ext cx="65" cy="172227"/>
    <xdr:sp macro="" textlink="">
      <xdr:nvSpPr>
        <xdr:cNvPr id="8194" name="TextBox 8193">
          <a:extLst>
            <a:ext uri="{FF2B5EF4-FFF2-40B4-BE49-F238E27FC236}">
              <a16:creationId xmlns:a16="http://schemas.microsoft.com/office/drawing/2014/main" id="{00000000-0008-0000-0000-0000DE000000}"/>
            </a:ext>
          </a:extLst>
        </xdr:cNvPr>
        <xdr:cNvSpPr txBox="1"/>
      </xdr:nvSpPr>
      <xdr:spPr>
        <a:xfrm>
          <a:off x="8267700" y="34114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168</xdr:row>
      <xdr:rowOff>0</xdr:rowOff>
    </xdr:from>
    <xdr:ext cx="65" cy="172227"/>
    <xdr:sp macro="" textlink="">
      <xdr:nvSpPr>
        <xdr:cNvPr id="8195" name="TextBox 8194">
          <a:extLst>
            <a:ext uri="{FF2B5EF4-FFF2-40B4-BE49-F238E27FC236}">
              <a16:creationId xmlns:a16="http://schemas.microsoft.com/office/drawing/2014/main" id="{00000000-0008-0000-0000-0000DF000000}"/>
            </a:ext>
          </a:extLst>
        </xdr:cNvPr>
        <xdr:cNvSpPr txBox="1"/>
      </xdr:nvSpPr>
      <xdr:spPr>
        <a:xfrm>
          <a:off x="8267700" y="34114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168</xdr:row>
      <xdr:rowOff>0</xdr:rowOff>
    </xdr:from>
    <xdr:ext cx="65" cy="172227"/>
    <xdr:sp macro="" textlink="">
      <xdr:nvSpPr>
        <xdr:cNvPr id="8196" name="TextBox 8195">
          <a:extLst>
            <a:ext uri="{FF2B5EF4-FFF2-40B4-BE49-F238E27FC236}">
              <a16:creationId xmlns:a16="http://schemas.microsoft.com/office/drawing/2014/main" id="{00000000-0008-0000-0000-0000E0000000}"/>
            </a:ext>
          </a:extLst>
        </xdr:cNvPr>
        <xdr:cNvSpPr txBox="1"/>
      </xdr:nvSpPr>
      <xdr:spPr>
        <a:xfrm>
          <a:off x="8267700" y="34114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168</xdr:row>
      <xdr:rowOff>0</xdr:rowOff>
    </xdr:from>
    <xdr:ext cx="65" cy="172227"/>
    <xdr:sp macro="" textlink="">
      <xdr:nvSpPr>
        <xdr:cNvPr id="8197" name="TextBox 8196">
          <a:extLst>
            <a:ext uri="{FF2B5EF4-FFF2-40B4-BE49-F238E27FC236}">
              <a16:creationId xmlns:a16="http://schemas.microsoft.com/office/drawing/2014/main" id="{00000000-0008-0000-0000-0000E1000000}"/>
            </a:ext>
          </a:extLst>
        </xdr:cNvPr>
        <xdr:cNvSpPr txBox="1"/>
      </xdr:nvSpPr>
      <xdr:spPr>
        <a:xfrm>
          <a:off x="8267700" y="34114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168</xdr:row>
      <xdr:rowOff>0</xdr:rowOff>
    </xdr:from>
    <xdr:ext cx="65" cy="172227"/>
    <xdr:sp macro="" textlink="">
      <xdr:nvSpPr>
        <xdr:cNvPr id="8198" name="TextBox 8197">
          <a:extLst>
            <a:ext uri="{FF2B5EF4-FFF2-40B4-BE49-F238E27FC236}">
              <a16:creationId xmlns:a16="http://schemas.microsoft.com/office/drawing/2014/main" id="{00000000-0008-0000-0000-0000E2000000}"/>
            </a:ext>
          </a:extLst>
        </xdr:cNvPr>
        <xdr:cNvSpPr txBox="1"/>
      </xdr:nvSpPr>
      <xdr:spPr>
        <a:xfrm>
          <a:off x="8267700" y="34114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168</xdr:row>
      <xdr:rowOff>0</xdr:rowOff>
    </xdr:from>
    <xdr:ext cx="65" cy="172227"/>
    <xdr:sp macro="" textlink="">
      <xdr:nvSpPr>
        <xdr:cNvPr id="8199" name="TextBox 8198">
          <a:extLst>
            <a:ext uri="{FF2B5EF4-FFF2-40B4-BE49-F238E27FC236}">
              <a16:creationId xmlns:a16="http://schemas.microsoft.com/office/drawing/2014/main" id="{00000000-0008-0000-0000-0000E3000000}"/>
            </a:ext>
          </a:extLst>
        </xdr:cNvPr>
        <xdr:cNvSpPr txBox="1"/>
      </xdr:nvSpPr>
      <xdr:spPr>
        <a:xfrm>
          <a:off x="8267700" y="34114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168</xdr:row>
      <xdr:rowOff>0</xdr:rowOff>
    </xdr:from>
    <xdr:ext cx="65" cy="172227"/>
    <xdr:sp macro="" textlink="">
      <xdr:nvSpPr>
        <xdr:cNvPr id="8200" name="TextBox 8199">
          <a:extLst>
            <a:ext uri="{FF2B5EF4-FFF2-40B4-BE49-F238E27FC236}">
              <a16:creationId xmlns:a16="http://schemas.microsoft.com/office/drawing/2014/main" id="{00000000-0008-0000-0000-0000E4000000}"/>
            </a:ext>
          </a:extLst>
        </xdr:cNvPr>
        <xdr:cNvSpPr txBox="1"/>
      </xdr:nvSpPr>
      <xdr:spPr>
        <a:xfrm>
          <a:off x="8267700" y="34114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168</xdr:row>
      <xdr:rowOff>0</xdr:rowOff>
    </xdr:from>
    <xdr:ext cx="65" cy="172227"/>
    <xdr:sp macro="" textlink="">
      <xdr:nvSpPr>
        <xdr:cNvPr id="8201" name="TextBox 8200">
          <a:extLst>
            <a:ext uri="{FF2B5EF4-FFF2-40B4-BE49-F238E27FC236}">
              <a16:creationId xmlns:a16="http://schemas.microsoft.com/office/drawing/2014/main" id="{00000000-0008-0000-0000-0000E5000000}"/>
            </a:ext>
          </a:extLst>
        </xdr:cNvPr>
        <xdr:cNvSpPr txBox="1"/>
      </xdr:nvSpPr>
      <xdr:spPr>
        <a:xfrm>
          <a:off x="8267700" y="34114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168</xdr:row>
      <xdr:rowOff>0</xdr:rowOff>
    </xdr:from>
    <xdr:ext cx="65" cy="172227"/>
    <xdr:sp macro="" textlink="">
      <xdr:nvSpPr>
        <xdr:cNvPr id="8202" name="TextBox 8201">
          <a:extLst>
            <a:ext uri="{FF2B5EF4-FFF2-40B4-BE49-F238E27FC236}">
              <a16:creationId xmlns:a16="http://schemas.microsoft.com/office/drawing/2014/main" id="{00000000-0008-0000-0000-0000E6000000}"/>
            </a:ext>
          </a:extLst>
        </xdr:cNvPr>
        <xdr:cNvSpPr txBox="1"/>
      </xdr:nvSpPr>
      <xdr:spPr>
        <a:xfrm>
          <a:off x="8267700" y="34114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168</xdr:row>
      <xdr:rowOff>0</xdr:rowOff>
    </xdr:from>
    <xdr:ext cx="65" cy="172227"/>
    <xdr:sp macro="" textlink="">
      <xdr:nvSpPr>
        <xdr:cNvPr id="8203" name="TextBox 8202">
          <a:extLst>
            <a:ext uri="{FF2B5EF4-FFF2-40B4-BE49-F238E27FC236}">
              <a16:creationId xmlns:a16="http://schemas.microsoft.com/office/drawing/2014/main" id="{00000000-0008-0000-0000-0000E7000000}"/>
            </a:ext>
          </a:extLst>
        </xdr:cNvPr>
        <xdr:cNvSpPr txBox="1"/>
      </xdr:nvSpPr>
      <xdr:spPr>
        <a:xfrm>
          <a:off x="8267700" y="34114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168</xdr:row>
      <xdr:rowOff>0</xdr:rowOff>
    </xdr:from>
    <xdr:ext cx="65" cy="172227"/>
    <xdr:sp macro="" textlink="">
      <xdr:nvSpPr>
        <xdr:cNvPr id="8204" name="TextBox 8203">
          <a:extLst>
            <a:ext uri="{FF2B5EF4-FFF2-40B4-BE49-F238E27FC236}">
              <a16:creationId xmlns:a16="http://schemas.microsoft.com/office/drawing/2014/main" id="{00000000-0008-0000-0000-0000E8000000}"/>
            </a:ext>
          </a:extLst>
        </xdr:cNvPr>
        <xdr:cNvSpPr txBox="1"/>
      </xdr:nvSpPr>
      <xdr:spPr>
        <a:xfrm>
          <a:off x="12580620" y="34114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168</xdr:row>
      <xdr:rowOff>0</xdr:rowOff>
    </xdr:from>
    <xdr:ext cx="65" cy="172227"/>
    <xdr:sp macro="" textlink="">
      <xdr:nvSpPr>
        <xdr:cNvPr id="8205" name="TextBox 8204">
          <a:extLst>
            <a:ext uri="{FF2B5EF4-FFF2-40B4-BE49-F238E27FC236}">
              <a16:creationId xmlns:a16="http://schemas.microsoft.com/office/drawing/2014/main" id="{00000000-0008-0000-0000-0000E9000000}"/>
            </a:ext>
          </a:extLst>
        </xdr:cNvPr>
        <xdr:cNvSpPr txBox="1"/>
      </xdr:nvSpPr>
      <xdr:spPr>
        <a:xfrm>
          <a:off x="12580620" y="34114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168</xdr:row>
      <xdr:rowOff>0</xdr:rowOff>
    </xdr:from>
    <xdr:ext cx="65" cy="172227"/>
    <xdr:sp macro="" textlink="">
      <xdr:nvSpPr>
        <xdr:cNvPr id="8206" name="TextBox 8205">
          <a:extLst>
            <a:ext uri="{FF2B5EF4-FFF2-40B4-BE49-F238E27FC236}">
              <a16:creationId xmlns:a16="http://schemas.microsoft.com/office/drawing/2014/main" id="{00000000-0008-0000-0000-0000EA000000}"/>
            </a:ext>
          </a:extLst>
        </xdr:cNvPr>
        <xdr:cNvSpPr txBox="1"/>
      </xdr:nvSpPr>
      <xdr:spPr>
        <a:xfrm>
          <a:off x="12580620" y="34114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168</xdr:row>
      <xdr:rowOff>0</xdr:rowOff>
    </xdr:from>
    <xdr:ext cx="65" cy="172227"/>
    <xdr:sp macro="" textlink="">
      <xdr:nvSpPr>
        <xdr:cNvPr id="8207" name="TextBox 8206">
          <a:extLst>
            <a:ext uri="{FF2B5EF4-FFF2-40B4-BE49-F238E27FC236}">
              <a16:creationId xmlns:a16="http://schemas.microsoft.com/office/drawing/2014/main" id="{00000000-0008-0000-0000-0000EB000000}"/>
            </a:ext>
          </a:extLst>
        </xdr:cNvPr>
        <xdr:cNvSpPr txBox="1"/>
      </xdr:nvSpPr>
      <xdr:spPr>
        <a:xfrm>
          <a:off x="12580620" y="34114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168</xdr:row>
      <xdr:rowOff>0</xdr:rowOff>
    </xdr:from>
    <xdr:ext cx="65" cy="172227"/>
    <xdr:sp macro="" textlink="">
      <xdr:nvSpPr>
        <xdr:cNvPr id="8208" name="TextBox 8207">
          <a:extLst>
            <a:ext uri="{FF2B5EF4-FFF2-40B4-BE49-F238E27FC236}">
              <a16:creationId xmlns:a16="http://schemas.microsoft.com/office/drawing/2014/main" id="{00000000-0008-0000-0000-0000EC000000}"/>
            </a:ext>
          </a:extLst>
        </xdr:cNvPr>
        <xdr:cNvSpPr txBox="1"/>
      </xdr:nvSpPr>
      <xdr:spPr>
        <a:xfrm>
          <a:off x="12580620" y="34114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168</xdr:row>
      <xdr:rowOff>0</xdr:rowOff>
    </xdr:from>
    <xdr:ext cx="65" cy="172227"/>
    <xdr:sp macro="" textlink="">
      <xdr:nvSpPr>
        <xdr:cNvPr id="8209" name="TextBox 8208">
          <a:extLst>
            <a:ext uri="{FF2B5EF4-FFF2-40B4-BE49-F238E27FC236}">
              <a16:creationId xmlns:a16="http://schemas.microsoft.com/office/drawing/2014/main" id="{00000000-0008-0000-0000-0000ED000000}"/>
            </a:ext>
          </a:extLst>
        </xdr:cNvPr>
        <xdr:cNvSpPr txBox="1"/>
      </xdr:nvSpPr>
      <xdr:spPr>
        <a:xfrm>
          <a:off x="12580620" y="34114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168</xdr:row>
      <xdr:rowOff>0</xdr:rowOff>
    </xdr:from>
    <xdr:ext cx="65" cy="172227"/>
    <xdr:sp macro="" textlink="">
      <xdr:nvSpPr>
        <xdr:cNvPr id="8210" name="TextBox 8209">
          <a:extLst>
            <a:ext uri="{FF2B5EF4-FFF2-40B4-BE49-F238E27FC236}">
              <a16:creationId xmlns:a16="http://schemas.microsoft.com/office/drawing/2014/main" id="{00000000-0008-0000-0000-0000EE000000}"/>
            </a:ext>
          </a:extLst>
        </xdr:cNvPr>
        <xdr:cNvSpPr txBox="1"/>
      </xdr:nvSpPr>
      <xdr:spPr>
        <a:xfrm>
          <a:off x="12580620" y="34114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168</xdr:row>
      <xdr:rowOff>0</xdr:rowOff>
    </xdr:from>
    <xdr:ext cx="65" cy="172227"/>
    <xdr:sp macro="" textlink="">
      <xdr:nvSpPr>
        <xdr:cNvPr id="8211" name="TextBox 8210">
          <a:extLst>
            <a:ext uri="{FF2B5EF4-FFF2-40B4-BE49-F238E27FC236}">
              <a16:creationId xmlns:a16="http://schemas.microsoft.com/office/drawing/2014/main" id="{00000000-0008-0000-0000-0000EF000000}"/>
            </a:ext>
          </a:extLst>
        </xdr:cNvPr>
        <xdr:cNvSpPr txBox="1"/>
      </xdr:nvSpPr>
      <xdr:spPr>
        <a:xfrm>
          <a:off x="12580620" y="34114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169</xdr:row>
      <xdr:rowOff>0</xdr:rowOff>
    </xdr:from>
    <xdr:ext cx="65" cy="172227"/>
    <xdr:sp macro="" textlink="">
      <xdr:nvSpPr>
        <xdr:cNvPr id="8212" name="TextBox 8211">
          <a:extLst>
            <a:ext uri="{FF2B5EF4-FFF2-40B4-BE49-F238E27FC236}">
              <a16:creationId xmlns:a16="http://schemas.microsoft.com/office/drawing/2014/main" id="{00000000-0008-0000-0000-0000F0000000}"/>
            </a:ext>
          </a:extLst>
        </xdr:cNvPr>
        <xdr:cNvSpPr txBox="1"/>
      </xdr:nvSpPr>
      <xdr:spPr>
        <a:xfrm>
          <a:off x="8267700" y="34312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169</xdr:row>
      <xdr:rowOff>0</xdr:rowOff>
    </xdr:from>
    <xdr:ext cx="65" cy="172227"/>
    <xdr:sp macro="" textlink="">
      <xdr:nvSpPr>
        <xdr:cNvPr id="8213" name="TextBox 8212">
          <a:extLst>
            <a:ext uri="{FF2B5EF4-FFF2-40B4-BE49-F238E27FC236}">
              <a16:creationId xmlns:a16="http://schemas.microsoft.com/office/drawing/2014/main" id="{00000000-0008-0000-0000-0000F1000000}"/>
            </a:ext>
          </a:extLst>
        </xdr:cNvPr>
        <xdr:cNvSpPr txBox="1"/>
      </xdr:nvSpPr>
      <xdr:spPr>
        <a:xfrm>
          <a:off x="8267700" y="34312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169</xdr:row>
      <xdr:rowOff>0</xdr:rowOff>
    </xdr:from>
    <xdr:ext cx="65" cy="172227"/>
    <xdr:sp macro="" textlink="">
      <xdr:nvSpPr>
        <xdr:cNvPr id="8214" name="TextBox 8213">
          <a:extLst>
            <a:ext uri="{FF2B5EF4-FFF2-40B4-BE49-F238E27FC236}">
              <a16:creationId xmlns:a16="http://schemas.microsoft.com/office/drawing/2014/main" id="{00000000-0008-0000-0000-0000F2000000}"/>
            </a:ext>
          </a:extLst>
        </xdr:cNvPr>
        <xdr:cNvSpPr txBox="1"/>
      </xdr:nvSpPr>
      <xdr:spPr>
        <a:xfrm>
          <a:off x="8267700" y="34312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169</xdr:row>
      <xdr:rowOff>0</xdr:rowOff>
    </xdr:from>
    <xdr:ext cx="65" cy="172227"/>
    <xdr:sp macro="" textlink="">
      <xdr:nvSpPr>
        <xdr:cNvPr id="8215" name="TextBox 8214">
          <a:extLst>
            <a:ext uri="{FF2B5EF4-FFF2-40B4-BE49-F238E27FC236}">
              <a16:creationId xmlns:a16="http://schemas.microsoft.com/office/drawing/2014/main" id="{00000000-0008-0000-0000-0000F3000000}"/>
            </a:ext>
          </a:extLst>
        </xdr:cNvPr>
        <xdr:cNvSpPr txBox="1"/>
      </xdr:nvSpPr>
      <xdr:spPr>
        <a:xfrm>
          <a:off x="8267700" y="34312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169</xdr:row>
      <xdr:rowOff>0</xdr:rowOff>
    </xdr:from>
    <xdr:ext cx="65" cy="172227"/>
    <xdr:sp macro="" textlink="">
      <xdr:nvSpPr>
        <xdr:cNvPr id="8216" name="TextBox 8215">
          <a:extLst>
            <a:ext uri="{FF2B5EF4-FFF2-40B4-BE49-F238E27FC236}">
              <a16:creationId xmlns:a16="http://schemas.microsoft.com/office/drawing/2014/main" id="{00000000-0008-0000-0000-0000F4000000}"/>
            </a:ext>
          </a:extLst>
        </xdr:cNvPr>
        <xdr:cNvSpPr txBox="1"/>
      </xdr:nvSpPr>
      <xdr:spPr>
        <a:xfrm>
          <a:off x="8267700" y="34312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169</xdr:row>
      <xdr:rowOff>0</xdr:rowOff>
    </xdr:from>
    <xdr:ext cx="65" cy="172227"/>
    <xdr:sp macro="" textlink="">
      <xdr:nvSpPr>
        <xdr:cNvPr id="8217" name="TextBox 8216">
          <a:extLst>
            <a:ext uri="{FF2B5EF4-FFF2-40B4-BE49-F238E27FC236}">
              <a16:creationId xmlns:a16="http://schemas.microsoft.com/office/drawing/2014/main" id="{00000000-0008-0000-0000-0000F5000000}"/>
            </a:ext>
          </a:extLst>
        </xdr:cNvPr>
        <xdr:cNvSpPr txBox="1"/>
      </xdr:nvSpPr>
      <xdr:spPr>
        <a:xfrm>
          <a:off x="8267700" y="34312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169</xdr:row>
      <xdr:rowOff>0</xdr:rowOff>
    </xdr:from>
    <xdr:ext cx="65" cy="172227"/>
    <xdr:sp macro="" textlink="">
      <xdr:nvSpPr>
        <xdr:cNvPr id="8218" name="TextBox 8217">
          <a:extLst>
            <a:ext uri="{FF2B5EF4-FFF2-40B4-BE49-F238E27FC236}">
              <a16:creationId xmlns:a16="http://schemas.microsoft.com/office/drawing/2014/main" id="{00000000-0008-0000-0000-0000F6000000}"/>
            </a:ext>
          </a:extLst>
        </xdr:cNvPr>
        <xdr:cNvSpPr txBox="1"/>
      </xdr:nvSpPr>
      <xdr:spPr>
        <a:xfrm>
          <a:off x="8267700" y="34312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169</xdr:row>
      <xdr:rowOff>0</xdr:rowOff>
    </xdr:from>
    <xdr:ext cx="65" cy="172227"/>
    <xdr:sp macro="" textlink="">
      <xdr:nvSpPr>
        <xdr:cNvPr id="8219" name="TextBox 8218">
          <a:extLst>
            <a:ext uri="{FF2B5EF4-FFF2-40B4-BE49-F238E27FC236}">
              <a16:creationId xmlns:a16="http://schemas.microsoft.com/office/drawing/2014/main" id="{00000000-0008-0000-0000-0000F7000000}"/>
            </a:ext>
          </a:extLst>
        </xdr:cNvPr>
        <xdr:cNvSpPr txBox="1"/>
      </xdr:nvSpPr>
      <xdr:spPr>
        <a:xfrm>
          <a:off x="8267700" y="34312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169</xdr:row>
      <xdr:rowOff>0</xdr:rowOff>
    </xdr:from>
    <xdr:ext cx="65" cy="172227"/>
    <xdr:sp macro="" textlink="">
      <xdr:nvSpPr>
        <xdr:cNvPr id="8220" name="TextBox 8219">
          <a:extLst>
            <a:ext uri="{FF2B5EF4-FFF2-40B4-BE49-F238E27FC236}">
              <a16:creationId xmlns:a16="http://schemas.microsoft.com/office/drawing/2014/main" id="{00000000-0008-0000-0000-0000F8000000}"/>
            </a:ext>
          </a:extLst>
        </xdr:cNvPr>
        <xdr:cNvSpPr txBox="1"/>
      </xdr:nvSpPr>
      <xdr:spPr>
        <a:xfrm>
          <a:off x="8267700" y="34312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169</xdr:row>
      <xdr:rowOff>0</xdr:rowOff>
    </xdr:from>
    <xdr:ext cx="65" cy="172227"/>
    <xdr:sp macro="" textlink="">
      <xdr:nvSpPr>
        <xdr:cNvPr id="8221" name="TextBox 8220">
          <a:extLst>
            <a:ext uri="{FF2B5EF4-FFF2-40B4-BE49-F238E27FC236}">
              <a16:creationId xmlns:a16="http://schemas.microsoft.com/office/drawing/2014/main" id="{00000000-0008-0000-0000-0000F9000000}"/>
            </a:ext>
          </a:extLst>
        </xdr:cNvPr>
        <xdr:cNvSpPr txBox="1"/>
      </xdr:nvSpPr>
      <xdr:spPr>
        <a:xfrm>
          <a:off x="8267700" y="34312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169</xdr:row>
      <xdr:rowOff>0</xdr:rowOff>
    </xdr:from>
    <xdr:ext cx="65" cy="172227"/>
    <xdr:sp macro="" textlink="">
      <xdr:nvSpPr>
        <xdr:cNvPr id="8222" name="TextBox 8221">
          <a:extLst>
            <a:ext uri="{FF2B5EF4-FFF2-40B4-BE49-F238E27FC236}">
              <a16:creationId xmlns:a16="http://schemas.microsoft.com/office/drawing/2014/main" id="{00000000-0008-0000-0000-0000FA000000}"/>
            </a:ext>
          </a:extLst>
        </xdr:cNvPr>
        <xdr:cNvSpPr txBox="1"/>
      </xdr:nvSpPr>
      <xdr:spPr>
        <a:xfrm>
          <a:off x="8267700" y="34312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169</xdr:row>
      <xdr:rowOff>0</xdr:rowOff>
    </xdr:from>
    <xdr:ext cx="65" cy="172227"/>
    <xdr:sp macro="" textlink="">
      <xdr:nvSpPr>
        <xdr:cNvPr id="8223" name="TextBox 8222">
          <a:extLst>
            <a:ext uri="{FF2B5EF4-FFF2-40B4-BE49-F238E27FC236}">
              <a16:creationId xmlns:a16="http://schemas.microsoft.com/office/drawing/2014/main" id="{00000000-0008-0000-0000-0000FB000000}"/>
            </a:ext>
          </a:extLst>
        </xdr:cNvPr>
        <xdr:cNvSpPr txBox="1"/>
      </xdr:nvSpPr>
      <xdr:spPr>
        <a:xfrm>
          <a:off x="8267700" y="34312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169</xdr:row>
      <xdr:rowOff>0</xdr:rowOff>
    </xdr:from>
    <xdr:ext cx="65" cy="172227"/>
    <xdr:sp macro="" textlink="">
      <xdr:nvSpPr>
        <xdr:cNvPr id="8224" name="TextBox 8223">
          <a:extLst>
            <a:ext uri="{FF2B5EF4-FFF2-40B4-BE49-F238E27FC236}">
              <a16:creationId xmlns:a16="http://schemas.microsoft.com/office/drawing/2014/main" id="{00000000-0008-0000-0000-0000FC000000}"/>
            </a:ext>
          </a:extLst>
        </xdr:cNvPr>
        <xdr:cNvSpPr txBox="1"/>
      </xdr:nvSpPr>
      <xdr:spPr>
        <a:xfrm>
          <a:off x="8267700" y="34312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169</xdr:row>
      <xdr:rowOff>0</xdr:rowOff>
    </xdr:from>
    <xdr:ext cx="65" cy="172227"/>
    <xdr:sp macro="" textlink="">
      <xdr:nvSpPr>
        <xdr:cNvPr id="8225" name="TextBox 8224">
          <a:extLst>
            <a:ext uri="{FF2B5EF4-FFF2-40B4-BE49-F238E27FC236}">
              <a16:creationId xmlns:a16="http://schemas.microsoft.com/office/drawing/2014/main" id="{00000000-0008-0000-0000-0000FD000000}"/>
            </a:ext>
          </a:extLst>
        </xdr:cNvPr>
        <xdr:cNvSpPr txBox="1"/>
      </xdr:nvSpPr>
      <xdr:spPr>
        <a:xfrm>
          <a:off x="8267700" y="34312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169</xdr:row>
      <xdr:rowOff>0</xdr:rowOff>
    </xdr:from>
    <xdr:ext cx="65" cy="172227"/>
    <xdr:sp macro="" textlink="">
      <xdr:nvSpPr>
        <xdr:cNvPr id="8226" name="TextBox 8225">
          <a:extLst>
            <a:ext uri="{FF2B5EF4-FFF2-40B4-BE49-F238E27FC236}">
              <a16:creationId xmlns:a16="http://schemas.microsoft.com/office/drawing/2014/main" id="{00000000-0008-0000-0000-0000FE000000}"/>
            </a:ext>
          </a:extLst>
        </xdr:cNvPr>
        <xdr:cNvSpPr txBox="1"/>
      </xdr:nvSpPr>
      <xdr:spPr>
        <a:xfrm>
          <a:off x="8267700" y="34312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169</xdr:row>
      <xdr:rowOff>0</xdr:rowOff>
    </xdr:from>
    <xdr:ext cx="65" cy="172227"/>
    <xdr:sp macro="" textlink="">
      <xdr:nvSpPr>
        <xdr:cNvPr id="8227" name="TextBox 8226">
          <a:extLst>
            <a:ext uri="{FF2B5EF4-FFF2-40B4-BE49-F238E27FC236}">
              <a16:creationId xmlns:a16="http://schemas.microsoft.com/office/drawing/2014/main" id="{00000000-0008-0000-0000-0000FF000000}"/>
            </a:ext>
          </a:extLst>
        </xdr:cNvPr>
        <xdr:cNvSpPr txBox="1"/>
      </xdr:nvSpPr>
      <xdr:spPr>
        <a:xfrm>
          <a:off x="8267700" y="34312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169</xdr:row>
      <xdr:rowOff>0</xdr:rowOff>
    </xdr:from>
    <xdr:ext cx="65" cy="172227"/>
    <xdr:sp macro="" textlink="">
      <xdr:nvSpPr>
        <xdr:cNvPr id="8228" name="TextBox 8227">
          <a:extLst>
            <a:ext uri="{FF2B5EF4-FFF2-40B4-BE49-F238E27FC236}">
              <a16:creationId xmlns:a16="http://schemas.microsoft.com/office/drawing/2014/main" id="{00000000-0008-0000-0000-000000010000}"/>
            </a:ext>
          </a:extLst>
        </xdr:cNvPr>
        <xdr:cNvSpPr txBox="1"/>
      </xdr:nvSpPr>
      <xdr:spPr>
        <a:xfrm>
          <a:off x="8267700" y="34312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169</xdr:row>
      <xdr:rowOff>0</xdr:rowOff>
    </xdr:from>
    <xdr:ext cx="65" cy="172227"/>
    <xdr:sp macro="" textlink="">
      <xdr:nvSpPr>
        <xdr:cNvPr id="8229" name="TextBox 8228">
          <a:extLst>
            <a:ext uri="{FF2B5EF4-FFF2-40B4-BE49-F238E27FC236}">
              <a16:creationId xmlns:a16="http://schemas.microsoft.com/office/drawing/2014/main" id="{00000000-0008-0000-0000-000001010000}"/>
            </a:ext>
          </a:extLst>
        </xdr:cNvPr>
        <xdr:cNvSpPr txBox="1"/>
      </xdr:nvSpPr>
      <xdr:spPr>
        <a:xfrm>
          <a:off x="8267700" y="34312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169</xdr:row>
      <xdr:rowOff>0</xdr:rowOff>
    </xdr:from>
    <xdr:ext cx="65" cy="172227"/>
    <xdr:sp macro="" textlink="">
      <xdr:nvSpPr>
        <xdr:cNvPr id="8230" name="TextBox 8229">
          <a:extLst>
            <a:ext uri="{FF2B5EF4-FFF2-40B4-BE49-F238E27FC236}">
              <a16:creationId xmlns:a16="http://schemas.microsoft.com/office/drawing/2014/main" id="{00000000-0008-0000-0000-000002010000}"/>
            </a:ext>
          </a:extLst>
        </xdr:cNvPr>
        <xdr:cNvSpPr txBox="1"/>
      </xdr:nvSpPr>
      <xdr:spPr>
        <a:xfrm>
          <a:off x="8267700" y="34312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169</xdr:row>
      <xdr:rowOff>0</xdr:rowOff>
    </xdr:from>
    <xdr:ext cx="65" cy="172227"/>
    <xdr:sp macro="" textlink="">
      <xdr:nvSpPr>
        <xdr:cNvPr id="8231" name="TextBox 8230">
          <a:extLst>
            <a:ext uri="{FF2B5EF4-FFF2-40B4-BE49-F238E27FC236}">
              <a16:creationId xmlns:a16="http://schemas.microsoft.com/office/drawing/2014/main" id="{00000000-0008-0000-0000-000003010000}"/>
            </a:ext>
          </a:extLst>
        </xdr:cNvPr>
        <xdr:cNvSpPr txBox="1"/>
      </xdr:nvSpPr>
      <xdr:spPr>
        <a:xfrm>
          <a:off x="8267700" y="34312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169</xdr:row>
      <xdr:rowOff>0</xdr:rowOff>
    </xdr:from>
    <xdr:ext cx="65" cy="172227"/>
    <xdr:sp macro="" textlink="">
      <xdr:nvSpPr>
        <xdr:cNvPr id="8232" name="TextBox 8231">
          <a:extLst>
            <a:ext uri="{FF2B5EF4-FFF2-40B4-BE49-F238E27FC236}">
              <a16:creationId xmlns:a16="http://schemas.microsoft.com/office/drawing/2014/main" id="{00000000-0008-0000-0000-000004010000}"/>
            </a:ext>
          </a:extLst>
        </xdr:cNvPr>
        <xdr:cNvSpPr txBox="1"/>
      </xdr:nvSpPr>
      <xdr:spPr>
        <a:xfrm>
          <a:off x="8267700" y="34312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169</xdr:row>
      <xdr:rowOff>0</xdr:rowOff>
    </xdr:from>
    <xdr:ext cx="65" cy="172227"/>
    <xdr:sp macro="" textlink="">
      <xdr:nvSpPr>
        <xdr:cNvPr id="8233" name="TextBox 8232">
          <a:extLst>
            <a:ext uri="{FF2B5EF4-FFF2-40B4-BE49-F238E27FC236}">
              <a16:creationId xmlns:a16="http://schemas.microsoft.com/office/drawing/2014/main" id="{00000000-0008-0000-0000-000005010000}"/>
            </a:ext>
          </a:extLst>
        </xdr:cNvPr>
        <xdr:cNvSpPr txBox="1"/>
      </xdr:nvSpPr>
      <xdr:spPr>
        <a:xfrm>
          <a:off x="8267700" y="34312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169</xdr:row>
      <xdr:rowOff>0</xdr:rowOff>
    </xdr:from>
    <xdr:ext cx="65" cy="172227"/>
    <xdr:sp macro="" textlink="">
      <xdr:nvSpPr>
        <xdr:cNvPr id="8234" name="TextBox 8233">
          <a:extLst>
            <a:ext uri="{FF2B5EF4-FFF2-40B4-BE49-F238E27FC236}">
              <a16:creationId xmlns:a16="http://schemas.microsoft.com/office/drawing/2014/main" id="{00000000-0008-0000-0000-000006010000}"/>
            </a:ext>
          </a:extLst>
        </xdr:cNvPr>
        <xdr:cNvSpPr txBox="1"/>
      </xdr:nvSpPr>
      <xdr:spPr>
        <a:xfrm>
          <a:off x="8267700" y="34312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169</xdr:row>
      <xdr:rowOff>0</xdr:rowOff>
    </xdr:from>
    <xdr:ext cx="65" cy="172227"/>
    <xdr:sp macro="" textlink="">
      <xdr:nvSpPr>
        <xdr:cNvPr id="8235" name="TextBox 8234">
          <a:extLst>
            <a:ext uri="{FF2B5EF4-FFF2-40B4-BE49-F238E27FC236}">
              <a16:creationId xmlns:a16="http://schemas.microsoft.com/office/drawing/2014/main" id="{00000000-0008-0000-0000-000007010000}"/>
            </a:ext>
          </a:extLst>
        </xdr:cNvPr>
        <xdr:cNvSpPr txBox="1"/>
      </xdr:nvSpPr>
      <xdr:spPr>
        <a:xfrm>
          <a:off x="8267700" y="34312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169</xdr:row>
      <xdr:rowOff>0</xdr:rowOff>
    </xdr:from>
    <xdr:ext cx="65" cy="172227"/>
    <xdr:sp macro="" textlink="">
      <xdr:nvSpPr>
        <xdr:cNvPr id="8236" name="TextBox 8235">
          <a:extLst>
            <a:ext uri="{FF2B5EF4-FFF2-40B4-BE49-F238E27FC236}">
              <a16:creationId xmlns:a16="http://schemas.microsoft.com/office/drawing/2014/main" id="{00000000-0008-0000-0000-000008010000}"/>
            </a:ext>
          </a:extLst>
        </xdr:cNvPr>
        <xdr:cNvSpPr txBox="1"/>
      </xdr:nvSpPr>
      <xdr:spPr>
        <a:xfrm>
          <a:off x="8267700" y="34312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169</xdr:row>
      <xdr:rowOff>0</xdr:rowOff>
    </xdr:from>
    <xdr:ext cx="65" cy="172227"/>
    <xdr:sp macro="" textlink="">
      <xdr:nvSpPr>
        <xdr:cNvPr id="8237" name="TextBox 8236">
          <a:extLst>
            <a:ext uri="{FF2B5EF4-FFF2-40B4-BE49-F238E27FC236}">
              <a16:creationId xmlns:a16="http://schemas.microsoft.com/office/drawing/2014/main" id="{00000000-0008-0000-0000-000009010000}"/>
            </a:ext>
          </a:extLst>
        </xdr:cNvPr>
        <xdr:cNvSpPr txBox="1"/>
      </xdr:nvSpPr>
      <xdr:spPr>
        <a:xfrm>
          <a:off x="8267700" y="34312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169</xdr:row>
      <xdr:rowOff>0</xdr:rowOff>
    </xdr:from>
    <xdr:ext cx="65" cy="172227"/>
    <xdr:sp macro="" textlink="">
      <xdr:nvSpPr>
        <xdr:cNvPr id="8238" name="TextBox 8237">
          <a:extLst>
            <a:ext uri="{FF2B5EF4-FFF2-40B4-BE49-F238E27FC236}">
              <a16:creationId xmlns:a16="http://schemas.microsoft.com/office/drawing/2014/main" id="{00000000-0008-0000-0000-00000A010000}"/>
            </a:ext>
          </a:extLst>
        </xdr:cNvPr>
        <xdr:cNvSpPr txBox="1"/>
      </xdr:nvSpPr>
      <xdr:spPr>
        <a:xfrm>
          <a:off x="8267700" y="34312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169</xdr:row>
      <xdr:rowOff>0</xdr:rowOff>
    </xdr:from>
    <xdr:ext cx="65" cy="172227"/>
    <xdr:sp macro="" textlink="">
      <xdr:nvSpPr>
        <xdr:cNvPr id="8239" name="TextBox 8238">
          <a:extLst>
            <a:ext uri="{FF2B5EF4-FFF2-40B4-BE49-F238E27FC236}">
              <a16:creationId xmlns:a16="http://schemas.microsoft.com/office/drawing/2014/main" id="{00000000-0008-0000-0000-00000B010000}"/>
            </a:ext>
          </a:extLst>
        </xdr:cNvPr>
        <xdr:cNvSpPr txBox="1"/>
      </xdr:nvSpPr>
      <xdr:spPr>
        <a:xfrm>
          <a:off x="8267700" y="34312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169</xdr:row>
      <xdr:rowOff>0</xdr:rowOff>
    </xdr:from>
    <xdr:ext cx="65" cy="172227"/>
    <xdr:sp macro="" textlink="">
      <xdr:nvSpPr>
        <xdr:cNvPr id="8240" name="TextBox 8239">
          <a:extLst>
            <a:ext uri="{FF2B5EF4-FFF2-40B4-BE49-F238E27FC236}">
              <a16:creationId xmlns:a16="http://schemas.microsoft.com/office/drawing/2014/main" id="{00000000-0008-0000-0000-00000C010000}"/>
            </a:ext>
          </a:extLst>
        </xdr:cNvPr>
        <xdr:cNvSpPr txBox="1"/>
      </xdr:nvSpPr>
      <xdr:spPr>
        <a:xfrm>
          <a:off x="8267700" y="34312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169</xdr:row>
      <xdr:rowOff>0</xdr:rowOff>
    </xdr:from>
    <xdr:ext cx="65" cy="172227"/>
    <xdr:sp macro="" textlink="">
      <xdr:nvSpPr>
        <xdr:cNvPr id="8241" name="TextBox 8240">
          <a:extLst>
            <a:ext uri="{FF2B5EF4-FFF2-40B4-BE49-F238E27FC236}">
              <a16:creationId xmlns:a16="http://schemas.microsoft.com/office/drawing/2014/main" id="{00000000-0008-0000-0000-00000D010000}"/>
            </a:ext>
          </a:extLst>
        </xdr:cNvPr>
        <xdr:cNvSpPr txBox="1"/>
      </xdr:nvSpPr>
      <xdr:spPr>
        <a:xfrm>
          <a:off x="8267700" y="34312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169</xdr:row>
      <xdr:rowOff>0</xdr:rowOff>
    </xdr:from>
    <xdr:ext cx="65" cy="172227"/>
    <xdr:sp macro="" textlink="">
      <xdr:nvSpPr>
        <xdr:cNvPr id="8242" name="TextBox 8241">
          <a:extLst>
            <a:ext uri="{FF2B5EF4-FFF2-40B4-BE49-F238E27FC236}">
              <a16:creationId xmlns:a16="http://schemas.microsoft.com/office/drawing/2014/main" id="{00000000-0008-0000-0000-00000E010000}"/>
            </a:ext>
          </a:extLst>
        </xdr:cNvPr>
        <xdr:cNvSpPr txBox="1"/>
      </xdr:nvSpPr>
      <xdr:spPr>
        <a:xfrm>
          <a:off x="8267700" y="34312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169</xdr:row>
      <xdr:rowOff>0</xdr:rowOff>
    </xdr:from>
    <xdr:ext cx="65" cy="172227"/>
    <xdr:sp macro="" textlink="">
      <xdr:nvSpPr>
        <xdr:cNvPr id="8243" name="TextBox 8242">
          <a:extLst>
            <a:ext uri="{FF2B5EF4-FFF2-40B4-BE49-F238E27FC236}">
              <a16:creationId xmlns:a16="http://schemas.microsoft.com/office/drawing/2014/main" id="{00000000-0008-0000-0000-00000F010000}"/>
            </a:ext>
          </a:extLst>
        </xdr:cNvPr>
        <xdr:cNvSpPr txBox="1"/>
      </xdr:nvSpPr>
      <xdr:spPr>
        <a:xfrm>
          <a:off x="8267700" y="34312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169</xdr:row>
      <xdr:rowOff>0</xdr:rowOff>
    </xdr:from>
    <xdr:ext cx="65" cy="172227"/>
    <xdr:sp macro="" textlink="">
      <xdr:nvSpPr>
        <xdr:cNvPr id="8244" name="TextBox 8243">
          <a:extLst>
            <a:ext uri="{FF2B5EF4-FFF2-40B4-BE49-F238E27FC236}">
              <a16:creationId xmlns:a16="http://schemas.microsoft.com/office/drawing/2014/main" id="{00000000-0008-0000-0000-000010010000}"/>
            </a:ext>
          </a:extLst>
        </xdr:cNvPr>
        <xdr:cNvSpPr txBox="1"/>
      </xdr:nvSpPr>
      <xdr:spPr>
        <a:xfrm>
          <a:off x="8267700" y="34312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169</xdr:row>
      <xdr:rowOff>0</xdr:rowOff>
    </xdr:from>
    <xdr:ext cx="65" cy="172227"/>
    <xdr:sp macro="" textlink="">
      <xdr:nvSpPr>
        <xdr:cNvPr id="8245" name="TextBox 8244">
          <a:extLst>
            <a:ext uri="{FF2B5EF4-FFF2-40B4-BE49-F238E27FC236}">
              <a16:creationId xmlns:a16="http://schemas.microsoft.com/office/drawing/2014/main" id="{00000000-0008-0000-0000-000011010000}"/>
            </a:ext>
          </a:extLst>
        </xdr:cNvPr>
        <xdr:cNvSpPr txBox="1"/>
      </xdr:nvSpPr>
      <xdr:spPr>
        <a:xfrm>
          <a:off x="8267700" y="34312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169</xdr:row>
      <xdr:rowOff>0</xdr:rowOff>
    </xdr:from>
    <xdr:ext cx="65" cy="172227"/>
    <xdr:sp macro="" textlink="">
      <xdr:nvSpPr>
        <xdr:cNvPr id="8246" name="TextBox 8245">
          <a:extLst>
            <a:ext uri="{FF2B5EF4-FFF2-40B4-BE49-F238E27FC236}">
              <a16:creationId xmlns:a16="http://schemas.microsoft.com/office/drawing/2014/main" id="{00000000-0008-0000-0000-000012010000}"/>
            </a:ext>
          </a:extLst>
        </xdr:cNvPr>
        <xdr:cNvSpPr txBox="1"/>
      </xdr:nvSpPr>
      <xdr:spPr>
        <a:xfrm>
          <a:off x="8267700" y="34312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169</xdr:row>
      <xdr:rowOff>0</xdr:rowOff>
    </xdr:from>
    <xdr:ext cx="65" cy="172227"/>
    <xdr:sp macro="" textlink="">
      <xdr:nvSpPr>
        <xdr:cNvPr id="8247" name="TextBox 8246">
          <a:extLst>
            <a:ext uri="{FF2B5EF4-FFF2-40B4-BE49-F238E27FC236}">
              <a16:creationId xmlns:a16="http://schemas.microsoft.com/office/drawing/2014/main" id="{00000000-0008-0000-0000-000013010000}"/>
            </a:ext>
          </a:extLst>
        </xdr:cNvPr>
        <xdr:cNvSpPr txBox="1"/>
      </xdr:nvSpPr>
      <xdr:spPr>
        <a:xfrm>
          <a:off x="8267700" y="34312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169</xdr:row>
      <xdr:rowOff>0</xdr:rowOff>
    </xdr:from>
    <xdr:ext cx="65" cy="172227"/>
    <xdr:sp macro="" textlink="">
      <xdr:nvSpPr>
        <xdr:cNvPr id="8248" name="TextBox 8247">
          <a:extLst>
            <a:ext uri="{FF2B5EF4-FFF2-40B4-BE49-F238E27FC236}">
              <a16:creationId xmlns:a16="http://schemas.microsoft.com/office/drawing/2014/main" id="{00000000-0008-0000-0000-000014010000}"/>
            </a:ext>
          </a:extLst>
        </xdr:cNvPr>
        <xdr:cNvSpPr txBox="1"/>
      </xdr:nvSpPr>
      <xdr:spPr>
        <a:xfrm>
          <a:off x="8267700" y="34312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169</xdr:row>
      <xdr:rowOff>0</xdr:rowOff>
    </xdr:from>
    <xdr:ext cx="65" cy="172227"/>
    <xdr:sp macro="" textlink="">
      <xdr:nvSpPr>
        <xdr:cNvPr id="8249" name="TextBox 8248">
          <a:extLst>
            <a:ext uri="{FF2B5EF4-FFF2-40B4-BE49-F238E27FC236}">
              <a16:creationId xmlns:a16="http://schemas.microsoft.com/office/drawing/2014/main" id="{00000000-0008-0000-0000-000015010000}"/>
            </a:ext>
          </a:extLst>
        </xdr:cNvPr>
        <xdr:cNvSpPr txBox="1"/>
      </xdr:nvSpPr>
      <xdr:spPr>
        <a:xfrm>
          <a:off x="8267700" y="34312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169</xdr:row>
      <xdr:rowOff>0</xdr:rowOff>
    </xdr:from>
    <xdr:ext cx="65" cy="172227"/>
    <xdr:sp macro="" textlink="">
      <xdr:nvSpPr>
        <xdr:cNvPr id="8250" name="TextBox 8249">
          <a:extLst>
            <a:ext uri="{FF2B5EF4-FFF2-40B4-BE49-F238E27FC236}">
              <a16:creationId xmlns:a16="http://schemas.microsoft.com/office/drawing/2014/main" id="{00000000-0008-0000-0000-000016010000}"/>
            </a:ext>
          </a:extLst>
        </xdr:cNvPr>
        <xdr:cNvSpPr txBox="1"/>
      </xdr:nvSpPr>
      <xdr:spPr>
        <a:xfrm>
          <a:off x="8267700" y="34312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169</xdr:row>
      <xdr:rowOff>0</xdr:rowOff>
    </xdr:from>
    <xdr:ext cx="65" cy="172227"/>
    <xdr:sp macro="" textlink="">
      <xdr:nvSpPr>
        <xdr:cNvPr id="8251" name="TextBox 8250">
          <a:extLst>
            <a:ext uri="{FF2B5EF4-FFF2-40B4-BE49-F238E27FC236}">
              <a16:creationId xmlns:a16="http://schemas.microsoft.com/office/drawing/2014/main" id="{00000000-0008-0000-0000-000017010000}"/>
            </a:ext>
          </a:extLst>
        </xdr:cNvPr>
        <xdr:cNvSpPr txBox="1"/>
      </xdr:nvSpPr>
      <xdr:spPr>
        <a:xfrm>
          <a:off x="8267700" y="34312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169</xdr:row>
      <xdr:rowOff>0</xdr:rowOff>
    </xdr:from>
    <xdr:ext cx="65" cy="172227"/>
    <xdr:sp macro="" textlink="">
      <xdr:nvSpPr>
        <xdr:cNvPr id="8252" name="TextBox 8251">
          <a:extLst>
            <a:ext uri="{FF2B5EF4-FFF2-40B4-BE49-F238E27FC236}">
              <a16:creationId xmlns:a16="http://schemas.microsoft.com/office/drawing/2014/main" id="{00000000-0008-0000-0000-000018010000}"/>
            </a:ext>
          </a:extLst>
        </xdr:cNvPr>
        <xdr:cNvSpPr txBox="1"/>
      </xdr:nvSpPr>
      <xdr:spPr>
        <a:xfrm>
          <a:off x="8267700" y="34312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169</xdr:row>
      <xdr:rowOff>0</xdr:rowOff>
    </xdr:from>
    <xdr:ext cx="65" cy="172227"/>
    <xdr:sp macro="" textlink="">
      <xdr:nvSpPr>
        <xdr:cNvPr id="8253" name="TextBox 8252">
          <a:extLst>
            <a:ext uri="{FF2B5EF4-FFF2-40B4-BE49-F238E27FC236}">
              <a16:creationId xmlns:a16="http://schemas.microsoft.com/office/drawing/2014/main" id="{00000000-0008-0000-0000-000019010000}"/>
            </a:ext>
          </a:extLst>
        </xdr:cNvPr>
        <xdr:cNvSpPr txBox="1"/>
      </xdr:nvSpPr>
      <xdr:spPr>
        <a:xfrm>
          <a:off x="8267700" y="34312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169</xdr:row>
      <xdr:rowOff>0</xdr:rowOff>
    </xdr:from>
    <xdr:ext cx="65" cy="172227"/>
    <xdr:sp macro="" textlink="">
      <xdr:nvSpPr>
        <xdr:cNvPr id="8254" name="TextBox 8253">
          <a:extLst>
            <a:ext uri="{FF2B5EF4-FFF2-40B4-BE49-F238E27FC236}">
              <a16:creationId xmlns:a16="http://schemas.microsoft.com/office/drawing/2014/main" id="{00000000-0008-0000-0000-00001A010000}"/>
            </a:ext>
          </a:extLst>
        </xdr:cNvPr>
        <xdr:cNvSpPr txBox="1"/>
      </xdr:nvSpPr>
      <xdr:spPr>
        <a:xfrm>
          <a:off x="8267700" y="34312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169</xdr:row>
      <xdr:rowOff>0</xdr:rowOff>
    </xdr:from>
    <xdr:ext cx="65" cy="172227"/>
    <xdr:sp macro="" textlink="">
      <xdr:nvSpPr>
        <xdr:cNvPr id="8255" name="TextBox 8254">
          <a:extLst>
            <a:ext uri="{FF2B5EF4-FFF2-40B4-BE49-F238E27FC236}">
              <a16:creationId xmlns:a16="http://schemas.microsoft.com/office/drawing/2014/main" id="{00000000-0008-0000-0000-00001B010000}"/>
            </a:ext>
          </a:extLst>
        </xdr:cNvPr>
        <xdr:cNvSpPr txBox="1"/>
      </xdr:nvSpPr>
      <xdr:spPr>
        <a:xfrm>
          <a:off x="8267700" y="34312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169</xdr:row>
      <xdr:rowOff>0</xdr:rowOff>
    </xdr:from>
    <xdr:ext cx="65" cy="172227"/>
    <xdr:sp macro="" textlink="">
      <xdr:nvSpPr>
        <xdr:cNvPr id="8256" name="TextBox 8255">
          <a:extLst>
            <a:ext uri="{FF2B5EF4-FFF2-40B4-BE49-F238E27FC236}">
              <a16:creationId xmlns:a16="http://schemas.microsoft.com/office/drawing/2014/main" id="{00000000-0008-0000-0000-00001C010000}"/>
            </a:ext>
          </a:extLst>
        </xdr:cNvPr>
        <xdr:cNvSpPr txBox="1"/>
      </xdr:nvSpPr>
      <xdr:spPr>
        <a:xfrm>
          <a:off x="8267700" y="34312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169</xdr:row>
      <xdr:rowOff>0</xdr:rowOff>
    </xdr:from>
    <xdr:ext cx="65" cy="172227"/>
    <xdr:sp macro="" textlink="">
      <xdr:nvSpPr>
        <xdr:cNvPr id="8257" name="TextBox 8256">
          <a:extLst>
            <a:ext uri="{FF2B5EF4-FFF2-40B4-BE49-F238E27FC236}">
              <a16:creationId xmlns:a16="http://schemas.microsoft.com/office/drawing/2014/main" id="{00000000-0008-0000-0000-00001D010000}"/>
            </a:ext>
          </a:extLst>
        </xdr:cNvPr>
        <xdr:cNvSpPr txBox="1"/>
      </xdr:nvSpPr>
      <xdr:spPr>
        <a:xfrm>
          <a:off x="8267700" y="34312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169</xdr:row>
      <xdr:rowOff>0</xdr:rowOff>
    </xdr:from>
    <xdr:ext cx="65" cy="172227"/>
    <xdr:sp macro="" textlink="">
      <xdr:nvSpPr>
        <xdr:cNvPr id="8258" name="TextBox 8257">
          <a:extLst>
            <a:ext uri="{FF2B5EF4-FFF2-40B4-BE49-F238E27FC236}">
              <a16:creationId xmlns:a16="http://schemas.microsoft.com/office/drawing/2014/main" id="{00000000-0008-0000-0000-00001E010000}"/>
            </a:ext>
          </a:extLst>
        </xdr:cNvPr>
        <xdr:cNvSpPr txBox="1"/>
      </xdr:nvSpPr>
      <xdr:spPr>
        <a:xfrm>
          <a:off x="8267700" y="34312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169</xdr:row>
      <xdr:rowOff>0</xdr:rowOff>
    </xdr:from>
    <xdr:ext cx="65" cy="172227"/>
    <xdr:sp macro="" textlink="">
      <xdr:nvSpPr>
        <xdr:cNvPr id="8259" name="TextBox 8258">
          <a:extLst>
            <a:ext uri="{FF2B5EF4-FFF2-40B4-BE49-F238E27FC236}">
              <a16:creationId xmlns:a16="http://schemas.microsoft.com/office/drawing/2014/main" id="{00000000-0008-0000-0000-00001F010000}"/>
            </a:ext>
          </a:extLst>
        </xdr:cNvPr>
        <xdr:cNvSpPr txBox="1"/>
      </xdr:nvSpPr>
      <xdr:spPr>
        <a:xfrm>
          <a:off x="8267700" y="34312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169</xdr:row>
      <xdr:rowOff>0</xdr:rowOff>
    </xdr:from>
    <xdr:ext cx="65" cy="172227"/>
    <xdr:sp macro="" textlink="">
      <xdr:nvSpPr>
        <xdr:cNvPr id="8260" name="TextBox 8259">
          <a:extLst>
            <a:ext uri="{FF2B5EF4-FFF2-40B4-BE49-F238E27FC236}">
              <a16:creationId xmlns:a16="http://schemas.microsoft.com/office/drawing/2014/main" id="{00000000-0008-0000-0000-000020010000}"/>
            </a:ext>
          </a:extLst>
        </xdr:cNvPr>
        <xdr:cNvSpPr txBox="1"/>
      </xdr:nvSpPr>
      <xdr:spPr>
        <a:xfrm>
          <a:off x="8267700" y="34312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169</xdr:row>
      <xdr:rowOff>0</xdr:rowOff>
    </xdr:from>
    <xdr:ext cx="65" cy="172227"/>
    <xdr:sp macro="" textlink="">
      <xdr:nvSpPr>
        <xdr:cNvPr id="8261" name="TextBox 8260">
          <a:extLst>
            <a:ext uri="{FF2B5EF4-FFF2-40B4-BE49-F238E27FC236}">
              <a16:creationId xmlns:a16="http://schemas.microsoft.com/office/drawing/2014/main" id="{00000000-0008-0000-0000-000021010000}"/>
            </a:ext>
          </a:extLst>
        </xdr:cNvPr>
        <xdr:cNvSpPr txBox="1"/>
      </xdr:nvSpPr>
      <xdr:spPr>
        <a:xfrm>
          <a:off x="8267700" y="34312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169</xdr:row>
      <xdr:rowOff>0</xdr:rowOff>
    </xdr:from>
    <xdr:ext cx="65" cy="172227"/>
    <xdr:sp macro="" textlink="">
      <xdr:nvSpPr>
        <xdr:cNvPr id="8262" name="TextBox 8261">
          <a:extLst>
            <a:ext uri="{FF2B5EF4-FFF2-40B4-BE49-F238E27FC236}">
              <a16:creationId xmlns:a16="http://schemas.microsoft.com/office/drawing/2014/main" id="{00000000-0008-0000-0000-000022010000}"/>
            </a:ext>
          </a:extLst>
        </xdr:cNvPr>
        <xdr:cNvSpPr txBox="1"/>
      </xdr:nvSpPr>
      <xdr:spPr>
        <a:xfrm>
          <a:off x="8267700" y="34312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169</xdr:row>
      <xdr:rowOff>0</xdr:rowOff>
    </xdr:from>
    <xdr:ext cx="65" cy="172227"/>
    <xdr:sp macro="" textlink="">
      <xdr:nvSpPr>
        <xdr:cNvPr id="8263" name="TextBox 8262">
          <a:extLst>
            <a:ext uri="{FF2B5EF4-FFF2-40B4-BE49-F238E27FC236}">
              <a16:creationId xmlns:a16="http://schemas.microsoft.com/office/drawing/2014/main" id="{00000000-0008-0000-0000-000023010000}"/>
            </a:ext>
          </a:extLst>
        </xdr:cNvPr>
        <xdr:cNvSpPr txBox="1"/>
      </xdr:nvSpPr>
      <xdr:spPr>
        <a:xfrm>
          <a:off x="8267700" y="34312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169</xdr:row>
      <xdr:rowOff>0</xdr:rowOff>
    </xdr:from>
    <xdr:ext cx="65" cy="172227"/>
    <xdr:sp macro="" textlink="">
      <xdr:nvSpPr>
        <xdr:cNvPr id="8264" name="TextBox 8263">
          <a:extLst>
            <a:ext uri="{FF2B5EF4-FFF2-40B4-BE49-F238E27FC236}">
              <a16:creationId xmlns:a16="http://schemas.microsoft.com/office/drawing/2014/main" id="{00000000-0008-0000-0000-000024010000}"/>
            </a:ext>
          </a:extLst>
        </xdr:cNvPr>
        <xdr:cNvSpPr txBox="1"/>
      </xdr:nvSpPr>
      <xdr:spPr>
        <a:xfrm>
          <a:off x="8267700" y="34312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169</xdr:row>
      <xdr:rowOff>0</xdr:rowOff>
    </xdr:from>
    <xdr:ext cx="65" cy="172227"/>
    <xdr:sp macro="" textlink="">
      <xdr:nvSpPr>
        <xdr:cNvPr id="8265" name="TextBox 8264">
          <a:extLst>
            <a:ext uri="{FF2B5EF4-FFF2-40B4-BE49-F238E27FC236}">
              <a16:creationId xmlns:a16="http://schemas.microsoft.com/office/drawing/2014/main" id="{00000000-0008-0000-0000-000025010000}"/>
            </a:ext>
          </a:extLst>
        </xdr:cNvPr>
        <xdr:cNvSpPr txBox="1"/>
      </xdr:nvSpPr>
      <xdr:spPr>
        <a:xfrm>
          <a:off x="8267700" y="34312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169</xdr:row>
      <xdr:rowOff>0</xdr:rowOff>
    </xdr:from>
    <xdr:ext cx="65" cy="172227"/>
    <xdr:sp macro="" textlink="">
      <xdr:nvSpPr>
        <xdr:cNvPr id="8266" name="TextBox 8265">
          <a:extLst>
            <a:ext uri="{FF2B5EF4-FFF2-40B4-BE49-F238E27FC236}">
              <a16:creationId xmlns:a16="http://schemas.microsoft.com/office/drawing/2014/main" id="{00000000-0008-0000-0000-000026010000}"/>
            </a:ext>
          </a:extLst>
        </xdr:cNvPr>
        <xdr:cNvSpPr txBox="1"/>
      </xdr:nvSpPr>
      <xdr:spPr>
        <a:xfrm>
          <a:off x="12580620" y="34312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169</xdr:row>
      <xdr:rowOff>0</xdr:rowOff>
    </xdr:from>
    <xdr:ext cx="65" cy="172227"/>
    <xdr:sp macro="" textlink="">
      <xdr:nvSpPr>
        <xdr:cNvPr id="8267" name="TextBox 8266">
          <a:extLst>
            <a:ext uri="{FF2B5EF4-FFF2-40B4-BE49-F238E27FC236}">
              <a16:creationId xmlns:a16="http://schemas.microsoft.com/office/drawing/2014/main" id="{00000000-0008-0000-0000-000027010000}"/>
            </a:ext>
          </a:extLst>
        </xdr:cNvPr>
        <xdr:cNvSpPr txBox="1"/>
      </xdr:nvSpPr>
      <xdr:spPr>
        <a:xfrm>
          <a:off x="12580620" y="34312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169</xdr:row>
      <xdr:rowOff>0</xdr:rowOff>
    </xdr:from>
    <xdr:ext cx="65" cy="172227"/>
    <xdr:sp macro="" textlink="">
      <xdr:nvSpPr>
        <xdr:cNvPr id="8268" name="TextBox 8267">
          <a:extLst>
            <a:ext uri="{FF2B5EF4-FFF2-40B4-BE49-F238E27FC236}">
              <a16:creationId xmlns:a16="http://schemas.microsoft.com/office/drawing/2014/main" id="{00000000-0008-0000-0000-000028010000}"/>
            </a:ext>
          </a:extLst>
        </xdr:cNvPr>
        <xdr:cNvSpPr txBox="1"/>
      </xdr:nvSpPr>
      <xdr:spPr>
        <a:xfrm>
          <a:off x="12580620" y="34312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169</xdr:row>
      <xdr:rowOff>0</xdr:rowOff>
    </xdr:from>
    <xdr:ext cx="65" cy="172227"/>
    <xdr:sp macro="" textlink="">
      <xdr:nvSpPr>
        <xdr:cNvPr id="8269" name="TextBox 8268">
          <a:extLst>
            <a:ext uri="{FF2B5EF4-FFF2-40B4-BE49-F238E27FC236}">
              <a16:creationId xmlns:a16="http://schemas.microsoft.com/office/drawing/2014/main" id="{00000000-0008-0000-0000-000029010000}"/>
            </a:ext>
          </a:extLst>
        </xdr:cNvPr>
        <xdr:cNvSpPr txBox="1"/>
      </xdr:nvSpPr>
      <xdr:spPr>
        <a:xfrm>
          <a:off x="12580620" y="34312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169</xdr:row>
      <xdr:rowOff>0</xdr:rowOff>
    </xdr:from>
    <xdr:ext cx="65" cy="172227"/>
    <xdr:sp macro="" textlink="">
      <xdr:nvSpPr>
        <xdr:cNvPr id="8270" name="TextBox 8269">
          <a:extLst>
            <a:ext uri="{FF2B5EF4-FFF2-40B4-BE49-F238E27FC236}">
              <a16:creationId xmlns:a16="http://schemas.microsoft.com/office/drawing/2014/main" id="{00000000-0008-0000-0000-00002A010000}"/>
            </a:ext>
          </a:extLst>
        </xdr:cNvPr>
        <xdr:cNvSpPr txBox="1"/>
      </xdr:nvSpPr>
      <xdr:spPr>
        <a:xfrm>
          <a:off x="12580620" y="34312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169</xdr:row>
      <xdr:rowOff>0</xdr:rowOff>
    </xdr:from>
    <xdr:ext cx="65" cy="172227"/>
    <xdr:sp macro="" textlink="">
      <xdr:nvSpPr>
        <xdr:cNvPr id="8271" name="TextBox 8270">
          <a:extLst>
            <a:ext uri="{FF2B5EF4-FFF2-40B4-BE49-F238E27FC236}">
              <a16:creationId xmlns:a16="http://schemas.microsoft.com/office/drawing/2014/main" id="{00000000-0008-0000-0000-00002B010000}"/>
            </a:ext>
          </a:extLst>
        </xdr:cNvPr>
        <xdr:cNvSpPr txBox="1"/>
      </xdr:nvSpPr>
      <xdr:spPr>
        <a:xfrm>
          <a:off x="12580620" y="34312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169</xdr:row>
      <xdr:rowOff>0</xdr:rowOff>
    </xdr:from>
    <xdr:ext cx="65" cy="172227"/>
    <xdr:sp macro="" textlink="">
      <xdr:nvSpPr>
        <xdr:cNvPr id="8272" name="TextBox 8271">
          <a:extLst>
            <a:ext uri="{FF2B5EF4-FFF2-40B4-BE49-F238E27FC236}">
              <a16:creationId xmlns:a16="http://schemas.microsoft.com/office/drawing/2014/main" id="{00000000-0008-0000-0000-00002C010000}"/>
            </a:ext>
          </a:extLst>
        </xdr:cNvPr>
        <xdr:cNvSpPr txBox="1"/>
      </xdr:nvSpPr>
      <xdr:spPr>
        <a:xfrm>
          <a:off x="12580620" y="34312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169</xdr:row>
      <xdr:rowOff>0</xdr:rowOff>
    </xdr:from>
    <xdr:ext cx="65" cy="172227"/>
    <xdr:sp macro="" textlink="">
      <xdr:nvSpPr>
        <xdr:cNvPr id="8273" name="TextBox 8272">
          <a:extLst>
            <a:ext uri="{FF2B5EF4-FFF2-40B4-BE49-F238E27FC236}">
              <a16:creationId xmlns:a16="http://schemas.microsoft.com/office/drawing/2014/main" id="{00000000-0008-0000-0000-00002D010000}"/>
            </a:ext>
          </a:extLst>
        </xdr:cNvPr>
        <xdr:cNvSpPr txBox="1"/>
      </xdr:nvSpPr>
      <xdr:spPr>
        <a:xfrm>
          <a:off x="12580620" y="34312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274" name="TextBox 8273">
          <a:extLst>
            <a:ext uri="{FF2B5EF4-FFF2-40B4-BE49-F238E27FC236}">
              <a16:creationId xmlns:a16="http://schemas.microsoft.com/office/drawing/2014/main" id="{00000000-0008-0000-0000-00002E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275" name="TextBox 8274">
          <a:extLst>
            <a:ext uri="{FF2B5EF4-FFF2-40B4-BE49-F238E27FC236}">
              <a16:creationId xmlns:a16="http://schemas.microsoft.com/office/drawing/2014/main" id="{00000000-0008-0000-0000-00002F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276" name="TextBox 8275">
          <a:extLst>
            <a:ext uri="{FF2B5EF4-FFF2-40B4-BE49-F238E27FC236}">
              <a16:creationId xmlns:a16="http://schemas.microsoft.com/office/drawing/2014/main" id="{00000000-0008-0000-0000-000030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277" name="TextBox 8276">
          <a:extLst>
            <a:ext uri="{FF2B5EF4-FFF2-40B4-BE49-F238E27FC236}">
              <a16:creationId xmlns:a16="http://schemas.microsoft.com/office/drawing/2014/main" id="{00000000-0008-0000-0000-000031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278" name="TextBox 8277">
          <a:extLst>
            <a:ext uri="{FF2B5EF4-FFF2-40B4-BE49-F238E27FC236}">
              <a16:creationId xmlns:a16="http://schemas.microsoft.com/office/drawing/2014/main" id="{00000000-0008-0000-0000-000032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279" name="TextBox 8278">
          <a:extLst>
            <a:ext uri="{FF2B5EF4-FFF2-40B4-BE49-F238E27FC236}">
              <a16:creationId xmlns:a16="http://schemas.microsoft.com/office/drawing/2014/main" id="{00000000-0008-0000-0000-000033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280" name="TextBox 8279">
          <a:extLst>
            <a:ext uri="{FF2B5EF4-FFF2-40B4-BE49-F238E27FC236}">
              <a16:creationId xmlns:a16="http://schemas.microsoft.com/office/drawing/2014/main" id="{00000000-0008-0000-0000-000034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281" name="TextBox 8280">
          <a:extLst>
            <a:ext uri="{FF2B5EF4-FFF2-40B4-BE49-F238E27FC236}">
              <a16:creationId xmlns:a16="http://schemas.microsoft.com/office/drawing/2014/main" id="{00000000-0008-0000-0000-000035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282" name="TextBox 8281">
          <a:extLst>
            <a:ext uri="{FF2B5EF4-FFF2-40B4-BE49-F238E27FC236}">
              <a16:creationId xmlns:a16="http://schemas.microsoft.com/office/drawing/2014/main" id="{00000000-0008-0000-0000-000036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283" name="TextBox 8282">
          <a:extLst>
            <a:ext uri="{FF2B5EF4-FFF2-40B4-BE49-F238E27FC236}">
              <a16:creationId xmlns:a16="http://schemas.microsoft.com/office/drawing/2014/main" id="{00000000-0008-0000-0000-000037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284" name="TextBox 8283">
          <a:extLst>
            <a:ext uri="{FF2B5EF4-FFF2-40B4-BE49-F238E27FC236}">
              <a16:creationId xmlns:a16="http://schemas.microsoft.com/office/drawing/2014/main" id="{00000000-0008-0000-0000-000038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285" name="TextBox 8284">
          <a:extLst>
            <a:ext uri="{FF2B5EF4-FFF2-40B4-BE49-F238E27FC236}">
              <a16:creationId xmlns:a16="http://schemas.microsoft.com/office/drawing/2014/main" id="{00000000-0008-0000-0000-000039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286" name="TextBox 8285">
          <a:extLst>
            <a:ext uri="{FF2B5EF4-FFF2-40B4-BE49-F238E27FC236}">
              <a16:creationId xmlns:a16="http://schemas.microsoft.com/office/drawing/2014/main" id="{00000000-0008-0000-0000-00003A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287" name="TextBox 8286">
          <a:extLst>
            <a:ext uri="{FF2B5EF4-FFF2-40B4-BE49-F238E27FC236}">
              <a16:creationId xmlns:a16="http://schemas.microsoft.com/office/drawing/2014/main" id="{00000000-0008-0000-0000-00003B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288" name="TextBox 8287">
          <a:extLst>
            <a:ext uri="{FF2B5EF4-FFF2-40B4-BE49-F238E27FC236}">
              <a16:creationId xmlns:a16="http://schemas.microsoft.com/office/drawing/2014/main" id="{00000000-0008-0000-0000-00003C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289" name="TextBox 8288">
          <a:extLst>
            <a:ext uri="{FF2B5EF4-FFF2-40B4-BE49-F238E27FC236}">
              <a16:creationId xmlns:a16="http://schemas.microsoft.com/office/drawing/2014/main" id="{00000000-0008-0000-0000-00003D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290" name="TextBox 8289">
          <a:extLst>
            <a:ext uri="{FF2B5EF4-FFF2-40B4-BE49-F238E27FC236}">
              <a16:creationId xmlns:a16="http://schemas.microsoft.com/office/drawing/2014/main" id="{00000000-0008-0000-0000-00003E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291" name="TextBox 8290">
          <a:extLst>
            <a:ext uri="{FF2B5EF4-FFF2-40B4-BE49-F238E27FC236}">
              <a16:creationId xmlns:a16="http://schemas.microsoft.com/office/drawing/2014/main" id="{00000000-0008-0000-0000-00003F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292" name="TextBox 8291">
          <a:extLst>
            <a:ext uri="{FF2B5EF4-FFF2-40B4-BE49-F238E27FC236}">
              <a16:creationId xmlns:a16="http://schemas.microsoft.com/office/drawing/2014/main" id="{00000000-0008-0000-0000-000040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293" name="TextBox 8292">
          <a:extLst>
            <a:ext uri="{FF2B5EF4-FFF2-40B4-BE49-F238E27FC236}">
              <a16:creationId xmlns:a16="http://schemas.microsoft.com/office/drawing/2014/main" id="{00000000-0008-0000-0000-000041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294" name="TextBox 8293">
          <a:extLst>
            <a:ext uri="{FF2B5EF4-FFF2-40B4-BE49-F238E27FC236}">
              <a16:creationId xmlns:a16="http://schemas.microsoft.com/office/drawing/2014/main" id="{00000000-0008-0000-0000-000042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295" name="TextBox 8294">
          <a:extLst>
            <a:ext uri="{FF2B5EF4-FFF2-40B4-BE49-F238E27FC236}">
              <a16:creationId xmlns:a16="http://schemas.microsoft.com/office/drawing/2014/main" id="{00000000-0008-0000-0000-000043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296" name="TextBox 8295">
          <a:extLst>
            <a:ext uri="{FF2B5EF4-FFF2-40B4-BE49-F238E27FC236}">
              <a16:creationId xmlns:a16="http://schemas.microsoft.com/office/drawing/2014/main" id="{00000000-0008-0000-0000-000044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297" name="TextBox 8296">
          <a:extLst>
            <a:ext uri="{FF2B5EF4-FFF2-40B4-BE49-F238E27FC236}">
              <a16:creationId xmlns:a16="http://schemas.microsoft.com/office/drawing/2014/main" id="{00000000-0008-0000-0000-000045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298" name="TextBox 8297">
          <a:extLst>
            <a:ext uri="{FF2B5EF4-FFF2-40B4-BE49-F238E27FC236}">
              <a16:creationId xmlns:a16="http://schemas.microsoft.com/office/drawing/2014/main" id="{00000000-0008-0000-0000-000046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299" name="TextBox 8298">
          <a:extLst>
            <a:ext uri="{FF2B5EF4-FFF2-40B4-BE49-F238E27FC236}">
              <a16:creationId xmlns:a16="http://schemas.microsoft.com/office/drawing/2014/main" id="{00000000-0008-0000-0000-000047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300" name="TextBox 8299">
          <a:extLst>
            <a:ext uri="{FF2B5EF4-FFF2-40B4-BE49-F238E27FC236}">
              <a16:creationId xmlns:a16="http://schemas.microsoft.com/office/drawing/2014/main" id="{00000000-0008-0000-0000-000048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301" name="TextBox 8300">
          <a:extLst>
            <a:ext uri="{FF2B5EF4-FFF2-40B4-BE49-F238E27FC236}">
              <a16:creationId xmlns:a16="http://schemas.microsoft.com/office/drawing/2014/main" id="{00000000-0008-0000-0000-000049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302" name="TextBox 8301">
          <a:extLst>
            <a:ext uri="{FF2B5EF4-FFF2-40B4-BE49-F238E27FC236}">
              <a16:creationId xmlns:a16="http://schemas.microsoft.com/office/drawing/2014/main" id="{00000000-0008-0000-0000-00004A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303" name="TextBox 8302">
          <a:extLst>
            <a:ext uri="{FF2B5EF4-FFF2-40B4-BE49-F238E27FC236}">
              <a16:creationId xmlns:a16="http://schemas.microsoft.com/office/drawing/2014/main" id="{00000000-0008-0000-0000-00004B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304" name="TextBox 8303">
          <a:extLst>
            <a:ext uri="{FF2B5EF4-FFF2-40B4-BE49-F238E27FC236}">
              <a16:creationId xmlns:a16="http://schemas.microsoft.com/office/drawing/2014/main" id="{00000000-0008-0000-0000-00004C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305" name="TextBox 8304">
          <a:extLst>
            <a:ext uri="{FF2B5EF4-FFF2-40B4-BE49-F238E27FC236}">
              <a16:creationId xmlns:a16="http://schemas.microsoft.com/office/drawing/2014/main" id="{00000000-0008-0000-0000-00004D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306" name="TextBox 8305">
          <a:extLst>
            <a:ext uri="{FF2B5EF4-FFF2-40B4-BE49-F238E27FC236}">
              <a16:creationId xmlns:a16="http://schemas.microsoft.com/office/drawing/2014/main" id="{00000000-0008-0000-0000-00004E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307" name="TextBox 8306">
          <a:extLst>
            <a:ext uri="{FF2B5EF4-FFF2-40B4-BE49-F238E27FC236}">
              <a16:creationId xmlns:a16="http://schemas.microsoft.com/office/drawing/2014/main" id="{00000000-0008-0000-0000-00004F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308" name="TextBox 8307">
          <a:extLst>
            <a:ext uri="{FF2B5EF4-FFF2-40B4-BE49-F238E27FC236}">
              <a16:creationId xmlns:a16="http://schemas.microsoft.com/office/drawing/2014/main" id="{00000000-0008-0000-0000-000050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309" name="TextBox 8308">
          <a:extLst>
            <a:ext uri="{FF2B5EF4-FFF2-40B4-BE49-F238E27FC236}">
              <a16:creationId xmlns:a16="http://schemas.microsoft.com/office/drawing/2014/main" id="{00000000-0008-0000-0000-000051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310" name="TextBox 8309">
          <a:extLst>
            <a:ext uri="{FF2B5EF4-FFF2-40B4-BE49-F238E27FC236}">
              <a16:creationId xmlns:a16="http://schemas.microsoft.com/office/drawing/2014/main" id="{00000000-0008-0000-0000-000052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311" name="TextBox 8310">
          <a:extLst>
            <a:ext uri="{FF2B5EF4-FFF2-40B4-BE49-F238E27FC236}">
              <a16:creationId xmlns:a16="http://schemas.microsoft.com/office/drawing/2014/main" id="{00000000-0008-0000-0000-000053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312" name="TextBox 8311">
          <a:extLst>
            <a:ext uri="{FF2B5EF4-FFF2-40B4-BE49-F238E27FC236}">
              <a16:creationId xmlns:a16="http://schemas.microsoft.com/office/drawing/2014/main" id="{00000000-0008-0000-0000-000054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313" name="TextBox 8312">
          <a:extLst>
            <a:ext uri="{FF2B5EF4-FFF2-40B4-BE49-F238E27FC236}">
              <a16:creationId xmlns:a16="http://schemas.microsoft.com/office/drawing/2014/main" id="{00000000-0008-0000-0000-000055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314" name="TextBox 8313">
          <a:extLst>
            <a:ext uri="{FF2B5EF4-FFF2-40B4-BE49-F238E27FC236}">
              <a16:creationId xmlns:a16="http://schemas.microsoft.com/office/drawing/2014/main" id="{00000000-0008-0000-0000-000056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315" name="TextBox 8314">
          <a:extLst>
            <a:ext uri="{FF2B5EF4-FFF2-40B4-BE49-F238E27FC236}">
              <a16:creationId xmlns:a16="http://schemas.microsoft.com/office/drawing/2014/main" id="{00000000-0008-0000-0000-000057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316" name="TextBox 8315">
          <a:extLst>
            <a:ext uri="{FF2B5EF4-FFF2-40B4-BE49-F238E27FC236}">
              <a16:creationId xmlns:a16="http://schemas.microsoft.com/office/drawing/2014/main" id="{00000000-0008-0000-0000-000058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317" name="TextBox 8316">
          <a:extLst>
            <a:ext uri="{FF2B5EF4-FFF2-40B4-BE49-F238E27FC236}">
              <a16:creationId xmlns:a16="http://schemas.microsoft.com/office/drawing/2014/main" id="{00000000-0008-0000-0000-000059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318" name="TextBox 8317">
          <a:extLst>
            <a:ext uri="{FF2B5EF4-FFF2-40B4-BE49-F238E27FC236}">
              <a16:creationId xmlns:a16="http://schemas.microsoft.com/office/drawing/2014/main" id="{00000000-0008-0000-0000-00005A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319" name="TextBox 8318">
          <a:extLst>
            <a:ext uri="{FF2B5EF4-FFF2-40B4-BE49-F238E27FC236}">
              <a16:creationId xmlns:a16="http://schemas.microsoft.com/office/drawing/2014/main" id="{00000000-0008-0000-0000-00005B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320" name="TextBox 8319">
          <a:extLst>
            <a:ext uri="{FF2B5EF4-FFF2-40B4-BE49-F238E27FC236}">
              <a16:creationId xmlns:a16="http://schemas.microsoft.com/office/drawing/2014/main" id="{00000000-0008-0000-0000-00005C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321" name="TextBox 8320">
          <a:extLst>
            <a:ext uri="{FF2B5EF4-FFF2-40B4-BE49-F238E27FC236}">
              <a16:creationId xmlns:a16="http://schemas.microsoft.com/office/drawing/2014/main" id="{00000000-0008-0000-0000-00005D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322" name="TextBox 8321">
          <a:extLst>
            <a:ext uri="{FF2B5EF4-FFF2-40B4-BE49-F238E27FC236}">
              <a16:creationId xmlns:a16="http://schemas.microsoft.com/office/drawing/2014/main" id="{00000000-0008-0000-0000-00005E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323" name="TextBox 8322">
          <a:extLst>
            <a:ext uri="{FF2B5EF4-FFF2-40B4-BE49-F238E27FC236}">
              <a16:creationId xmlns:a16="http://schemas.microsoft.com/office/drawing/2014/main" id="{00000000-0008-0000-0000-00005F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324" name="TextBox 8323">
          <a:extLst>
            <a:ext uri="{FF2B5EF4-FFF2-40B4-BE49-F238E27FC236}">
              <a16:creationId xmlns:a16="http://schemas.microsoft.com/office/drawing/2014/main" id="{00000000-0008-0000-0000-000060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325" name="TextBox 8324">
          <a:extLst>
            <a:ext uri="{FF2B5EF4-FFF2-40B4-BE49-F238E27FC236}">
              <a16:creationId xmlns:a16="http://schemas.microsoft.com/office/drawing/2014/main" id="{00000000-0008-0000-0000-000061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326" name="TextBox 8325">
          <a:extLst>
            <a:ext uri="{FF2B5EF4-FFF2-40B4-BE49-F238E27FC236}">
              <a16:creationId xmlns:a16="http://schemas.microsoft.com/office/drawing/2014/main" id="{00000000-0008-0000-0000-000062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327" name="TextBox 8326">
          <a:extLst>
            <a:ext uri="{FF2B5EF4-FFF2-40B4-BE49-F238E27FC236}">
              <a16:creationId xmlns:a16="http://schemas.microsoft.com/office/drawing/2014/main" id="{00000000-0008-0000-0000-000063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328" name="TextBox 8327">
          <a:extLst>
            <a:ext uri="{FF2B5EF4-FFF2-40B4-BE49-F238E27FC236}">
              <a16:creationId xmlns:a16="http://schemas.microsoft.com/office/drawing/2014/main" id="{00000000-0008-0000-0000-000064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329" name="TextBox 8328">
          <a:extLst>
            <a:ext uri="{FF2B5EF4-FFF2-40B4-BE49-F238E27FC236}">
              <a16:creationId xmlns:a16="http://schemas.microsoft.com/office/drawing/2014/main" id="{00000000-0008-0000-0000-000065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170</xdr:row>
      <xdr:rowOff>0</xdr:rowOff>
    </xdr:from>
    <xdr:ext cx="65" cy="172227"/>
    <xdr:sp macro="" textlink="">
      <xdr:nvSpPr>
        <xdr:cNvPr id="8330" name="TextBox 8329">
          <a:extLst>
            <a:ext uri="{FF2B5EF4-FFF2-40B4-BE49-F238E27FC236}">
              <a16:creationId xmlns:a16="http://schemas.microsoft.com/office/drawing/2014/main" id="{00000000-0008-0000-0000-000066010000}"/>
            </a:ext>
          </a:extLst>
        </xdr:cNvPr>
        <xdr:cNvSpPr txBox="1"/>
      </xdr:nvSpPr>
      <xdr:spPr>
        <a:xfrm>
          <a:off x="1258062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170</xdr:row>
      <xdr:rowOff>0</xdr:rowOff>
    </xdr:from>
    <xdr:ext cx="65" cy="172227"/>
    <xdr:sp macro="" textlink="">
      <xdr:nvSpPr>
        <xdr:cNvPr id="8331" name="TextBox 8330">
          <a:extLst>
            <a:ext uri="{FF2B5EF4-FFF2-40B4-BE49-F238E27FC236}">
              <a16:creationId xmlns:a16="http://schemas.microsoft.com/office/drawing/2014/main" id="{00000000-0008-0000-0000-000067010000}"/>
            </a:ext>
          </a:extLst>
        </xdr:cNvPr>
        <xdr:cNvSpPr txBox="1"/>
      </xdr:nvSpPr>
      <xdr:spPr>
        <a:xfrm>
          <a:off x="1258062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170</xdr:row>
      <xdr:rowOff>0</xdr:rowOff>
    </xdr:from>
    <xdr:ext cx="65" cy="172227"/>
    <xdr:sp macro="" textlink="">
      <xdr:nvSpPr>
        <xdr:cNvPr id="8332" name="TextBox 8331">
          <a:extLst>
            <a:ext uri="{FF2B5EF4-FFF2-40B4-BE49-F238E27FC236}">
              <a16:creationId xmlns:a16="http://schemas.microsoft.com/office/drawing/2014/main" id="{00000000-0008-0000-0000-000068010000}"/>
            </a:ext>
          </a:extLst>
        </xdr:cNvPr>
        <xdr:cNvSpPr txBox="1"/>
      </xdr:nvSpPr>
      <xdr:spPr>
        <a:xfrm>
          <a:off x="1258062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170</xdr:row>
      <xdr:rowOff>0</xdr:rowOff>
    </xdr:from>
    <xdr:ext cx="65" cy="172227"/>
    <xdr:sp macro="" textlink="">
      <xdr:nvSpPr>
        <xdr:cNvPr id="8333" name="TextBox 8332">
          <a:extLst>
            <a:ext uri="{FF2B5EF4-FFF2-40B4-BE49-F238E27FC236}">
              <a16:creationId xmlns:a16="http://schemas.microsoft.com/office/drawing/2014/main" id="{00000000-0008-0000-0000-000069010000}"/>
            </a:ext>
          </a:extLst>
        </xdr:cNvPr>
        <xdr:cNvSpPr txBox="1"/>
      </xdr:nvSpPr>
      <xdr:spPr>
        <a:xfrm>
          <a:off x="1258062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170</xdr:row>
      <xdr:rowOff>0</xdr:rowOff>
    </xdr:from>
    <xdr:ext cx="65" cy="172227"/>
    <xdr:sp macro="" textlink="">
      <xdr:nvSpPr>
        <xdr:cNvPr id="8334" name="TextBox 8333">
          <a:extLst>
            <a:ext uri="{FF2B5EF4-FFF2-40B4-BE49-F238E27FC236}">
              <a16:creationId xmlns:a16="http://schemas.microsoft.com/office/drawing/2014/main" id="{00000000-0008-0000-0000-00006A010000}"/>
            </a:ext>
          </a:extLst>
        </xdr:cNvPr>
        <xdr:cNvSpPr txBox="1"/>
      </xdr:nvSpPr>
      <xdr:spPr>
        <a:xfrm>
          <a:off x="1258062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170</xdr:row>
      <xdr:rowOff>0</xdr:rowOff>
    </xdr:from>
    <xdr:ext cx="65" cy="172227"/>
    <xdr:sp macro="" textlink="">
      <xdr:nvSpPr>
        <xdr:cNvPr id="8335" name="TextBox 8334">
          <a:extLst>
            <a:ext uri="{FF2B5EF4-FFF2-40B4-BE49-F238E27FC236}">
              <a16:creationId xmlns:a16="http://schemas.microsoft.com/office/drawing/2014/main" id="{00000000-0008-0000-0000-00006B010000}"/>
            </a:ext>
          </a:extLst>
        </xdr:cNvPr>
        <xdr:cNvSpPr txBox="1"/>
      </xdr:nvSpPr>
      <xdr:spPr>
        <a:xfrm>
          <a:off x="1258062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170</xdr:row>
      <xdr:rowOff>0</xdr:rowOff>
    </xdr:from>
    <xdr:ext cx="65" cy="172227"/>
    <xdr:sp macro="" textlink="">
      <xdr:nvSpPr>
        <xdr:cNvPr id="8336" name="TextBox 8335">
          <a:extLst>
            <a:ext uri="{FF2B5EF4-FFF2-40B4-BE49-F238E27FC236}">
              <a16:creationId xmlns:a16="http://schemas.microsoft.com/office/drawing/2014/main" id="{00000000-0008-0000-0000-00006C010000}"/>
            </a:ext>
          </a:extLst>
        </xdr:cNvPr>
        <xdr:cNvSpPr txBox="1"/>
      </xdr:nvSpPr>
      <xdr:spPr>
        <a:xfrm>
          <a:off x="1258062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170</xdr:row>
      <xdr:rowOff>0</xdr:rowOff>
    </xdr:from>
    <xdr:ext cx="65" cy="172227"/>
    <xdr:sp macro="" textlink="">
      <xdr:nvSpPr>
        <xdr:cNvPr id="8337" name="TextBox 8336">
          <a:extLst>
            <a:ext uri="{FF2B5EF4-FFF2-40B4-BE49-F238E27FC236}">
              <a16:creationId xmlns:a16="http://schemas.microsoft.com/office/drawing/2014/main" id="{00000000-0008-0000-0000-00006D010000}"/>
            </a:ext>
          </a:extLst>
        </xdr:cNvPr>
        <xdr:cNvSpPr txBox="1"/>
      </xdr:nvSpPr>
      <xdr:spPr>
        <a:xfrm>
          <a:off x="1258062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171</xdr:row>
      <xdr:rowOff>0</xdr:rowOff>
    </xdr:from>
    <xdr:ext cx="65" cy="172227"/>
    <xdr:sp macro="" textlink="">
      <xdr:nvSpPr>
        <xdr:cNvPr id="8338" name="TextBox 8337">
          <a:extLst>
            <a:ext uri="{FF2B5EF4-FFF2-40B4-BE49-F238E27FC236}">
              <a16:creationId xmlns:a16="http://schemas.microsoft.com/office/drawing/2014/main" id="{00000000-0008-0000-0000-00006E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171</xdr:row>
      <xdr:rowOff>0</xdr:rowOff>
    </xdr:from>
    <xdr:ext cx="65" cy="172227"/>
    <xdr:sp macro="" textlink="">
      <xdr:nvSpPr>
        <xdr:cNvPr id="8339" name="TextBox 8338">
          <a:extLst>
            <a:ext uri="{FF2B5EF4-FFF2-40B4-BE49-F238E27FC236}">
              <a16:creationId xmlns:a16="http://schemas.microsoft.com/office/drawing/2014/main" id="{00000000-0008-0000-0000-00006F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171</xdr:row>
      <xdr:rowOff>0</xdr:rowOff>
    </xdr:from>
    <xdr:ext cx="65" cy="172227"/>
    <xdr:sp macro="" textlink="">
      <xdr:nvSpPr>
        <xdr:cNvPr id="8340" name="TextBox 8339">
          <a:extLst>
            <a:ext uri="{FF2B5EF4-FFF2-40B4-BE49-F238E27FC236}">
              <a16:creationId xmlns:a16="http://schemas.microsoft.com/office/drawing/2014/main" id="{00000000-0008-0000-0000-000070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171</xdr:row>
      <xdr:rowOff>0</xdr:rowOff>
    </xdr:from>
    <xdr:ext cx="65" cy="172227"/>
    <xdr:sp macro="" textlink="">
      <xdr:nvSpPr>
        <xdr:cNvPr id="8341" name="TextBox 8340">
          <a:extLst>
            <a:ext uri="{FF2B5EF4-FFF2-40B4-BE49-F238E27FC236}">
              <a16:creationId xmlns:a16="http://schemas.microsoft.com/office/drawing/2014/main" id="{00000000-0008-0000-0000-000071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171</xdr:row>
      <xdr:rowOff>0</xdr:rowOff>
    </xdr:from>
    <xdr:ext cx="65" cy="172227"/>
    <xdr:sp macro="" textlink="">
      <xdr:nvSpPr>
        <xdr:cNvPr id="8342" name="TextBox 8341">
          <a:extLst>
            <a:ext uri="{FF2B5EF4-FFF2-40B4-BE49-F238E27FC236}">
              <a16:creationId xmlns:a16="http://schemas.microsoft.com/office/drawing/2014/main" id="{00000000-0008-0000-0000-000072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171</xdr:row>
      <xdr:rowOff>0</xdr:rowOff>
    </xdr:from>
    <xdr:ext cx="65" cy="172227"/>
    <xdr:sp macro="" textlink="">
      <xdr:nvSpPr>
        <xdr:cNvPr id="8343" name="TextBox 8342">
          <a:extLst>
            <a:ext uri="{FF2B5EF4-FFF2-40B4-BE49-F238E27FC236}">
              <a16:creationId xmlns:a16="http://schemas.microsoft.com/office/drawing/2014/main" id="{00000000-0008-0000-0000-000073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171</xdr:row>
      <xdr:rowOff>0</xdr:rowOff>
    </xdr:from>
    <xdr:ext cx="65" cy="172227"/>
    <xdr:sp macro="" textlink="">
      <xdr:nvSpPr>
        <xdr:cNvPr id="8344" name="TextBox 8343">
          <a:extLst>
            <a:ext uri="{FF2B5EF4-FFF2-40B4-BE49-F238E27FC236}">
              <a16:creationId xmlns:a16="http://schemas.microsoft.com/office/drawing/2014/main" id="{00000000-0008-0000-0000-000074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171</xdr:row>
      <xdr:rowOff>0</xdr:rowOff>
    </xdr:from>
    <xdr:ext cx="65" cy="172227"/>
    <xdr:sp macro="" textlink="">
      <xdr:nvSpPr>
        <xdr:cNvPr id="8345" name="TextBox 8344">
          <a:extLst>
            <a:ext uri="{FF2B5EF4-FFF2-40B4-BE49-F238E27FC236}">
              <a16:creationId xmlns:a16="http://schemas.microsoft.com/office/drawing/2014/main" id="{00000000-0008-0000-0000-000075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171</xdr:row>
      <xdr:rowOff>0</xdr:rowOff>
    </xdr:from>
    <xdr:ext cx="65" cy="172227"/>
    <xdr:sp macro="" textlink="">
      <xdr:nvSpPr>
        <xdr:cNvPr id="8346" name="TextBox 8345">
          <a:extLst>
            <a:ext uri="{FF2B5EF4-FFF2-40B4-BE49-F238E27FC236}">
              <a16:creationId xmlns:a16="http://schemas.microsoft.com/office/drawing/2014/main" id="{00000000-0008-0000-0000-000076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171</xdr:row>
      <xdr:rowOff>0</xdr:rowOff>
    </xdr:from>
    <xdr:ext cx="65" cy="172227"/>
    <xdr:sp macro="" textlink="">
      <xdr:nvSpPr>
        <xdr:cNvPr id="8347" name="TextBox 8346">
          <a:extLst>
            <a:ext uri="{FF2B5EF4-FFF2-40B4-BE49-F238E27FC236}">
              <a16:creationId xmlns:a16="http://schemas.microsoft.com/office/drawing/2014/main" id="{00000000-0008-0000-0000-000077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171</xdr:row>
      <xdr:rowOff>0</xdr:rowOff>
    </xdr:from>
    <xdr:ext cx="65" cy="172227"/>
    <xdr:sp macro="" textlink="">
      <xdr:nvSpPr>
        <xdr:cNvPr id="8348" name="TextBox 8347">
          <a:extLst>
            <a:ext uri="{FF2B5EF4-FFF2-40B4-BE49-F238E27FC236}">
              <a16:creationId xmlns:a16="http://schemas.microsoft.com/office/drawing/2014/main" id="{00000000-0008-0000-0000-000078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171</xdr:row>
      <xdr:rowOff>0</xdr:rowOff>
    </xdr:from>
    <xdr:ext cx="65" cy="172227"/>
    <xdr:sp macro="" textlink="">
      <xdr:nvSpPr>
        <xdr:cNvPr id="8349" name="TextBox 8348">
          <a:extLst>
            <a:ext uri="{FF2B5EF4-FFF2-40B4-BE49-F238E27FC236}">
              <a16:creationId xmlns:a16="http://schemas.microsoft.com/office/drawing/2014/main" id="{00000000-0008-0000-0000-000079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171</xdr:row>
      <xdr:rowOff>0</xdr:rowOff>
    </xdr:from>
    <xdr:ext cx="65" cy="172227"/>
    <xdr:sp macro="" textlink="">
      <xdr:nvSpPr>
        <xdr:cNvPr id="8350" name="TextBox 8349">
          <a:extLst>
            <a:ext uri="{FF2B5EF4-FFF2-40B4-BE49-F238E27FC236}">
              <a16:creationId xmlns:a16="http://schemas.microsoft.com/office/drawing/2014/main" id="{00000000-0008-0000-0000-00007A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171</xdr:row>
      <xdr:rowOff>0</xdr:rowOff>
    </xdr:from>
    <xdr:ext cx="65" cy="172227"/>
    <xdr:sp macro="" textlink="">
      <xdr:nvSpPr>
        <xdr:cNvPr id="8351" name="TextBox 8350">
          <a:extLst>
            <a:ext uri="{FF2B5EF4-FFF2-40B4-BE49-F238E27FC236}">
              <a16:creationId xmlns:a16="http://schemas.microsoft.com/office/drawing/2014/main" id="{00000000-0008-0000-0000-00007B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171</xdr:row>
      <xdr:rowOff>0</xdr:rowOff>
    </xdr:from>
    <xdr:ext cx="65" cy="172227"/>
    <xdr:sp macro="" textlink="">
      <xdr:nvSpPr>
        <xdr:cNvPr id="8352" name="TextBox 8351">
          <a:extLst>
            <a:ext uri="{FF2B5EF4-FFF2-40B4-BE49-F238E27FC236}">
              <a16:creationId xmlns:a16="http://schemas.microsoft.com/office/drawing/2014/main" id="{00000000-0008-0000-0000-00007C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171</xdr:row>
      <xdr:rowOff>0</xdr:rowOff>
    </xdr:from>
    <xdr:ext cx="65" cy="172227"/>
    <xdr:sp macro="" textlink="">
      <xdr:nvSpPr>
        <xdr:cNvPr id="8353" name="TextBox 8352">
          <a:extLst>
            <a:ext uri="{FF2B5EF4-FFF2-40B4-BE49-F238E27FC236}">
              <a16:creationId xmlns:a16="http://schemas.microsoft.com/office/drawing/2014/main" id="{00000000-0008-0000-0000-00007D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171</xdr:row>
      <xdr:rowOff>0</xdr:rowOff>
    </xdr:from>
    <xdr:ext cx="65" cy="172227"/>
    <xdr:sp macro="" textlink="">
      <xdr:nvSpPr>
        <xdr:cNvPr id="8354" name="TextBox 8353">
          <a:extLst>
            <a:ext uri="{FF2B5EF4-FFF2-40B4-BE49-F238E27FC236}">
              <a16:creationId xmlns:a16="http://schemas.microsoft.com/office/drawing/2014/main" id="{00000000-0008-0000-0000-00007E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171</xdr:row>
      <xdr:rowOff>0</xdr:rowOff>
    </xdr:from>
    <xdr:ext cx="65" cy="172227"/>
    <xdr:sp macro="" textlink="">
      <xdr:nvSpPr>
        <xdr:cNvPr id="8355" name="TextBox 8354">
          <a:extLst>
            <a:ext uri="{FF2B5EF4-FFF2-40B4-BE49-F238E27FC236}">
              <a16:creationId xmlns:a16="http://schemas.microsoft.com/office/drawing/2014/main" id="{00000000-0008-0000-0000-00007F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171</xdr:row>
      <xdr:rowOff>0</xdr:rowOff>
    </xdr:from>
    <xdr:ext cx="65" cy="172227"/>
    <xdr:sp macro="" textlink="">
      <xdr:nvSpPr>
        <xdr:cNvPr id="8356" name="TextBox 8355">
          <a:extLst>
            <a:ext uri="{FF2B5EF4-FFF2-40B4-BE49-F238E27FC236}">
              <a16:creationId xmlns:a16="http://schemas.microsoft.com/office/drawing/2014/main" id="{00000000-0008-0000-0000-000080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171</xdr:row>
      <xdr:rowOff>0</xdr:rowOff>
    </xdr:from>
    <xdr:ext cx="65" cy="172227"/>
    <xdr:sp macro="" textlink="">
      <xdr:nvSpPr>
        <xdr:cNvPr id="8357" name="TextBox 8356">
          <a:extLst>
            <a:ext uri="{FF2B5EF4-FFF2-40B4-BE49-F238E27FC236}">
              <a16:creationId xmlns:a16="http://schemas.microsoft.com/office/drawing/2014/main" id="{00000000-0008-0000-0000-000081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171</xdr:row>
      <xdr:rowOff>0</xdr:rowOff>
    </xdr:from>
    <xdr:ext cx="65" cy="172227"/>
    <xdr:sp macro="" textlink="">
      <xdr:nvSpPr>
        <xdr:cNvPr id="8358" name="TextBox 8357">
          <a:extLst>
            <a:ext uri="{FF2B5EF4-FFF2-40B4-BE49-F238E27FC236}">
              <a16:creationId xmlns:a16="http://schemas.microsoft.com/office/drawing/2014/main" id="{00000000-0008-0000-0000-000082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171</xdr:row>
      <xdr:rowOff>0</xdr:rowOff>
    </xdr:from>
    <xdr:ext cx="65" cy="172227"/>
    <xdr:sp macro="" textlink="">
      <xdr:nvSpPr>
        <xdr:cNvPr id="8359" name="TextBox 8358">
          <a:extLst>
            <a:ext uri="{FF2B5EF4-FFF2-40B4-BE49-F238E27FC236}">
              <a16:creationId xmlns:a16="http://schemas.microsoft.com/office/drawing/2014/main" id="{00000000-0008-0000-0000-000083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171</xdr:row>
      <xdr:rowOff>0</xdr:rowOff>
    </xdr:from>
    <xdr:ext cx="65" cy="172227"/>
    <xdr:sp macro="" textlink="">
      <xdr:nvSpPr>
        <xdr:cNvPr id="8360" name="TextBox 8359">
          <a:extLst>
            <a:ext uri="{FF2B5EF4-FFF2-40B4-BE49-F238E27FC236}">
              <a16:creationId xmlns:a16="http://schemas.microsoft.com/office/drawing/2014/main" id="{00000000-0008-0000-0000-000084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171</xdr:row>
      <xdr:rowOff>0</xdr:rowOff>
    </xdr:from>
    <xdr:ext cx="65" cy="172227"/>
    <xdr:sp macro="" textlink="">
      <xdr:nvSpPr>
        <xdr:cNvPr id="8361" name="TextBox 8360">
          <a:extLst>
            <a:ext uri="{FF2B5EF4-FFF2-40B4-BE49-F238E27FC236}">
              <a16:creationId xmlns:a16="http://schemas.microsoft.com/office/drawing/2014/main" id="{00000000-0008-0000-0000-000085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171</xdr:row>
      <xdr:rowOff>0</xdr:rowOff>
    </xdr:from>
    <xdr:ext cx="65" cy="172227"/>
    <xdr:sp macro="" textlink="">
      <xdr:nvSpPr>
        <xdr:cNvPr id="8362" name="TextBox 8361">
          <a:extLst>
            <a:ext uri="{FF2B5EF4-FFF2-40B4-BE49-F238E27FC236}">
              <a16:creationId xmlns:a16="http://schemas.microsoft.com/office/drawing/2014/main" id="{00000000-0008-0000-0000-000086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171</xdr:row>
      <xdr:rowOff>0</xdr:rowOff>
    </xdr:from>
    <xdr:ext cx="65" cy="172227"/>
    <xdr:sp macro="" textlink="">
      <xdr:nvSpPr>
        <xdr:cNvPr id="8363" name="TextBox 8362">
          <a:extLst>
            <a:ext uri="{FF2B5EF4-FFF2-40B4-BE49-F238E27FC236}">
              <a16:creationId xmlns:a16="http://schemas.microsoft.com/office/drawing/2014/main" id="{00000000-0008-0000-0000-000087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171</xdr:row>
      <xdr:rowOff>0</xdr:rowOff>
    </xdr:from>
    <xdr:ext cx="65" cy="172227"/>
    <xdr:sp macro="" textlink="">
      <xdr:nvSpPr>
        <xdr:cNvPr id="8364" name="TextBox 8363">
          <a:extLst>
            <a:ext uri="{FF2B5EF4-FFF2-40B4-BE49-F238E27FC236}">
              <a16:creationId xmlns:a16="http://schemas.microsoft.com/office/drawing/2014/main" id="{00000000-0008-0000-0000-000088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171</xdr:row>
      <xdr:rowOff>0</xdr:rowOff>
    </xdr:from>
    <xdr:ext cx="65" cy="172227"/>
    <xdr:sp macro="" textlink="">
      <xdr:nvSpPr>
        <xdr:cNvPr id="8365" name="TextBox 8364">
          <a:extLst>
            <a:ext uri="{FF2B5EF4-FFF2-40B4-BE49-F238E27FC236}">
              <a16:creationId xmlns:a16="http://schemas.microsoft.com/office/drawing/2014/main" id="{00000000-0008-0000-0000-000089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171</xdr:row>
      <xdr:rowOff>0</xdr:rowOff>
    </xdr:from>
    <xdr:ext cx="65" cy="172227"/>
    <xdr:sp macro="" textlink="">
      <xdr:nvSpPr>
        <xdr:cNvPr id="8366" name="TextBox 8365">
          <a:extLst>
            <a:ext uri="{FF2B5EF4-FFF2-40B4-BE49-F238E27FC236}">
              <a16:creationId xmlns:a16="http://schemas.microsoft.com/office/drawing/2014/main" id="{00000000-0008-0000-0000-00008A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171</xdr:row>
      <xdr:rowOff>0</xdr:rowOff>
    </xdr:from>
    <xdr:ext cx="65" cy="172227"/>
    <xdr:sp macro="" textlink="">
      <xdr:nvSpPr>
        <xdr:cNvPr id="8367" name="TextBox 8366">
          <a:extLst>
            <a:ext uri="{FF2B5EF4-FFF2-40B4-BE49-F238E27FC236}">
              <a16:creationId xmlns:a16="http://schemas.microsoft.com/office/drawing/2014/main" id="{00000000-0008-0000-0000-00008B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171</xdr:row>
      <xdr:rowOff>0</xdr:rowOff>
    </xdr:from>
    <xdr:ext cx="65" cy="172227"/>
    <xdr:sp macro="" textlink="">
      <xdr:nvSpPr>
        <xdr:cNvPr id="8368" name="TextBox 8367">
          <a:extLst>
            <a:ext uri="{FF2B5EF4-FFF2-40B4-BE49-F238E27FC236}">
              <a16:creationId xmlns:a16="http://schemas.microsoft.com/office/drawing/2014/main" id="{00000000-0008-0000-0000-00008C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171</xdr:row>
      <xdr:rowOff>0</xdr:rowOff>
    </xdr:from>
    <xdr:ext cx="65" cy="172227"/>
    <xdr:sp macro="" textlink="">
      <xdr:nvSpPr>
        <xdr:cNvPr id="8369" name="TextBox 8368">
          <a:extLst>
            <a:ext uri="{FF2B5EF4-FFF2-40B4-BE49-F238E27FC236}">
              <a16:creationId xmlns:a16="http://schemas.microsoft.com/office/drawing/2014/main" id="{00000000-0008-0000-0000-00008D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171</xdr:row>
      <xdr:rowOff>0</xdr:rowOff>
    </xdr:from>
    <xdr:ext cx="65" cy="172227"/>
    <xdr:sp macro="" textlink="">
      <xdr:nvSpPr>
        <xdr:cNvPr id="8370" name="TextBox 8369">
          <a:extLst>
            <a:ext uri="{FF2B5EF4-FFF2-40B4-BE49-F238E27FC236}">
              <a16:creationId xmlns:a16="http://schemas.microsoft.com/office/drawing/2014/main" id="{00000000-0008-0000-0000-00008E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171</xdr:row>
      <xdr:rowOff>0</xdr:rowOff>
    </xdr:from>
    <xdr:ext cx="65" cy="172227"/>
    <xdr:sp macro="" textlink="">
      <xdr:nvSpPr>
        <xdr:cNvPr id="8371" name="TextBox 8370">
          <a:extLst>
            <a:ext uri="{FF2B5EF4-FFF2-40B4-BE49-F238E27FC236}">
              <a16:creationId xmlns:a16="http://schemas.microsoft.com/office/drawing/2014/main" id="{00000000-0008-0000-0000-00008F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171</xdr:row>
      <xdr:rowOff>0</xdr:rowOff>
    </xdr:from>
    <xdr:ext cx="65" cy="172227"/>
    <xdr:sp macro="" textlink="">
      <xdr:nvSpPr>
        <xdr:cNvPr id="8372" name="TextBox 8371">
          <a:extLst>
            <a:ext uri="{FF2B5EF4-FFF2-40B4-BE49-F238E27FC236}">
              <a16:creationId xmlns:a16="http://schemas.microsoft.com/office/drawing/2014/main" id="{00000000-0008-0000-0000-000090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171</xdr:row>
      <xdr:rowOff>0</xdr:rowOff>
    </xdr:from>
    <xdr:ext cx="65" cy="172227"/>
    <xdr:sp macro="" textlink="">
      <xdr:nvSpPr>
        <xdr:cNvPr id="8373" name="TextBox 8372">
          <a:extLst>
            <a:ext uri="{FF2B5EF4-FFF2-40B4-BE49-F238E27FC236}">
              <a16:creationId xmlns:a16="http://schemas.microsoft.com/office/drawing/2014/main" id="{00000000-0008-0000-0000-000091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171</xdr:row>
      <xdr:rowOff>0</xdr:rowOff>
    </xdr:from>
    <xdr:ext cx="65" cy="172227"/>
    <xdr:sp macro="" textlink="">
      <xdr:nvSpPr>
        <xdr:cNvPr id="8374" name="TextBox 8373">
          <a:extLst>
            <a:ext uri="{FF2B5EF4-FFF2-40B4-BE49-F238E27FC236}">
              <a16:creationId xmlns:a16="http://schemas.microsoft.com/office/drawing/2014/main" id="{00000000-0008-0000-0000-000092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171</xdr:row>
      <xdr:rowOff>0</xdr:rowOff>
    </xdr:from>
    <xdr:ext cx="65" cy="172227"/>
    <xdr:sp macro="" textlink="">
      <xdr:nvSpPr>
        <xdr:cNvPr id="8375" name="TextBox 8374">
          <a:extLst>
            <a:ext uri="{FF2B5EF4-FFF2-40B4-BE49-F238E27FC236}">
              <a16:creationId xmlns:a16="http://schemas.microsoft.com/office/drawing/2014/main" id="{00000000-0008-0000-0000-000093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171</xdr:row>
      <xdr:rowOff>0</xdr:rowOff>
    </xdr:from>
    <xdr:ext cx="65" cy="172227"/>
    <xdr:sp macro="" textlink="">
      <xdr:nvSpPr>
        <xdr:cNvPr id="8376" name="TextBox 8375">
          <a:extLst>
            <a:ext uri="{FF2B5EF4-FFF2-40B4-BE49-F238E27FC236}">
              <a16:creationId xmlns:a16="http://schemas.microsoft.com/office/drawing/2014/main" id="{00000000-0008-0000-0000-000094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171</xdr:row>
      <xdr:rowOff>0</xdr:rowOff>
    </xdr:from>
    <xdr:ext cx="65" cy="172227"/>
    <xdr:sp macro="" textlink="">
      <xdr:nvSpPr>
        <xdr:cNvPr id="8377" name="TextBox 8376">
          <a:extLst>
            <a:ext uri="{FF2B5EF4-FFF2-40B4-BE49-F238E27FC236}">
              <a16:creationId xmlns:a16="http://schemas.microsoft.com/office/drawing/2014/main" id="{00000000-0008-0000-0000-000095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171</xdr:row>
      <xdr:rowOff>0</xdr:rowOff>
    </xdr:from>
    <xdr:ext cx="65" cy="172227"/>
    <xdr:sp macro="" textlink="">
      <xdr:nvSpPr>
        <xdr:cNvPr id="8378" name="TextBox 8377">
          <a:extLst>
            <a:ext uri="{FF2B5EF4-FFF2-40B4-BE49-F238E27FC236}">
              <a16:creationId xmlns:a16="http://schemas.microsoft.com/office/drawing/2014/main" id="{00000000-0008-0000-0000-000096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171</xdr:row>
      <xdr:rowOff>0</xdr:rowOff>
    </xdr:from>
    <xdr:ext cx="65" cy="172227"/>
    <xdr:sp macro="" textlink="">
      <xdr:nvSpPr>
        <xdr:cNvPr id="8379" name="TextBox 8378">
          <a:extLst>
            <a:ext uri="{FF2B5EF4-FFF2-40B4-BE49-F238E27FC236}">
              <a16:creationId xmlns:a16="http://schemas.microsoft.com/office/drawing/2014/main" id="{00000000-0008-0000-0000-000097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171</xdr:row>
      <xdr:rowOff>0</xdr:rowOff>
    </xdr:from>
    <xdr:ext cx="65" cy="172227"/>
    <xdr:sp macro="" textlink="">
      <xdr:nvSpPr>
        <xdr:cNvPr id="8380" name="TextBox 8379">
          <a:extLst>
            <a:ext uri="{FF2B5EF4-FFF2-40B4-BE49-F238E27FC236}">
              <a16:creationId xmlns:a16="http://schemas.microsoft.com/office/drawing/2014/main" id="{00000000-0008-0000-0000-000098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171</xdr:row>
      <xdr:rowOff>0</xdr:rowOff>
    </xdr:from>
    <xdr:ext cx="65" cy="172227"/>
    <xdr:sp macro="" textlink="">
      <xdr:nvSpPr>
        <xdr:cNvPr id="8381" name="TextBox 8380">
          <a:extLst>
            <a:ext uri="{FF2B5EF4-FFF2-40B4-BE49-F238E27FC236}">
              <a16:creationId xmlns:a16="http://schemas.microsoft.com/office/drawing/2014/main" id="{00000000-0008-0000-0000-000099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171</xdr:row>
      <xdr:rowOff>0</xdr:rowOff>
    </xdr:from>
    <xdr:ext cx="65" cy="172227"/>
    <xdr:sp macro="" textlink="">
      <xdr:nvSpPr>
        <xdr:cNvPr id="8382" name="TextBox 8381">
          <a:extLst>
            <a:ext uri="{FF2B5EF4-FFF2-40B4-BE49-F238E27FC236}">
              <a16:creationId xmlns:a16="http://schemas.microsoft.com/office/drawing/2014/main" id="{00000000-0008-0000-0000-00009A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171</xdr:row>
      <xdr:rowOff>0</xdr:rowOff>
    </xdr:from>
    <xdr:ext cx="65" cy="172227"/>
    <xdr:sp macro="" textlink="">
      <xdr:nvSpPr>
        <xdr:cNvPr id="8383" name="TextBox 8382">
          <a:extLst>
            <a:ext uri="{FF2B5EF4-FFF2-40B4-BE49-F238E27FC236}">
              <a16:creationId xmlns:a16="http://schemas.microsoft.com/office/drawing/2014/main" id="{00000000-0008-0000-0000-00009B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171</xdr:row>
      <xdr:rowOff>0</xdr:rowOff>
    </xdr:from>
    <xdr:ext cx="65" cy="172227"/>
    <xdr:sp macro="" textlink="">
      <xdr:nvSpPr>
        <xdr:cNvPr id="8384" name="TextBox 8383">
          <a:extLst>
            <a:ext uri="{FF2B5EF4-FFF2-40B4-BE49-F238E27FC236}">
              <a16:creationId xmlns:a16="http://schemas.microsoft.com/office/drawing/2014/main" id="{00000000-0008-0000-0000-00009C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171</xdr:row>
      <xdr:rowOff>0</xdr:rowOff>
    </xdr:from>
    <xdr:ext cx="65" cy="172227"/>
    <xdr:sp macro="" textlink="">
      <xdr:nvSpPr>
        <xdr:cNvPr id="8385" name="TextBox 8384">
          <a:extLst>
            <a:ext uri="{FF2B5EF4-FFF2-40B4-BE49-F238E27FC236}">
              <a16:creationId xmlns:a16="http://schemas.microsoft.com/office/drawing/2014/main" id="{00000000-0008-0000-0000-00009D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171</xdr:row>
      <xdr:rowOff>0</xdr:rowOff>
    </xdr:from>
    <xdr:ext cx="65" cy="172227"/>
    <xdr:sp macro="" textlink="">
      <xdr:nvSpPr>
        <xdr:cNvPr id="8386" name="TextBox 8385">
          <a:extLst>
            <a:ext uri="{FF2B5EF4-FFF2-40B4-BE49-F238E27FC236}">
              <a16:creationId xmlns:a16="http://schemas.microsoft.com/office/drawing/2014/main" id="{00000000-0008-0000-0000-00009E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171</xdr:row>
      <xdr:rowOff>0</xdr:rowOff>
    </xdr:from>
    <xdr:ext cx="65" cy="172227"/>
    <xdr:sp macro="" textlink="">
      <xdr:nvSpPr>
        <xdr:cNvPr id="8387" name="TextBox 8386">
          <a:extLst>
            <a:ext uri="{FF2B5EF4-FFF2-40B4-BE49-F238E27FC236}">
              <a16:creationId xmlns:a16="http://schemas.microsoft.com/office/drawing/2014/main" id="{00000000-0008-0000-0000-00009F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171</xdr:row>
      <xdr:rowOff>0</xdr:rowOff>
    </xdr:from>
    <xdr:ext cx="65" cy="172227"/>
    <xdr:sp macro="" textlink="">
      <xdr:nvSpPr>
        <xdr:cNvPr id="8388" name="TextBox 8387">
          <a:extLst>
            <a:ext uri="{FF2B5EF4-FFF2-40B4-BE49-F238E27FC236}">
              <a16:creationId xmlns:a16="http://schemas.microsoft.com/office/drawing/2014/main" id="{00000000-0008-0000-0000-0000A0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171</xdr:row>
      <xdr:rowOff>0</xdr:rowOff>
    </xdr:from>
    <xdr:ext cx="65" cy="172227"/>
    <xdr:sp macro="" textlink="">
      <xdr:nvSpPr>
        <xdr:cNvPr id="8389" name="TextBox 8388">
          <a:extLst>
            <a:ext uri="{FF2B5EF4-FFF2-40B4-BE49-F238E27FC236}">
              <a16:creationId xmlns:a16="http://schemas.microsoft.com/office/drawing/2014/main" id="{00000000-0008-0000-0000-0000A1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171</xdr:row>
      <xdr:rowOff>0</xdr:rowOff>
    </xdr:from>
    <xdr:ext cx="65" cy="172227"/>
    <xdr:sp macro="" textlink="">
      <xdr:nvSpPr>
        <xdr:cNvPr id="8390" name="TextBox 8389">
          <a:extLst>
            <a:ext uri="{FF2B5EF4-FFF2-40B4-BE49-F238E27FC236}">
              <a16:creationId xmlns:a16="http://schemas.microsoft.com/office/drawing/2014/main" id="{00000000-0008-0000-0000-0000A2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171</xdr:row>
      <xdr:rowOff>0</xdr:rowOff>
    </xdr:from>
    <xdr:ext cx="65" cy="172227"/>
    <xdr:sp macro="" textlink="">
      <xdr:nvSpPr>
        <xdr:cNvPr id="8391" name="TextBox 8390">
          <a:extLst>
            <a:ext uri="{FF2B5EF4-FFF2-40B4-BE49-F238E27FC236}">
              <a16:creationId xmlns:a16="http://schemas.microsoft.com/office/drawing/2014/main" id="{00000000-0008-0000-0000-0000A3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171</xdr:row>
      <xdr:rowOff>0</xdr:rowOff>
    </xdr:from>
    <xdr:ext cx="65" cy="172227"/>
    <xdr:sp macro="" textlink="">
      <xdr:nvSpPr>
        <xdr:cNvPr id="8392" name="TextBox 8391">
          <a:extLst>
            <a:ext uri="{FF2B5EF4-FFF2-40B4-BE49-F238E27FC236}">
              <a16:creationId xmlns:a16="http://schemas.microsoft.com/office/drawing/2014/main" id="{00000000-0008-0000-0000-0000A4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171</xdr:row>
      <xdr:rowOff>0</xdr:rowOff>
    </xdr:from>
    <xdr:ext cx="65" cy="172227"/>
    <xdr:sp macro="" textlink="">
      <xdr:nvSpPr>
        <xdr:cNvPr id="8393" name="TextBox 8392">
          <a:extLst>
            <a:ext uri="{FF2B5EF4-FFF2-40B4-BE49-F238E27FC236}">
              <a16:creationId xmlns:a16="http://schemas.microsoft.com/office/drawing/2014/main" id="{00000000-0008-0000-0000-0000A5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171</xdr:row>
      <xdr:rowOff>0</xdr:rowOff>
    </xdr:from>
    <xdr:ext cx="65" cy="172227"/>
    <xdr:sp macro="" textlink="">
      <xdr:nvSpPr>
        <xdr:cNvPr id="8394" name="TextBox 8393">
          <a:extLst>
            <a:ext uri="{FF2B5EF4-FFF2-40B4-BE49-F238E27FC236}">
              <a16:creationId xmlns:a16="http://schemas.microsoft.com/office/drawing/2014/main" id="{00000000-0008-0000-0000-0000A6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171</xdr:row>
      <xdr:rowOff>0</xdr:rowOff>
    </xdr:from>
    <xdr:ext cx="65" cy="172227"/>
    <xdr:sp macro="" textlink="">
      <xdr:nvSpPr>
        <xdr:cNvPr id="8395" name="TextBox 8394">
          <a:extLst>
            <a:ext uri="{FF2B5EF4-FFF2-40B4-BE49-F238E27FC236}">
              <a16:creationId xmlns:a16="http://schemas.microsoft.com/office/drawing/2014/main" id="{00000000-0008-0000-0000-0000A7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171</xdr:row>
      <xdr:rowOff>0</xdr:rowOff>
    </xdr:from>
    <xdr:ext cx="65" cy="172227"/>
    <xdr:sp macro="" textlink="">
      <xdr:nvSpPr>
        <xdr:cNvPr id="8396" name="TextBox 8395">
          <a:extLst>
            <a:ext uri="{FF2B5EF4-FFF2-40B4-BE49-F238E27FC236}">
              <a16:creationId xmlns:a16="http://schemas.microsoft.com/office/drawing/2014/main" id="{00000000-0008-0000-0000-0000A8010000}"/>
            </a:ext>
          </a:extLst>
        </xdr:cNvPr>
        <xdr:cNvSpPr txBox="1"/>
      </xdr:nvSpPr>
      <xdr:spPr>
        <a:xfrm>
          <a:off x="1258062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171</xdr:row>
      <xdr:rowOff>0</xdr:rowOff>
    </xdr:from>
    <xdr:ext cx="65" cy="172227"/>
    <xdr:sp macro="" textlink="">
      <xdr:nvSpPr>
        <xdr:cNvPr id="8397" name="TextBox 8396">
          <a:extLst>
            <a:ext uri="{FF2B5EF4-FFF2-40B4-BE49-F238E27FC236}">
              <a16:creationId xmlns:a16="http://schemas.microsoft.com/office/drawing/2014/main" id="{00000000-0008-0000-0000-0000A9010000}"/>
            </a:ext>
          </a:extLst>
        </xdr:cNvPr>
        <xdr:cNvSpPr txBox="1"/>
      </xdr:nvSpPr>
      <xdr:spPr>
        <a:xfrm>
          <a:off x="1258062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171</xdr:row>
      <xdr:rowOff>0</xdr:rowOff>
    </xdr:from>
    <xdr:ext cx="65" cy="172227"/>
    <xdr:sp macro="" textlink="">
      <xdr:nvSpPr>
        <xdr:cNvPr id="8398" name="TextBox 8397">
          <a:extLst>
            <a:ext uri="{FF2B5EF4-FFF2-40B4-BE49-F238E27FC236}">
              <a16:creationId xmlns:a16="http://schemas.microsoft.com/office/drawing/2014/main" id="{00000000-0008-0000-0000-0000AA010000}"/>
            </a:ext>
          </a:extLst>
        </xdr:cNvPr>
        <xdr:cNvSpPr txBox="1"/>
      </xdr:nvSpPr>
      <xdr:spPr>
        <a:xfrm>
          <a:off x="1258062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171</xdr:row>
      <xdr:rowOff>0</xdr:rowOff>
    </xdr:from>
    <xdr:ext cx="65" cy="172227"/>
    <xdr:sp macro="" textlink="">
      <xdr:nvSpPr>
        <xdr:cNvPr id="8399" name="TextBox 8398">
          <a:extLst>
            <a:ext uri="{FF2B5EF4-FFF2-40B4-BE49-F238E27FC236}">
              <a16:creationId xmlns:a16="http://schemas.microsoft.com/office/drawing/2014/main" id="{00000000-0008-0000-0000-0000AB010000}"/>
            </a:ext>
          </a:extLst>
        </xdr:cNvPr>
        <xdr:cNvSpPr txBox="1"/>
      </xdr:nvSpPr>
      <xdr:spPr>
        <a:xfrm>
          <a:off x="1258062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171</xdr:row>
      <xdr:rowOff>0</xdr:rowOff>
    </xdr:from>
    <xdr:ext cx="65" cy="172227"/>
    <xdr:sp macro="" textlink="">
      <xdr:nvSpPr>
        <xdr:cNvPr id="8400" name="TextBox 8399">
          <a:extLst>
            <a:ext uri="{FF2B5EF4-FFF2-40B4-BE49-F238E27FC236}">
              <a16:creationId xmlns:a16="http://schemas.microsoft.com/office/drawing/2014/main" id="{00000000-0008-0000-0000-0000AC010000}"/>
            </a:ext>
          </a:extLst>
        </xdr:cNvPr>
        <xdr:cNvSpPr txBox="1"/>
      </xdr:nvSpPr>
      <xdr:spPr>
        <a:xfrm>
          <a:off x="1258062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171</xdr:row>
      <xdr:rowOff>0</xdr:rowOff>
    </xdr:from>
    <xdr:ext cx="65" cy="172227"/>
    <xdr:sp macro="" textlink="">
      <xdr:nvSpPr>
        <xdr:cNvPr id="8401" name="TextBox 8400">
          <a:extLst>
            <a:ext uri="{FF2B5EF4-FFF2-40B4-BE49-F238E27FC236}">
              <a16:creationId xmlns:a16="http://schemas.microsoft.com/office/drawing/2014/main" id="{00000000-0008-0000-0000-0000AD010000}"/>
            </a:ext>
          </a:extLst>
        </xdr:cNvPr>
        <xdr:cNvSpPr txBox="1"/>
      </xdr:nvSpPr>
      <xdr:spPr>
        <a:xfrm>
          <a:off x="1258062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171</xdr:row>
      <xdr:rowOff>0</xdr:rowOff>
    </xdr:from>
    <xdr:ext cx="65" cy="172227"/>
    <xdr:sp macro="" textlink="">
      <xdr:nvSpPr>
        <xdr:cNvPr id="8402" name="TextBox 8401">
          <a:extLst>
            <a:ext uri="{FF2B5EF4-FFF2-40B4-BE49-F238E27FC236}">
              <a16:creationId xmlns:a16="http://schemas.microsoft.com/office/drawing/2014/main" id="{00000000-0008-0000-0000-0000AE010000}"/>
            </a:ext>
          </a:extLst>
        </xdr:cNvPr>
        <xdr:cNvSpPr txBox="1"/>
      </xdr:nvSpPr>
      <xdr:spPr>
        <a:xfrm>
          <a:off x="1258062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171</xdr:row>
      <xdr:rowOff>0</xdr:rowOff>
    </xdr:from>
    <xdr:ext cx="65" cy="172227"/>
    <xdr:sp macro="" textlink="">
      <xdr:nvSpPr>
        <xdr:cNvPr id="8403" name="TextBox 8402">
          <a:extLst>
            <a:ext uri="{FF2B5EF4-FFF2-40B4-BE49-F238E27FC236}">
              <a16:creationId xmlns:a16="http://schemas.microsoft.com/office/drawing/2014/main" id="{00000000-0008-0000-0000-0000AF010000}"/>
            </a:ext>
          </a:extLst>
        </xdr:cNvPr>
        <xdr:cNvSpPr txBox="1"/>
      </xdr:nvSpPr>
      <xdr:spPr>
        <a:xfrm>
          <a:off x="1258062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165</xdr:row>
      <xdr:rowOff>0</xdr:rowOff>
    </xdr:from>
    <xdr:ext cx="65" cy="172227"/>
    <xdr:sp macro="" textlink="">
      <xdr:nvSpPr>
        <xdr:cNvPr id="8404" name="TextBox 8403">
          <a:extLst>
            <a:ext uri="{FF2B5EF4-FFF2-40B4-BE49-F238E27FC236}">
              <a16:creationId xmlns:a16="http://schemas.microsoft.com/office/drawing/2014/main" id="{00000000-0008-0000-0000-0000B0010000}"/>
            </a:ext>
          </a:extLst>
        </xdr:cNvPr>
        <xdr:cNvSpPr txBox="1"/>
      </xdr:nvSpPr>
      <xdr:spPr>
        <a:xfrm>
          <a:off x="8267700" y="33520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165</xdr:row>
      <xdr:rowOff>0</xdr:rowOff>
    </xdr:from>
    <xdr:ext cx="65" cy="172227"/>
    <xdr:sp macro="" textlink="">
      <xdr:nvSpPr>
        <xdr:cNvPr id="8405" name="TextBox 8404">
          <a:extLst>
            <a:ext uri="{FF2B5EF4-FFF2-40B4-BE49-F238E27FC236}">
              <a16:creationId xmlns:a16="http://schemas.microsoft.com/office/drawing/2014/main" id="{00000000-0008-0000-0000-0000B1010000}"/>
            </a:ext>
          </a:extLst>
        </xdr:cNvPr>
        <xdr:cNvSpPr txBox="1"/>
      </xdr:nvSpPr>
      <xdr:spPr>
        <a:xfrm>
          <a:off x="8267700" y="33520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167</xdr:row>
      <xdr:rowOff>0</xdr:rowOff>
    </xdr:from>
    <xdr:ext cx="65" cy="172227"/>
    <xdr:sp macro="" textlink="">
      <xdr:nvSpPr>
        <xdr:cNvPr id="8406" name="TextBox 8405">
          <a:extLst>
            <a:ext uri="{FF2B5EF4-FFF2-40B4-BE49-F238E27FC236}">
              <a16:creationId xmlns:a16="http://schemas.microsoft.com/office/drawing/2014/main" id="{00000000-0008-0000-0000-0000B2010000}"/>
            </a:ext>
          </a:extLst>
        </xdr:cNvPr>
        <xdr:cNvSpPr txBox="1"/>
      </xdr:nvSpPr>
      <xdr:spPr>
        <a:xfrm>
          <a:off x="12580620" y="3391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167</xdr:row>
      <xdr:rowOff>0</xdr:rowOff>
    </xdr:from>
    <xdr:ext cx="65" cy="172227"/>
    <xdr:sp macro="" textlink="">
      <xdr:nvSpPr>
        <xdr:cNvPr id="8407" name="TextBox 8406">
          <a:extLst>
            <a:ext uri="{FF2B5EF4-FFF2-40B4-BE49-F238E27FC236}">
              <a16:creationId xmlns:a16="http://schemas.microsoft.com/office/drawing/2014/main" id="{00000000-0008-0000-0000-0000B3010000}"/>
            </a:ext>
          </a:extLst>
        </xdr:cNvPr>
        <xdr:cNvSpPr txBox="1"/>
      </xdr:nvSpPr>
      <xdr:spPr>
        <a:xfrm>
          <a:off x="12580620" y="3391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167</xdr:row>
      <xdr:rowOff>0</xdr:rowOff>
    </xdr:from>
    <xdr:ext cx="65" cy="172227"/>
    <xdr:sp macro="" textlink="">
      <xdr:nvSpPr>
        <xdr:cNvPr id="8408" name="TextBox 8407">
          <a:extLst>
            <a:ext uri="{FF2B5EF4-FFF2-40B4-BE49-F238E27FC236}">
              <a16:creationId xmlns:a16="http://schemas.microsoft.com/office/drawing/2014/main" id="{00000000-0008-0000-0000-0000B4010000}"/>
            </a:ext>
          </a:extLst>
        </xdr:cNvPr>
        <xdr:cNvSpPr txBox="1"/>
      </xdr:nvSpPr>
      <xdr:spPr>
        <a:xfrm>
          <a:off x="12580620" y="3391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167</xdr:row>
      <xdr:rowOff>0</xdr:rowOff>
    </xdr:from>
    <xdr:ext cx="65" cy="172227"/>
    <xdr:sp macro="" textlink="">
      <xdr:nvSpPr>
        <xdr:cNvPr id="8409" name="TextBox 8408">
          <a:extLst>
            <a:ext uri="{FF2B5EF4-FFF2-40B4-BE49-F238E27FC236}">
              <a16:creationId xmlns:a16="http://schemas.microsoft.com/office/drawing/2014/main" id="{00000000-0008-0000-0000-0000B5010000}"/>
            </a:ext>
          </a:extLst>
        </xdr:cNvPr>
        <xdr:cNvSpPr txBox="1"/>
      </xdr:nvSpPr>
      <xdr:spPr>
        <a:xfrm>
          <a:off x="12580620" y="3391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167</xdr:row>
      <xdr:rowOff>0</xdr:rowOff>
    </xdr:from>
    <xdr:ext cx="65" cy="172227"/>
    <xdr:sp macro="" textlink="">
      <xdr:nvSpPr>
        <xdr:cNvPr id="8410" name="TextBox 8409">
          <a:extLst>
            <a:ext uri="{FF2B5EF4-FFF2-40B4-BE49-F238E27FC236}">
              <a16:creationId xmlns:a16="http://schemas.microsoft.com/office/drawing/2014/main" id="{00000000-0008-0000-0000-0000B6010000}"/>
            </a:ext>
          </a:extLst>
        </xdr:cNvPr>
        <xdr:cNvSpPr txBox="1"/>
      </xdr:nvSpPr>
      <xdr:spPr>
        <a:xfrm>
          <a:off x="12580620" y="3391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167</xdr:row>
      <xdr:rowOff>0</xdr:rowOff>
    </xdr:from>
    <xdr:ext cx="65" cy="172227"/>
    <xdr:sp macro="" textlink="">
      <xdr:nvSpPr>
        <xdr:cNvPr id="8411" name="TextBox 8410">
          <a:extLst>
            <a:ext uri="{FF2B5EF4-FFF2-40B4-BE49-F238E27FC236}">
              <a16:creationId xmlns:a16="http://schemas.microsoft.com/office/drawing/2014/main" id="{00000000-0008-0000-0000-0000B7010000}"/>
            </a:ext>
          </a:extLst>
        </xdr:cNvPr>
        <xdr:cNvSpPr txBox="1"/>
      </xdr:nvSpPr>
      <xdr:spPr>
        <a:xfrm>
          <a:off x="12580620" y="3391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167</xdr:row>
      <xdr:rowOff>0</xdr:rowOff>
    </xdr:from>
    <xdr:ext cx="65" cy="172227"/>
    <xdr:sp macro="" textlink="">
      <xdr:nvSpPr>
        <xdr:cNvPr id="8412" name="TextBox 8411">
          <a:extLst>
            <a:ext uri="{FF2B5EF4-FFF2-40B4-BE49-F238E27FC236}">
              <a16:creationId xmlns:a16="http://schemas.microsoft.com/office/drawing/2014/main" id="{00000000-0008-0000-0000-0000B8010000}"/>
            </a:ext>
          </a:extLst>
        </xdr:cNvPr>
        <xdr:cNvSpPr txBox="1"/>
      </xdr:nvSpPr>
      <xdr:spPr>
        <a:xfrm>
          <a:off x="12580620" y="3391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167</xdr:row>
      <xdr:rowOff>0</xdr:rowOff>
    </xdr:from>
    <xdr:ext cx="65" cy="172227"/>
    <xdr:sp macro="" textlink="">
      <xdr:nvSpPr>
        <xdr:cNvPr id="8413" name="TextBox 8412">
          <a:extLst>
            <a:ext uri="{FF2B5EF4-FFF2-40B4-BE49-F238E27FC236}">
              <a16:creationId xmlns:a16="http://schemas.microsoft.com/office/drawing/2014/main" id="{00000000-0008-0000-0000-0000B9010000}"/>
            </a:ext>
          </a:extLst>
        </xdr:cNvPr>
        <xdr:cNvSpPr txBox="1"/>
      </xdr:nvSpPr>
      <xdr:spPr>
        <a:xfrm>
          <a:off x="12580620" y="3391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414" name="TextBox 8413">
          <a:extLst>
            <a:ext uri="{FF2B5EF4-FFF2-40B4-BE49-F238E27FC236}">
              <a16:creationId xmlns:a16="http://schemas.microsoft.com/office/drawing/2014/main" id="{00000000-0008-0000-0000-0000BA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415" name="TextBox 8414">
          <a:extLst>
            <a:ext uri="{FF2B5EF4-FFF2-40B4-BE49-F238E27FC236}">
              <a16:creationId xmlns:a16="http://schemas.microsoft.com/office/drawing/2014/main" id="{00000000-0008-0000-0000-0000BB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416" name="TextBox 8415">
          <a:extLst>
            <a:ext uri="{FF2B5EF4-FFF2-40B4-BE49-F238E27FC236}">
              <a16:creationId xmlns:a16="http://schemas.microsoft.com/office/drawing/2014/main" id="{00000000-0008-0000-0000-0000BC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417" name="TextBox 8416">
          <a:extLst>
            <a:ext uri="{FF2B5EF4-FFF2-40B4-BE49-F238E27FC236}">
              <a16:creationId xmlns:a16="http://schemas.microsoft.com/office/drawing/2014/main" id="{00000000-0008-0000-0000-0000BD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418" name="TextBox 8417">
          <a:extLst>
            <a:ext uri="{FF2B5EF4-FFF2-40B4-BE49-F238E27FC236}">
              <a16:creationId xmlns:a16="http://schemas.microsoft.com/office/drawing/2014/main" id="{00000000-0008-0000-0000-0000BE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419" name="TextBox 8418">
          <a:extLst>
            <a:ext uri="{FF2B5EF4-FFF2-40B4-BE49-F238E27FC236}">
              <a16:creationId xmlns:a16="http://schemas.microsoft.com/office/drawing/2014/main" id="{00000000-0008-0000-0000-0000BF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420" name="TextBox 8419">
          <a:extLst>
            <a:ext uri="{FF2B5EF4-FFF2-40B4-BE49-F238E27FC236}">
              <a16:creationId xmlns:a16="http://schemas.microsoft.com/office/drawing/2014/main" id="{00000000-0008-0000-0000-0000C0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421" name="TextBox 8420">
          <a:extLst>
            <a:ext uri="{FF2B5EF4-FFF2-40B4-BE49-F238E27FC236}">
              <a16:creationId xmlns:a16="http://schemas.microsoft.com/office/drawing/2014/main" id="{00000000-0008-0000-0000-0000C1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422" name="TextBox 8421">
          <a:extLst>
            <a:ext uri="{FF2B5EF4-FFF2-40B4-BE49-F238E27FC236}">
              <a16:creationId xmlns:a16="http://schemas.microsoft.com/office/drawing/2014/main" id="{00000000-0008-0000-0000-0000C2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423" name="TextBox 8422">
          <a:extLst>
            <a:ext uri="{FF2B5EF4-FFF2-40B4-BE49-F238E27FC236}">
              <a16:creationId xmlns:a16="http://schemas.microsoft.com/office/drawing/2014/main" id="{00000000-0008-0000-0000-0000C3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424" name="TextBox 8423">
          <a:extLst>
            <a:ext uri="{FF2B5EF4-FFF2-40B4-BE49-F238E27FC236}">
              <a16:creationId xmlns:a16="http://schemas.microsoft.com/office/drawing/2014/main" id="{00000000-0008-0000-0000-0000C4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425" name="TextBox 8424">
          <a:extLst>
            <a:ext uri="{FF2B5EF4-FFF2-40B4-BE49-F238E27FC236}">
              <a16:creationId xmlns:a16="http://schemas.microsoft.com/office/drawing/2014/main" id="{00000000-0008-0000-0000-0000C5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426" name="TextBox 8425">
          <a:extLst>
            <a:ext uri="{FF2B5EF4-FFF2-40B4-BE49-F238E27FC236}">
              <a16:creationId xmlns:a16="http://schemas.microsoft.com/office/drawing/2014/main" id="{00000000-0008-0000-0000-0000C6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427" name="TextBox 8426">
          <a:extLst>
            <a:ext uri="{FF2B5EF4-FFF2-40B4-BE49-F238E27FC236}">
              <a16:creationId xmlns:a16="http://schemas.microsoft.com/office/drawing/2014/main" id="{00000000-0008-0000-0000-0000C7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428" name="TextBox 8427">
          <a:extLst>
            <a:ext uri="{FF2B5EF4-FFF2-40B4-BE49-F238E27FC236}">
              <a16:creationId xmlns:a16="http://schemas.microsoft.com/office/drawing/2014/main" id="{00000000-0008-0000-0000-0000C8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429" name="TextBox 8428">
          <a:extLst>
            <a:ext uri="{FF2B5EF4-FFF2-40B4-BE49-F238E27FC236}">
              <a16:creationId xmlns:a16="http://schemas.microsoft.com/office/drawing/2014/main" id="{00000000-0008-0000-0000-0000C9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430" name="TextBox 8429">
          <a:extLst>
            <a:ext uri="{FF2B5EF4-FFF2-40B4-BE49-F238E27FC236}">
              <a16:creationId xmlns:a16="http://schemas.microsoft.com/office/drawing/2014/main" id="{00000000-0008-0000-0000-0000CA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431" name="TextBox 8430">
          <a:extLst>
            <a:ext uri="{FF2B5EF4-FFF2-40B4-BE49-F238E27FC236}">
              <a16:creationId xmlns:a16="http://schemas.microsoft.com/office/drawing/2014/main" id="{00000000-0008-0000-0000-0000CB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432" name="TextBox 8431">
          <a:extLst>
            <a:ext uri="{FF2B5EF4-FFF2-40B4-BE49-F238E27FC236}">
              <a16:creationId xmlns:a16="http://schemas.microsoft.com/office/drawing/2014/main" id="{00000000-0008-0000-0000-0000CC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433" name="TextBox 8432">
          <a:extLst>
            <a:ext uri="{FF2B5EF4-FFF2-40B4-BE49-F238E27FC236}">
              <a16:creationId xmlns:a16="http://schemas.microsoft.com/office/drawing/2014/main" id="{00000000-0008-0000-0000-0000CD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434" name="TextBox 8433">
          <a:extLst>
            <a:ext uri="{FF2B5EF4-FFF2-40B4-BE49-F238E27FC236}">
              <a16:creationId xmlns:a16="http://schemas.microsoft.com/office/drawing/2014/main" id="{00000000-0008-0000-0000-0000CE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435" name="TextBox 8434">
          <a:extLst>
            <a:ext uri="{FF2B5EF4-FFF2-40B4-BE49-F238E27FC236}">
              <a16:creationId xmlns:a16="http://schemas.microsoft.com/office/drawing/2014/main" id="{00000000-0008-0000-0000-0000CF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436" name="TextBox 8435">
          <a:extLst>
            <a:ext uri="{FF2B5EF4-FFF2-40B4-BE49-F238E27FC236}">
              <a16:creationId xmlns:a16="http://schemas.microsoft.com/office/drawing/2014/main" id="{00000000-0008-0000-0000-0000D0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437" name="TextBox 8436">
          <a:extLst>
            <a:ext uri="{FF2B5EF4-FFF2-40B4-BE49-F238E27FC236}">
              <a16:creationId xmlns:a16="http://schemas.microsoft.com/office/drawing/2014/main" id="{00000000-0008-0000-0000-0000D1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438" name="TextBox 8437">
          <a:extLst>
            <a:ext uri="{FF2B5EF4-FFF2-40B4-BE49-F238E27FC236}">
              <a16:creationId xmlns:a16="http://schemas.microsoft.com/office/drawing/2014/main" id="{00000000-0008-0000-0000-0000D2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439" name="TextBox 8438">
          <a:extLst>
            <a:ext uri="{FF2B5EF4-FFF2-40B4-BE49-F238E27FC236}">
              <a16:creationId xmlns:a16="http://schemas.microsoft.com/office/drawing/2014/main" id="{00000000-0008-0000-0000-0000D3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440" name="TextBox 8439">
          <a:extLst>
            <a:ext uri="{FF2B5EF4-FFF2-40B4-BE49-F238E27FC236}">
              <a16:creationId xmlns:a16="http://schemas.microsoft.com/office/drawing/2014/main" id="{00000000-0008-0000-0000-0000D4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441" name="TextBox 8440">
          <a:extLst>
            <a:ext uri="{FF2B5EF4-FFF2-40B4-BE49-F238E27FC236}">
              <a16:creationId xmlns:a16="http://schemas.microsoft.com/office/drawing/2014/main" id="{00000000-0008-0000-0000-0000D5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442" name="TextBox 8441">
          <a:extLst>
            <a:ext uri="{FF2B5EF4-FFF2-40B4-BE49-F238E27FC236}">
              <a16:creationId xmlns:a16="http://schemas.microsoft.com/office/drawing/2014/main" id="{00000000-0008-0000-0000-0000D6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443" name="TextBox 8442">
          <a:extLst>
            <a:ext uri="{FF2B5EF4-FFF2-40B4-BE49-F238E27FC236}">
              <a16:creationId xmlns:a16="http://schemas.microsoft.com/office/drawing/2014/main" id="{00000000-0008-0000-0000-0000D7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444" name="TextBox 8443">
          <a:extLst>
            <a:ext uri="{FF2B5EF4-FFF2-40B4-BE49-F238E27FC236}">
              <a16:creationId xmlns:a16="http://schemas.microsoft.com/office/drawing/2014/main" id="{00000000-0008-0000-0000-0000D8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445" name="TextBox 8444">
          <a:extLst>
            <a:ext uri="{FF2B5EF4-FFF2-40B4-BE49-F238E27FC236}">
              <a16:creationId xmlns:a16="http://schemas.microsoft.com/office/drawing/2014/main" id="{00000000-0008-0000-0000-0000D9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446" name="TextBox 8445">
          <a:extLst>
            <a:ext uri="{FF2B5EF4-FFF2-40B4-BE49-F238E27FC236}">
              <a16:creationId xmlns:a16="http://schemas.microsoft.com/office/drawing/2014/main" id="{00000000-0008-0000-0000-0000DA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447" name="TextBox 8446">
          <a:extLst>
            <a:ext uri="{FF2B5EF4-FFF2-40B4-BE49-F238E27FC236}">
              <a16:creationId xmlns:a16="http://schemas.microsoft.com/office/drawing/2014/main" id="{00000000-0008-0000-0000-0000DB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448" name="TextBox 8447">
          <a:extLst>
            <a:ext uri="{FF2B5EF4-FFF2-40B4-BE49-F238E27FC236}">
              <a16:creationId xmlns:a16="http://schemas.microsoft.com/office/drawing/2014/main" id="{00000000-0008-0000-0000-0000DC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449" name="TextBox 8448">
          <a:extLst>
            <a:ext uri="{FF2B5EF4-FFF2-40B4-BE49-F238E27FC236}">
              <a16:creationId xmlns:a16="http://schemas.microsoft.com/office/drawing/2014/main" id="{00000000-0008-0000-0000-0000DD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450" name="TextBox 8449">
          <a:extLst>
            <a:ext uri="{FF2B5EF4-FFF2-40B4-BE49-F238E27FC236}">
              <a16:creationId xmlns:a16="http://schemas.microsoft.com/office/drawing/2014/main" id="{00000000-0008-0000-0000-0000DE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451" name="TextBox 8450">
          <a:extLst>
            <a:ext uri="{FF2B5EF4-FFF2-40B4-BE49-F238E27FC236}">
              <a16:creationId xmlns:a16="http://schemas.microsoft.com/office/drawing/2014/main" id="{00000000-0008-0000-0000-0000DF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452" name="TextBox 8451">
          <a:extLst>
            <a:ext uri="{FF2B5EF4-FFF2-40B4-BE49-F238E27FC236}">
              <a16:creationId xmlns:a16="http://schemas.microsoft.com/office/drawing/2014/main" id="{00000000-0008-0000-0000-0000E0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453" name="TextBox 8452">
          <a:extLst>
            <a:ext uri="{FF2B5EF4-FFF2-40B4-BE49-F238E27FC236}">
              <a16:creationId xmlns:a16="http://schemas.microsoft.com/office/drawing/2014/main" id="{00000000-0008-0000-0000-0000E1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454" name="TextBox 8453">
          <a:extLst>
            <a:ext uri="{FF2B5EF4-FFF2-40B4-BE49-F238E27FC236}">
              <a16:creationId xmlns:a16="http://schemas.microsoft.com/office/drawing/2014/main" id="{00000000-0008-0000-0000-0000E2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455" name="TextBox 8454">
          <a:extLst>
            <a:ext uri="{FF2B5EF4-FFF2-40B4-BE49-F238E27FC236}">
              <a16:creationId xmlns:a16="http://schemas.microsoft.com/office/drawing/2014/main" id="{00000000-0008-0000-0000-0000E3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456" name="TextBox 8455">
          <a:extLst>
            <a:ext uri="{FF2B5EF4-FFF2-40B4-BE49-F238E27FC236}">
              <a16:creationId xmlns:a16="http://schemas.microsoft.com/office/drawing/2014/main" id="{00000000-0008-0000-0000-0000E4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457" name="TextBox 8456">
          <a:extLst>
            <a:ext uri="{FF2B5EF4-FFF2-40B4-BE49-F238E27FC236}">
              <a16:creationId xmlns:a16="http://schemas.microsoft.com/office/drawing/2014/main" id="{00000000-0008-0000-0000-0000E5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458" name="TextBox 8457">
          <a:extLst>
            <a:ext uri="{FF2B5EF4-FFF2-40B4-BE49-F238E27FC236}">
              <a16:creationId xmlns:a16="http://schemas.microsoft.com/office/drawing/2014/main" id="{00000000-0008-0000-0000-0000E6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459" name="TextBox 8458">
          <a:extLst>
            <a:ext uri="{FF2B5EF4-FFF2-40B4-BE49-F238E27FC236}">
              <a16:creationId xmlns:a16="http://schemas.microsoft.com/office/drawing/2014/main" id="{00000000-0008-0000-0000-0000E7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460" name="TextBox 8459">
          <a:extLst>
            <a:ext uri="{FF2B5EF4-FFF2-40B4-BE49-F238E27FC236}">
              <a16:creationId xmlns:a16="http://schemas.microsoft.com/office/drawing/2014/main" id="{00000000-0008-0000-0000-0000E8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461" name="TextBox 8460">
          <a:extLst>
            <a:ext uri="{FF2B5EF4-FFF2-40B4-BE49-F238E27FC236}">
              <a16:creationId xmlns:a16="http://schemas.microsoft.com/office/drawing/2014/main" id="{00000000-0008-0000-0000-0000E9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462" name="TextBox 8461">
          <a:extLst>
            <a:ext uri="{FF2B5EF4-FFF2-40B4-BE49-F238E27FC236}">
              <a16:creationId xmlns:a16="http://schemas.microsoft.com/office/drawing/2014/main" id="{00000000-0008-0000-0000-0000EA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463" name="TextBox 8462">
          <a:extLst>
            <a:ext uri="{FF2B5EF4-FFF2-40B4-BE49-F238E27FC236}">
              <a16:creationId xmlns:a16="http://schemas.microsoft.com/office/drawing/2014/main" id="{00000000-0008-0000-0000-0000EB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464" name="TextBox 8463">
          <a:extLst>
            <a:ext uri="{FF2B5EF4-FFF2-40B4-BE49-F238E27FC236}">
              <a16:creationId xmlns:a16="http://schemas.microsoft.com/office/drawing/2014/main" id="{00000000-0008-0000-0000-0000EC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465" name="TextBox 8464">
          <a:extLst>
            <a:ext uri="{FF2B5EF4-FFF2-40B4-BE49-F238E27FC236}">
              <a16:creationId xmlns:a16="http://schemas.microsoft.com/office/drawing/2014/main" id="{00000000-0008-0000-0000-0000ED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466" name="TextBox 8465">
          <a:extLst>
            <a:ext uri="{FF2B5EF4-FFF2-40B4-BE49-F238E27FC236}">
              <a16:creationId xmlns:a16="http://schemas.microsoft.com/office/drawing/2014/main" id="{00000000-0008-0000-0000-0000EE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467" name="TextBox 8466">
          <a:extLst>
            <a:ext uri="{FF2B5EF4-FFF2-40B4-BE49-F238E27FC236}">
              <a16:creationId xmlns:a16="http://schemas.microsoft.com/office/drawing/2014/main" id="{00000000-0008-0000-0000-0000EF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468" name="TextBox 8467">
          <a:extLst>
            <a:ext uri="{FF2B5EF4-FFF2-40B4-BE49-F238E27FC236}">
              <a16:creationId xmlns:a16="http://schemas.microsoft.com/office/drawing/2014/main" id="{00000000-0008-0000-0000-0000F0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469" name="TextBox 8468">
          <a:extLst>
            <a:ext uri="{FF2B5EF4-FFF2-40B4-BE49-F238E27FC236}">
              <a16:creationId xmlns:a16="http://schemas.microsoft.com/office/drawing/2014/main" id="{00000000-0008-0000-0000-0000F1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170</xdr:row>
      <xdr:rowOff>0</xdr:rowOff>
    </xdr:from>
    <xdr:ext cx="65" cy="172227"/>
    <xdr:sp macro="" textlink="">
      <xdr:nvSpPr>
        <xdr:cNvPr id="8470" name="TextBox 8469">
          <a:extLst>
            <a:ext uri="{FF2B5EF4-FFF2-40B4-BE49-F238E27FC236}">
              <a16:creationId xmlns:a16="http://schemas.microsoft.com/office/drawing/2014/main" id="{00000000-0008-0000-0000-0000F2010000}"/>
            </a:ext>
          </a:extLst>
        </xdr:cNvPr>
        <xdr:cNvSpPr txBox="1"/>
      </xdr:nvSpPr>
      <xdr:spPr>
        <a:xfrm>
          <a:off x="1258062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170</xdr:row>
      <xdr:rowOff>0</xdr:rowOff>
    </xdr:from>
    <xdr:ext cx="65" cy="172227"/>
    <xdr:sp macro="" textlink="">
      <xdr:nvSpPr>
        <xdr:cNvPr id="8471" name="TextBox 8470">
          <a:extLst>
            <a:ext uri="{FF2B5EF4-FFF2-40B4-BE49-F238E27FC236}">
              <a16:creationId xmlns:a16="http://schemas.microsoft.com/office/drawing/2014/main" id="{00000000-0008-0000-0000-0000F3010000}"/>
            </a:ext>
          </a:extLst>
        </xdr:cNvPr>
        <xdr:cNvSpPr txBox="1"/>
      </xdr:nvSpPr>
      <xdr:spPr>
        <a:xfrm>
          <a:off x="1258062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170</xdr:row>
      <xdr:rowOff>0</xdr:rowOff>
    </xdr:from>
    <xdr:ext cx="65" cy="172227"/>
    <xdr:sp macro="" textlink="">
      <xdr:nvSpPr>
        <xdr:cNvPr id="8472" name="TextBox 8471">
          <a:extLst>
            <a:ext uri="{FF2B5EF4-FFF2-40B4-BE49-F238E27FC236}">
              <a16:creationId xmlns:a16="http://schemas.microsoft.com/office/drawing/2014/main" id="{00000000-0008-0000-0000-0000F4010000}"/>
            </a:ext>
          </a:extLst>
        </xdr:cNvPr>
        <xdr:cNvSpPr txBox="1"/>
      </xdr:nvSpPr>
      <xdr:spPr>
        <a:xfrm>
          <a:off x="1258062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170</xdr:row>
      <xdr:rowOff>0</xdr:rowOff>
    </xdr:from>
    <xdr:ext cx="65" cy="172227"/>
    <xdr:sp macro="" textlink="">
      <xdr:nvSpPr>
        <xdr:cNvPr id="8473" name="TextBox 8472">
          <a:extLst>
            <a:ext uri="{FF2B5EF4-FFF2-40B4-BE49-F238E27FC236}">
              <a16:creationId xmlns:a16="http://schemas.microsoft.com/office/drawing/2014/main" id="{00000000-0008-0000-0000-0000F5010000}"/>
            </a:ext>
          </a:extLst>
        </xdr:cNvPr>
        <xdr:cNvSpPr txBox="1"/>
      </xdr:nvSpPr>
      <xdr:spPr>
        <a:xfrm>
          <a:off x="1258062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170</xdr:row>
      <xdr:rowOff>0</xdr:rowOff>
    </xdr:from>
    <xdr:ext cx="65" cy="172227"/>
    <xdr:sp macro="" textlink="">
      <xdr:nvSpPr>
        <xdr:cNvPr id="8474" name="TextBox 8473">
          <a:extLst>
            <a:ext uri="{FF2B5EF4-FFF2-40B4-BE49-F238E27FC236}">
              <a16:creationId xmlns:a16="http://schemas.microsoft.com/office/drawing/2014/main" id="{00000000-0008-0000-0000-0000F6010000}"/>
            </a:ext>
          </a:extLst>
        </xdr:cNvPr>
        <xdr:cNvSpPr txBox="1"/>
      </xdr:nvSpPr>
      <xdr:spPr>
        <a:xfrm>
          <a:off x="1258062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170</xdr:row>
      <xdr:rowOff>0</xdr:rowOff>
    </xdr:from>
    <xdr:ext cx="65" cy="172227"/>
    <xdr:sp macro="" textlink="">
      <xdr:nvSpPr>
        <xdr:cNvPr id="8475" name="TextBox 8474">
          <a:extLst>
            <a:ext uri="{FF2B5EF4-FFF2-40B4-BE49-F238E27FC236}">
              <a16:creationId xmlns:a16="http://schemas.microsoft.com/office/drawing/2014/main" id="{00000000-0008-0000-0000-0000F7010000}"/>
            </a:ext>
          </a:extLst>
        </xdr:cNvPr>
        <xdr:cNvSpPr txBox="1"/>
      </xdr:nvSpPr>
      <xdr:spPr>
        <a:xfrm>
          <a:off x="1258062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170</xdr:row>
      <xdr:rowOff>0</xdr:rowOff>
    </xdr:from>
    <xdr:ext cx="65" cy="172227"/>
    <xdr:sp macro="" textlink="">
      <xdr:nvSpPr>
        <xdr:cNvPr id="8476" name="TextBox 8475">
          <a:extLst>
            <a:ext uri="{FF2B5EF4-FFF2-40B4-BE49-F238E27FC236}">
              <a16:creationId xmlns:a16="http://schemas.microsoft.com/office/drawing/2014/main" id="{00000000-0008-0000-0000-0000F8010000}"/>
            </a:ext>
          </a:extLst>
        </xdr:cNvPr>
        <xdr:cNvSpPr txBox="1"/>
      </xdr:nvSpPr>
      <xdr:spPr>
        <a:xfrm>
          <a:off x="1258062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170</xdr:row>
      <xdr:rowOff>0</xdr:rowOff>
    </xdr:from>
    <xdr:ext cx="65" cy="172227"/>
    <xdr:sp macro="" textlink="">
      <xdr:nvSpPr>
        <xdr:cNvPr id="8477" name="TextBox 8476">
          <a:extLst>
            <a:ext uri="{FF2B5EF4-FFF2-40B4-BE49-F238E27FC236}">
              <a16:creationId xmlns:a16="http://schemas.microsoft.com/office/drawing/2014/main" id="{00000000-0008-0000-0000-0000F9010000}"/>
            </a:ext>
          </a:extLst>
        </xdr:cNvPr>
        <xdr:cNvSpPr txBox="1"/>
      </xdr:nvSpPr>
      <xdr:spPr>
        <a:xfrm>
          <a:off x="1258062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165</xdr:row>
      <xdr:rowOff>0</xdr:rowOff>
    </xdr:from>
    <xdr:ext cx="65" cy="172227"/>
    <xdr:sp macro="" textlink="">
      <xdr:nvSpPr>
        <xdr:cNvPr id="8478" name="TextBox 8477">
          <a:extLst>
            <a:ext uri="{FF2B5EF4-FFF2-40B4-BE49-F238E27FC236}">
              <a16:creationId xmlns:a16="http://schemas.microsoft.com/office/drawing/2014/main" id="{D790F7C5-4FB4-4169-AECB-29A162C3B4E0}"/>
            </a:ext>
          </a:extLst>
        </xdr:cNvPr>
        <xdr:cNvSpPr txBox="1"/>
      </xdr:nvSpPr>
      <xdr:spPr>
        <a:xfrm>
          <a:off x="12580620" y="33520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165</xdr:row>
      <xdr:rowOff>0</xdr:rowOff>
    </xdr:from>
    <xdr:ext cx="65" cy="172227"/>
    <xdr:sp macro="" textlink="">
      <xdr:nvSpPr>
        <xdr:cNvPr id="8479" name="TextBox 8478">
          <a:extLst>
            <a:ext uri="{FF2B5EF4-FFF2-40B4-BE49-F238E27FC236}">
              <a16:creationId xmlns:a16="http://schemas.microsoft.com/office/drawing/2014/main" id="{4B3266CB-1924-4B0B-A63A-F668BBA86148}"/>
            </a:ext>
          </a:extLst>
        </xdr:cNvPr>
        <xdr:cNvSpPr txBox="1"/>
      </xdr:nvSpPr>
      <xdr:spPr>
        <a:xfrm>
          <a:off x="12580620" y="33520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165</xdr:row>
      <xdr:rowOff>0</xdr:rowOff>
    </xdr:from>
    <xdr:ext cx="65" cy="172227"/>
    <xdr:sp macro="" textlink="">
      <xdr:nvSpPr>
        <xdr:cNvPr id="8480" name="TextBox 8479">
          <a:extLst>
            <a:ext uri="{FF2B5EF4-FFF2-40B4-BE49-F238E27FC236}">
              <a16:creationId xmlns:a16="http://schemas.microsoft.com/office/drawing/2014/main" id="{CBC7410D-7C3A-41C0-B6C7-F75F0212AE33}"/>
            </a:ext>
          </a:extLst>
        </xdr:cNvPr>
        <xdr:cNvSpPr txBox="1"/>
      </xdr:nvSpPr>
      <xdr:spPr>
        <a:xfrm>
          <a:off x="12580620" y="33520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165</xdr:row>
      <xdr:rowOff>0</xdr:rowOff>
    </xdr:from>
    <xdr:ext cx="65" cy="172227"/>
    <xdr:sp macro="" textlink="">
      <xdr:nvSpPr>
        <xdr:cNvPr id="8481" name="TextBox 8480">
          <a:extLst>
            <a:ext uri="{FF2B5EF4-FFF2-40B4-BE49-F238E27FC236}">
              <a16:creationId xmlns:a16="http://schemas.microsoft.com/office/drawing/2014/main" id="{50BBF757-870F-4C5F-8A6D-BB01D20FB785}"/>
            </a:ext>
          </a:extLst>
        </xdr:cNvPr>
        <xdr:cNvSpPr txBox="1"/>
      </xdr:nvSpPr>
      <xdr:spPr>
        <a:xfrm>
          <a:off x="12580620" y="33520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165</xdr:row>
      <xdr:rowOff>0</xdr:rowOff>
    </xdr:from>
    <xdr:ext cx="65" cy="172227"/>
    <xdr:sp macro="" textlink="">
      <xdr:nvSpPr>
        <xdr:cNvPr id="8482" name="TextBox 8481">
          <a:extLst>
            <a:ext uri="{FF2B5EF4-FFF2-40B4-BE49-F238E27FC236}">
              <a16:creationId xmlns:a16="http://schemas.microsoft.com/office/drawing/2014/main" id="{924A6A0B-67A0-4D39-98DD-B4890EA7059F}"/>
            </a:ext>
          </a:extLst>
        </xdr:cNvPr>
        <xdr:cNvSpPr txBox="1"/>
      </xdr:nvSpPr>
      <xdr:spPr>
        <a:xfrm>
          <a:off x="12580620" y="33520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165</xdr:row>
      <xdr:rowOff>0</xdr:rowOff>
    </xdr:from>
    <xdr:ext cx="65" cy="172227"/>
    <xdr:sp macro="" textlink="">
      <xdr:nvSpPr>
        <xdr:cNvPr id="8483" name="TextBox 8482">
          <a:extLst>
            <a:ext uri="{FF2B5EF4-FFF2-40B4-BE49-F238E27FC236}">
              <a16:creationId xmlns:a16="http://schemas.microsoft.com/office/drawing/2014/main" id="{418D698A-7CAD-4873-9383-980E4B117409}"/>
            </a:ext>
          </a:extLst>
        </xdr:cNvPr>
        <xdr:cNvSpPr txBox="1"/>
      </xdr:nvSpPr>
      <xdr:spPr>
        <a:xfrm>
          <a:off x="12580620" y="33520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165</xdr:row>
      <xdr:rowOff>0</xdr:rowOff>
    </xdr:from>
    <xdr:ext cx="65" cy="172227"/>
    <xdr:sp macro="" textlink="">
      <xdr:nvSpPr>
        <xdr:cNvPr id="8484" name="TextBox 8483">
          <a:extLst>
            <a:ext uri="{FF2B5EF4-FFF2-40B4-BE49-F238E27FC236}">
              <a16:creationId xmlns:a16="http://schemas.microsoft.com/office/drawing/2014/main" id="{D4576B78-2AC7-4FA0-B5A6-410991F126C0}"/>
            </a:ext>
          </a:extLst>
        </xdr:cNvPr>
        <xdr:cNvSpPr txBox="1"/>
      </xdr:nvSpPr>
      <xdr:spPr>
        <a:xfrm>
          <a:off x="12580620" y="33520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165</xdr:row>
      <xdr:rowOff>0</xdr:rowOff>
    </xdr:from>
    <xdr:ext cx="65" cy="172227"/>
    <xdr:sp macro="" textlink="">
      <xdr:nvSpPr>
        <xdr:cNvPr id="8485" name="TextBox 8484">
          <a:extLst>
            <a:ext uri="{FF2B5EF4-FFF2-40B4-BE49-F238E27FC236}">
              <a16:creationId xmlns:a16="http://schemas.microsoft.com/office/drawing/2014/main" id="{3F70C200-9F35-47B9-A6A0-8BD020BFA9F5}"/>
            </a:ext>
          </a:extLst>
        </xdr:cNvPr>
        <xdr:cNvSpPr txBox="1"/>
      </xdr:nvSpPr>
      <xdr:spPr>
        <a:xfrm>
          <a:off x="12580620" y="33520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165</xdr:row>
      <xdr:rowOff>0</xdr:rowOff>
    </xdr:from>
    <xdr:ext cx="65" cy="172227"/>
    <xdr:sp macro="" textlink="">
      <xdr:nvSpPr>
        <xdr:cNvPr id="8486" name="TextBox 8485">
          <a:extLst>
            <a:ext uri="{FF2B5EF4-FFF2-40B4-BE49-F238E27FC236}">
              <a16:creationId xmlns:a16="http://schemas.microsoft.com/office/drawing/2014/main" id="{B21B1052-165D-406E-ACA9-FA2B1238ADAA}"/>
            </a:ext>
          </a:extLst>
        </xdr:cNvPr>
        <xdr:cNvSpPr txBox="1"/>
      </xdr:nvSpPr>
      <xdr:spPr>
        <a:xfrm>
          <a:off x="12580620" y="33520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165</xdr:row>
      <xdr:rowOff>0</xdr:rowOff>
    </xdr:from>
    <xdr:ext cx="65" cy="172227"/>
    <xdr:sp macro="" textlink="">
      <xdr:nvSpPr>
        <xdr:cNvPr id="8487" name="TextBox 8486">
          <a:extLst>
            <a:ext uri="{FF2B5EF4-FFF2-40B4-BE49-F238E27FC236}">
              <a16:creationId xmlns:a16="http://schemas.microsoft.com/office/drawing/2014/main" id="{65417AB6-2889-49DD-9AEF-7149F5D9B7B2}"/>
            </a:ext>
          </a:extLst>
        </xdr:cNvPr>
        <xdr:cNvSpPr txBox="1"/>
      </xdr:nvSpPr>
      <xdr:spPr>
        <a:xfrm>
          <a:off x="12580620" y="33520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165</xdr:row>
      <xdr:rowOff>0</xdr:rowOff>
    </xdr:from>
    <xdr:ext cx="65" cy="172227"/>
    <xdr:sp macro="" textlink="">
      <xdr:nvSpPr>
        <xdr:cNvPr id="8488" name="TextBox 8487">
          <a:extLst>
            <a:ext uri="{FF2B5EF4-FFF2-40B4-BE49-F238E27FC236}">
              <a16:creationId xmlns:a16="http://schemas.microsoft.com/office/drawing/2014/main" id="{7BF692BA-8340-4141-BC82-F9CF78D79873}"/>
            </a:ext>
          </a:extLst>
        </xdr:cNvPr>
        <xdr:cNvSpPr txBox="1"/>
      </xdr:nvSpPr>
      <xdr:spPr>
        <a:xfrm>
          <a:off x="12580620" y="33520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165</xdr:row>
      <xdr:rowOff>0</xdr:rowOff>
    </xdr:from>
    <xdr:ext cx="65" cy="172227"/>
    <xdr:sp macro="" textlink="">
      <xdr:nvSpPr>
        <xdr:cNvPr id="8489" name="TextBox 8488">
          <a:extLst>
            <a:ext uri="{FF2B5EF4-FFF2-40B4-BE49-F238E27FC236}">
              <a16:creationId xmlns:a16="http://schemas.microsoft.com/office/drawing/2014/main" id="{79127C80-C540-411B-B139-200EBBA5DA66}"/>
            </a:ext>
          </a:extLst>
        </xdr:cNvPr>
        <xdr:cNvSpPr txBox="1"/>
      </xdr:nvSpPr>
      <xdr:spPr>
        <a:xfrm>
          <a:off x="12580620" y="33520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165</xdr:row>
      <xdr:rowOff>0</xdr:rowOff>
    </xdr:from>
    <xdr:ext cx="65" cy="172227"/>
    <xdr:sp macro="" textlink="">
      <xdr:nvSpPr>
        <xdr:cNvPr id="8490" name="TextBox 8489">
          <a:extLst>
            <a:ext uri="{FF2B5EF4-FFF2-40B4-BE49-F238E27FC236}">
              <a16:creationId xmlns:a16="http://schemas.microsoft.com/office/drawing/2014/main" id="{B67D3F3D-F87A-4ACF-91FC-9A53D5A2D4D3}"/>
            </a:ext>
          </a:extLst>
        </xdr:cNvPr>
        <xdr:cNvSpPr txBox="1"/>
      </xdr:nvSpPr>
      <xdr:spPr>
        <a:xfrm>
          <a:off x="12580620" y="33520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165</xdr:row>
      <xdr:rowOff>0</xdr:rowOff>
    </xdr:from>
    <xdr:ext cx="65" cy="172227"/>
    <xdr:sp macro="" textlink="">
      <xdr:nvSpPr>
        <xdr:cNvPr id="8491" name="TextBox 8490">
          <a:extLst>
            <a:ext uri="{FF2B5EF4-FFF2-40B4-BE49-F238E27FC236}">
              <a16:creationId xmlns:a16="http://schemas.microsoft.com/office/drawing/2014/main" id="{58EC8DC8-71FC-42BE-93DA-79FE716E2108}"/>
            </a:ext>
          </a:extLst>
        </xdr:cNvPr>
        <xdr:cNvSpPr txBox="1"/>
      </xdr:nvSpPr>
      <xdr:spPr>
        <a:xfrm>
          <a:off x="12580620" y="33520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166</xdr:row>
      <xdr:rowOff>0</xdr:rowOff>
    </xdr:from>
    <xdr:ext cx="65" cy="172227"/>
    <xdr:sp macro="" textlink="">
      <xdr:nvSpPr>
        <xdr:cNvPr id="8492" name="TextBox 8491">
          <a:extLst>
            <a:ext uri="{FF2B5EF4-FFF2-40B4-BE49-F238E27FC236}">
              <a16:creationId xmlns:a16="http://schemas.microsoft.com/office/drawing/2014/main" id="{7B7B12E6-3D6A-411C-8750-B2D904ED71B9}"/>
            </a:ext>
          </a:extLst>
        </xdr:cNvPr>
        <xdr:cNvSpPr txBox="1"/>
      </xdr:nvSpPr>
      <xdr:spPr>
        <a:xfrm>
          <a:off x="12580620" y="33718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166</xdr:row>
      <xdr:rowOff>0</xdr:rowOff>
    </xdr:from>
    <xdr:ext cx="65" cy="172227"/>
    <xdr:sp macro="" textlink="">
      <xdr:nvSpPr>
        <xdr:cNvPr id="8493" name="TextBox 8492">
          <a:extLst>
            <a:ext uri="{FF2B5EF4-FFF2-40B4-BE49-F238E27FC236}">
              <a16:creationId xmlns:a16="http://schemas.microsoft.com/office/drawing/2014/main" id="{F482887C-F492-4307-823C-4E10D7821CC6}"/>
            </a:ext>
          </a:extLst>
        </xdr:cNvPr>
        <xdr:cNvSpPr txBox="1"/>
      </xdr:nvSpPr>
      <xdr:spPr>
        <a:xfrm>
          <a:off x="12580620" y="33718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166</xdr:row>
      <xdr:rowOff>0</xdr:rowOff>
    </xdr:from>
    <xdr:ext cx="65" cy="172227"/>
    <xdr:sp macro="" textlink="">
      <xdr:nvSpPr>
        <xdr:cNvPr id="8494" name="TextBox 8493">
          <a:extLst>
            <a:ext uri="{FF2B5EF4-FFF2-40B4-BE49-F238E27FC236}">
              <a16:creationId xmlns:a16="http://schemas.microsoft.com/office/drawing/2014/main" id="{0949CA64-0CC0-4B53-A59D-24AD43506153}"/>
            </a:ext>
          </a:extLst>
        </xdr:cNvPr>
        <xdr:cNvSpPr txBox="1"/>
      </xdr:nvSpPr>
      <xdr:spPr>
        <a:xfrm>
          <a:off x="12580620" y="33718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166</xdr:row>
      <xdr:rowOff>0</xdr:rowOff>
    </xdr:from>
    <xdr:ext cx="65" cy="172227"/>
    <xdr:sp macro="" textlink="">
      <xdr:nvSpPr>
        <xdr:cNvPr id="8495" name="TextBox 8494">
          <a:extLst>
            <a:ext uri="{FF2B5EF4-FFF2-40B4-BE49-F238E27FC236}">
              <a16:creationId xmlns:a16="http://schemas.microsoft.com/office/drawing/2014/main" id="{AF47DE7E-DEEE-4D8F-BEA0-B678FC4108A0}"/>
            </a:ext>
          </a:extLst>
        </xdr:cNvPr>
        <xdr:cNvSpPr txBox="1"/>
      </xdr:nvSpPr>
      <xdr:spPr>
        <a:xfrm>
          <a:off x="12580620" y="33718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166</xdr:row>
      <xdr:rowOff>0</xdr:rowOff>
    </xdr:from>
    <xdr:ext cx="65" cy="172227"/>
    <xdr:sp macro="" textlink="">
      <xdr:nvSpPr>
        <xdr:cNvPr id="8496" name="TextBox 8495">
          <a:extLst>
            <a:ext uri="{FF2B5EF4-FFF2-40B4-BE49-F238E27FC236}">
              <a16:creationId xmlns:a16="http://schemas.microsoft.com/office/drawing/2014/main" id="{50B7B56B-3E53-478E-BD2A-1CB44BB0EE30}"/>
            </a:ext>
          </a:extLst>
        </xdr:cNvPr>
        <xdr:cNvSpPr txBox="1"/>
      </xdr:nvSpPr>
      <xdr:spPr>
        <a:xfrm>
          <a:off x="12580620" y="33718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166</xdr:row>
      <xdr:rowOff>0</xdr:rowOff>
    </xdr:from>
    <xdr:ext cx="65" cy="172227"/>
    <xdr:sp macro="" textlink="">
      <xdr:nvSpPr>
        <xdr:cNvPr id="8497" name="TextBox 8496">
          <a:extLst>
            <a:ext uri="{FF2B5EF4-FFF2-40B4-BE49-F238E27FC236}">
              <a16:creationId xmlns:a16="http://schemas.microsoft.com/office/drawing/2014/main" id="{9A76D97E-F211-4995-A860-8787CD5178FF}"/>
            </a:ext>
          </a:extLst>
        </xdr:cNvPr>
        <xdr:cNvSpPr txBox="1"/>
      </xdr:nvSpPr>
      <xdr:spPr>
        <a:xfrm>
          <a:off x="12580620" y="33718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166</xdr:row>
      <xdr:rowOff>0</xdr:rowOff>
    </xdr:from>
    <xdr:ext cx="65" cy="172227"/>
    <xdr:sp macro="" textlink="">
      <xdr:nvSpPr>
        <xdr:cNvPr id="8498" name="TextBox 8497">
          <a:extLst>
            <a:ext uri="{FF2B5EF4-FFF2-40B4-BE49-F238E27FC236}">
              <a16:creationId xmlns:a16="http://schemas.microsoft.com/office/drawing/2014/main" id="{9FC70A70-D526-4203-8E11-372D840B6103}"/>
            </a:ext>
          </a:extLst>
        </xdr:cNvPr>
        <xdr:cNvSpPr txBox="1"/>
      </xdr:nvSpPr>
      <xdr:spPr>
        <a:xfrm>
          <a:off x="12580620" y="33718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166</xdr:row>
      <xdr:rowOff>0</xdr:rowOff>
    </xdr:from>
    <xdr:ext cx="65" cy="172227"/>
    <xdr:sp macro="" textlink="">
      <xdr:nvSpPr>
        <xdr:cNvPr id="8499" name="TextBox 8498">
          <a:extLst>
            <a:ext uri="{FF2B5EF4-FFF2-40B4-BE49-F238E27FC236}">
              <a16:creationId xmlns:a16="http://schemas.microsoft.com/office/drawing/2014/main" id="{4F6B1A49-C9DC-473C-8ECD-E788E907B701}"/>
            </a:ext>
          </a:extLst>
        </xdr:cNvPr>
        <xdr:cNvSpPr txBox="1"/>
      </xdr:nvSpPr>
      <xdr:spPr>
        <a:xfrm>
          <a:off x="12580620" y="33718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166</xdr:row>
      <xdr:rowOff>0</xdr:rowOff>
    </xdr:from>
    <xdr:ext cx="65" cy="172227"/>
    <xdr:sp macro="" textlink="">
      <xdr:nvSpPr>
        <xdr:cNvPr id="8500" name="TextBox 8499">
          <a:extLst>
            <a:ext uri="{FF2B5EF4-FFF2-40B4-BE49-F238E27FC236}">
              <a16:creationId xmlns:a16="http://schemas.microsoft.com/office/drawing/2014/main" id="{7249EAE9-2088-4834-9241-A764E60A6F18}"/>
            </a:ext>
          </a:extLst>
        </xdr:cNvPr>
        <xdr:cNvSpPr txBox="1"/>
      </xdr:nvSpPr>
      <xdr:spPr>
        <a:xfrm>
          <a:off x="12580620" y="33718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166</xdr:row>
      <xdr:rowOff>0</xdr:rowOff>
    </xdr:from>
    <xdr:ext cx="65" cy="172227"/>
    <xdr:sp macro="" textlink="">
      <xdr:nvSpPr>
        <xdr:cNvPr id="8501" name="TextBox 8500">
          <a:extLst>
            <a:ext uri="{FF2B5EF4-FFF2-40B4-BE49-F238E27FC236}">
              <a16:creationId xmlns:a16="http://schemas.microsoft.com/office/drawing/2014/main" id="{CEEDDCB2-23A2-47B2-AA3F-37312ED4C714}"/>
            </a:ext>
          </a:extLst>
        </xdr:cNvPr>
        <xdr:cNvSpPr txBox="1"/>
      </xdr:nvSpPr>
      <xdr:spPr>
        <a:xfrm>
          <a:off x="12580620" y="33718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166</xdr:row>
      <xdr:rowOff>0</xdr:rowOff>
    </xdr:from>
    <xdr:ext cx="65" cy="172227"/>
    <xdr:sp macro="" textlink="">
      <xdr:nvSpPr>
        <xdr:cNvPr id="8502" name="TextBox 8501">
          <a:extLst>
            <a:ext uri="{FF2B5EF4-FFF2-40B4-BE49-F238E27FC236}">
              <a16:creationId xmlns:a16="http://schemas.microsoft.com/office/drawing/2014/main" id="{C53CCEBA-D398-4C3C-8E47-107C27B759C1}"/>
            </a:ext>
          </a:extLst>
        </xdr:cNvPr>
        <xdr:cNvSpPr txBox="1"/>
      </xdr:nvSpPr>
      <xdr:spPr>
        <a:xfrm>
          <a:off x="12580620" y="33718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166</xdr:row>
      <xdr:rowOff>0</xdr:rowOff>
    </xdr:from>
    <xdr:ext cx="65" cy="172227"/>
    <xdr:sp macro="" textlink="">
      <xdr:nvSpPr>
        <xdr:cNvPr id="8503" name="TextBox 8502">
          <a:extLst>
            <a:ext uri="{FF2B5EF4-FFF2-40B4-BE49-F238E27FC236}">
              <a16:creationId xmlns:a16="http://schemas.microsoft.com/office/drawing/2014/main" id="{C8C855ED-970E-43B8-A5B1-6F6ADBB998A9}"/>
            </a:ext>
          </a:extLst>
        </xdr:cNvPr>
        <xdr:cNvSpPr txBox="1"/>
      </xdr:nvSpPr>
      <xdr:spPr>
        <a:xfrm>
          <a:off x="12580620" y="33718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166</xdr:row>
      <xdr:rowOff>0</xdr:rowOff>
    </xdr:from>
    <xdr:ext cx="65" cy="172227"/>
    <xdr:sp macro="" textlink="">
      <xdr:nvSpPr>
        <xdr:cNvPr id="8504" name="TextBox 8503">
          <a:extLst>
            <a:ext uri="{FF2B5EF4-FFF2-40B4-BE49-F238E27FC236}">
              <a16:creationId xmlns:a16="http://schemas.microsoft.com/office/drawing/2014/main" id="{E705C099-0DDB-4CBB-91AA-6BD578E38D4C}"/>
            </a:ext>
          </a:extLst>
        </xdr:cNvPr>
        <xdr:cNvSpPr txBox="1"/>
      </xdr:nvSpPr>
      <xdr:spPr>
        <a:xfrm>
          <a:off x="12580620" y="33718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166</xdr:row>
      <xdr:rowOff>0</xdr:rowOff>
    </xdr:from>
    <xdr:ext cx="65" cy="172227"/>
    <xdr:sp macro="" textlink="">
      <xdr:nvSpPr>
        <xdr:cNvPr id="8505" name="TextBox 8504">
          <a:extLst>
            <a:ext uri="{FF2B5EF4-FFF2-40B4-BE49-F238E27FC236}">
              <a16:creationId xmlns:a16="http://schemas.microsoft.com/office/drawing/2014/main" id="{ADA9DEB9-F0D8-4AB1-B42C-8371D735EDB0}"/>
            </a:ext>
          </a:extLst>
        </xdr:cNvPr>
        <xdr:cNvSpPr txBox="1"/>
      </xdr:nvSpPr>
      <xdr:spPr>
        <a:xfrm>
          <a:off x="12580620" y="33718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167</xdr:row>
      <xdr:rowOff>0</xdr:rowOff>
    </xdr:from>
    <xdr:ext cx="65" cy="172227"/>
    <xdr:sp macro="" textlink="">
      <xdr:nvSpPr>
        <xdr:cNvPr id="8506" name="TextBox 8505">
          <a:extLst>
            <a:ext uri="{FF2B5EF4-FFF2-40B4-BE49-F238E27FC236}">
              <a16:creationId xmlns:a16="http://schemas.microsoft.com/office/drawing/2014/main" id="{709CBE26-A551-4C7C-A384-D56B48045E68}"/>
            </a:ext>
          </a:extLst>
        </xdr:cNvPr>
        <xdr:cNvSpPr txBox="1"/>
      </xdr:nvSpPr>
      <xdr:spPr>
        <a:xfrm>
          <a:off x="12580620" y="3391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167</xdr:row>
      <xdr:rowOff>0</xdr:rowOff>
    </xdr:from>
    <xdr:ext cx="65" cy="172227"/>
    <xdr:sp macro="" textlink="">
      <xdr:nvSpPr>
        <xdr:cNvPr id="8507" name="TextBox 8506">
          <a:extLst>
            <a:ext uri="{FF2B5EF4-FFF2-40B4-BE49-F238E27FC236}">
              <a16:creationId xmlns:a16="http://schemas.microsoft.com/office/drawing/2014/main" id="{FCF004D5-83CC-4601-BE3C-2D350D291279}"/>
            </a:ext>
          </a:extLst>
        </xdr:cNvPr>
        <xdr:cNvSpPr txBox="1"/>
      </xdr:nvSpPr>
      <xdr:spPr>
        <a:xfrm>
          <a:off x="12580620" y="3391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167</xdr:row>
      <xdr:rowOff>0</xdr:rowOff>
    </xdr:from>
    <xdr:ext cx="65" cy="172227"/>
    <xdr:sp macro="" textlink="">
      <xdr:nvSpPr>
        <xdr:cNvPr id="8508" name="TextBox 8507">
          <a:extLst>
            <a:ext uri="{FF2B5EF4-FFF2-40B4-BE49-F238E27FC236}">
              <a16:creationId xmlns:a16="http://schemas.microsoft.com/office/drawing/2014/main" id="{27CE9EF6-2DFA-4778-9205-D83560524403}"/>
            </a:ext>
          </a:extLst>
        </xdr:cNvPr>
        <xdr:cNvSpPr txBox="1"/>
      </xdr:nvSpPr>
      <xdr:spPr>
        <a:xfrm>
          <a:off x="12580620" y="3391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167</xdr:row>
      <xdr:rowOff>0</xdr:rowOff>
    </xdr:from>
    <xdr:ext cx="65" cy="172227"/>
    <xdr:sp macro="" textlink="">
      <xdr:nvSpPr>
        <xdr:cNvPr id="8509" name="TextBox 8508">
          <a:extLst>
            <a:ext uri="{FF2B5EF4-FFF2-40B4-BE49-F238E27FC236}">
              <a16:creationId xmlns:a16="http://schemas.microsoft.com/office/drawing/2014/main" id="{AEF2C205-301C-4560-BC83-375E974BCEAF}"/>
            </a:ext>
          </a:extLst>
        </xdr:cNvPr>
        <xdr:cNvSpPr txBox="1"/>
      </xdr:nvSpPr>
      <xdr:spPr>
        <a:xfrm>
          <a:off x="12580620" y="3391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167</xdr:row>
      <xdr:rowOff>0</xdr:rowOff>
    </xdr:from>
    <xdr:ext cx="65" cy="172227"/>
    <xdr:sp macro="" textlink="">
      <xdr:nvSpPr>
        <xdr:cNvPr id="8510" name="TextBox 8509">
          <a:extLst>
            <a:ext uri="{FF2B5EF4-FFF2-40B4-BE49-F238E27FC236}">
              <a16:creationId xmlns:a16="http://schemas.microsoft.com/office/drawing/2014/main" id="{3DCCF9ED-9B1F-4DC7-B839-6E3EB677417B}"/>
            </a:ext>
          </a:extLst>
        </xdr:cNvPr>
        <xdr:cNvSpPr txBox="1"/>
      </xdr:nvSpPr>
      <xdr:spPr>
        <a:xfrm>
          <a:off x="12580620" y="3391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167</xdr:row>
      <xdr:rowOff>0</xdr:rowOff>
    </xdr:from>
    <xdr:ext cx="65" cy="172227"/>
    <xdr:sp macro="" textlink="">
      <xdr:nvSpPr>
        <xdr:cNvPr id="8511" name="TextBox 8510">
          <a:extLst>
            <a:ext uri="{FF2B5EF4-FFF2-40B4-BE49-F238E27FC236}">
              <a16:creationId xmlns:a16="http://schemas.microsoft.com/office/drawing/2014/main" id="{3D9466B2-EB98-463C-88EA-A326C523B5D8}"/>
            </a:ext>
          </a:extLst>
        </xdr:cNvPr>
        <xdr:cNvSpPr txBox="1"/>
      </xdr:nvSpPr>
      <xdr:spPr>
        <a:xfrm>
          <a:off x="12580620" y="3391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167</xdr:row>
      <xdr:rowOff>0</xdr:rowOff>
    </xdr:from>
    <xdr:ext cx="65" cy="172227"/>
    <xdr:sp macro="" textlink="">
      <xdr:nvSpPr>
        <xdr:cNvPr id="8512" name="TextBox 8511">
          <a:extLst>
            <a:ext uri="{FF2B5EF4-FFF2-40B4-BE49-F238E27FC236}">
              <a16:creationId xmlns:a16="http://schemas.microsoft.com/office/drawing/2014/main" id="{0F2E4FBC-6F9D-49D8-B320-D21C3287204C}"/>
            </a:ext>
          </a:extLst>
        </xdr:cNvPr>
        <xdr:cNvSpPr txBox="1"/>
      </xdr:nvSpPr>
      <xdr:spPr>
        <a:xfrm>
          <a:off x="12580620" y="3391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167</xdr:row>
      <xdr:rowOff>0</xdr:rowOff>
    </xdr:from>
    <xdr:ext cx="65" cy="172227"/>
    <xdr:sp macro="" textlink="">
      <xdr:nvSpPr>
        <xdr:cNvPr id="8513" name="TextBox 8512">
          <a:extLst>
            <a:ext uri="{FF2B5EF4-FFF2-40B4-BE49-F238E27FC236}">
              <a16:creationId xmlns:a16="http://schemas.microsoft.com/office/drawing/2014/main" id="{9EE8A67A-FC51-41CC-B6A6-507074A0155B}"/>
            </a:ext>
          </a:extLst>
        </xdr:cNvPr>
        <xdr:cNvSpPr txBox="1"/>
      </xdr:nvSpPr>
      <xdr:spPr>
        <a:xfrm>
          <a:off x="12580620" y="3391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167</xdr:row>
      <xdr:rowOff>0</xdr:rowOff>
    </xdr:from>
    <xdr:ext cx="65" cy="172227"/>
    <xdr:sp macro="" textlink="">
      <xdr:nvSpPr>
        <xdr:cNvPr id="8514" name="TextBox 8513">
          <a:extLst>
            <a:ext uri="{FF2B5EF4-FFF2-40B4-BE49-F238E27FC236}">
              <a16:creationId xmlns:a16="http://schemas.microsoft.com/office/drawing/2014/main" id="{E3EE1ED8-1246-4E13-86A2-D686D3F3CFAC}"/>
            </a:ext>
          </a:extLst>
        </xdr:cNvPr>
        <xdr:cNvSpPr txBox="1"/>
      </xdr:nvSpPr>
      <xdr:spPr>
        <a:xfrm>
          <a:off x="12580620" y="3391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167</xdr:row>
      <xdr:rowOff>0</xdr:rowOff>
    </xdr:from>
    <xdr:ext cx="65" cy="172227"/>
    <xdr:sp macro="" textlink="">
      <xdr:nvSpPr>
        <xdr:cNvPr id="8515" name="TextBox 8514">
          <a:extLst>
            <a:ext uri="{FF2B5EF4-FFF2-40B4-BE49-F238E27FC236}">
              <a16:creationId xmlns:a16="http://schemas.microsoft.com/office/drawing/2014/main" id="{112F0F0B-ABFD-4DDD-BCB9-10FEAFDB5AD9}"/>
            </a:ext>
          </a:extLst>
        </xdr:cNvPr>
        <xdr:cNvSpPr txBox="1"/>
      </xdr:nvSpPr>
      <xdr:spPr>
        <a:xfrm>
          <a:off x="12580620" y="3391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167</xdr:row>
      <xdr:rowOff>0</xdr:rowOff>
    </xdr:from>
    <xdr:ext cx="65" cy="172227"/>
    <xdr:sp macro="" textlink="">
      <xdr:nvSpPr>
        <xdr:cNvPr id="8516" name="TextBox 8515">
          <a:extLst>
            <a:ext uri="{FF2B5EF4-FFF2-40B4-BE49-F238E27FC236}">
              <a16:creationId xmlns:a16="http://schemas.microsoft.com/office/drawing/2014/main" id="{12EDF718-BDAC-48A4-BBFB-24DCD5C1D4FC}"/>
            </a:ext>
          </a:extLst>
        </xdr:cNvPr>
        <xdr:cNvSpPr txBox="1"/>
      </xdr:nvSpPr>
      <xdr:spPr>
        <a:xfrm>
          <a:off x="12580620" y="3391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167</xdr:row>
      <xdr:rowOff>0</xdr:rowOff>
    </xdr:from>
    <xdr:ext cx="65" cy="172227"/>
    <xdr:sp macro="" textlink="">
      <xdr:nvSpPr>
        <xdr:cNvPr id="8517" name="TextBox 8516">
          <a:extLst>
            <a:ext uri="{FF2B5EF4-FFF2-40B4-BE49-F238E27FC236}">
              <a16:creationId xmlns:a16="http://schemas.microsoft.com/office/drawing/2014/main" id="{B3B85458-8D8F-4F12-B7C0-DC92B39A1F35}"/>
            </a:ext>
          </a:extLst>
        </xdr:cNvPr>
        <xdr:cNvSpPr txBox="1"/>
      </xdr:nvSpPr>
      <xdr:spPr>
        <a:xfrm>
          <a:off x="12580620" y="3391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167</xdr:row>
      <xdr:rowOff>0</xdr:rowOff>
    </xdr:from>
    <xdr:ext cx="65" cy="172227"/>
    <xdr:sp macro="" textlink="">
      <xdr:nvSpPr>
        <xdr:cNvPr id="8518" name="TextBox 8517">
          <a:extLst>
            <a:ext uri="{FF2B5EF4-FFF2-40B4-BE49-F238E27FC236}">
              <a16:creationId xmlns:a16="http://schemas.microsoft.com/office/drawing/2014/main" id="{BF066412-0AC2-4C2B-9E92-DFE86D6A185E}"/>
            </a:ext>
          </a:extLst>
        </xdr:cNvPr>
        <xdr:cNvSpPr txBox="1"/>
      </xdr:nvSpPr>
      <xdr:spPr>
        <a:xfrm>
          <a:off x="12580620" y="3391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167</xdr:row>
      <xdr:rowOff>0</xdr:rowOff>
    </xdr:from>
    <xdr:ext cx="65" cy="172227"/>
    <xdr:sp macro="" textlink="">
      <xdr:nvSpPr>
        <xdr:cNvPr id="8519" name="TextBox 8518">
          <a:extLst>
            <a:ext uri="{FF2B5EF4-FFF2-40B4-BE49-F238E27FC236}">
              <a16:creationId xmlns:a16="http://schemas.microsoft.com/office/drawing/2014/main" id="{F84E80ED-F217-41BA-9FA6-C1DBC25F3A17}"/>
            </a:ext>
          </a:extLst>
        </xdr:cNvPr>
        <xdr:cNvSpPr txBox="1"/>
      </xdr:nvSpPr>
      <xdr:spPr>
        <a:xfrm>
          <a:off x="12580620" y="3391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166</xdr:row>
      <xdr:rowOff>0</xdr:rowOff>
    </xdr:from>
    <xdr:ext cx="65" cy="172227"/>
    <xdr:sp macro="" textlink="">
      <xdr:nvSpPr>
        <xdr:cNvPr id="8520" name="TextBox 8519">
          <a:extLst>
            <a:ext uri="{FF2B5EF4-FFF2-40B4-BE49-F238E27FC236}">
              <a16:creationId xmlns:a16="http://schemas.microsoft.com/office/drawing/2014/main" id="{3C382DA0-3B16-41EA-A4C3-F0294E849D64}"/>
            </a:ext>
          </a:extLst>
        </xdr:cNvPr>
        <xdr:cNvSpPr txBox="1"/>
      </xdr:nvSpPr>
      <xdr:spPr>
        <a:xfrm>
          <a:off x="8267700" y="33718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166</xdr:row>
      <xdr:rowOff>0</xdr:rowOff>
    </xdr:from>
    <xdr:ext cx="65" cy="172227"/>
    <xdr:sp macro="" textlink="">
      <xdr:nvSpPr>
        <xdr:cNvPr id="8521" name="TextBox 8520">
          <a:extLst>
            <a:ext uri="{FF2B5EF4-FFF2-40B4-BE49-F238E27FC236}">
              <a16:creationId xmlns:a16="http://schemas.microsoft.com/office/drawing/2014/main" id="{BD9C7CBD-CBB6-4FCD-99C9-50F7AA79373D}"/>
            </a:ext>
          </a:extLst>
        </xdr:cNvPr>
        <xdr:cNvSpPr txBox="1"/>
      </xdr:nvSpPr>
      <xdr:spPr>
        <a:xfrm>
          <a:off x="8267700" y="33718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166</xdr:row>
      <xdr:rowOff>0</xdr:rowOff>
    </xdr:from>
    <xdr:ext cx="65" cy="172227"/>
    <xdr:sp macro="" textlink="">
      <xdr:nvSpPr>
        <xdr:cNvPr id="8522" name="TextBox 8521">
          <a:extLst>
            <a:ext uri="{FF2B5EF4-FFF2-40B4-BE49-F238E27FC236}">
              <a16:creationId xmlns:a16="http://schemas.microsoft.com/office/drawing/2014/main" id="{8BB1ED4C-16A8-478A-86C0-5203F18D91C6}"/>
            </a:ext>
          </a:extLst>
        </xdr:cNvPr>
        <xdr:cNvSpPr txBox="1"/>
      </xdr:nvSpPr>
      <xdr:spPr>
        <a:xfrm>
          <a:off x="8267700" y="33718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166</xdr:row>
      <xdr:rowOff>0</xdr:rowOff>
    </xdr:from>
    <xdr:ext cx="65" cy="172227"/>
    <xdr:sp macro="" textlink="">
      <xdr:nvSpPr>
        <xdr:cNvPr id="8523" name="TextBox 8522">
          <a:extLst>
            <a:ext uri="{FF2B5EF4-FFF2-40B4-BE49-F238E27FC236}">
              <a16:creationId xmlns:a16="http://schemas.microsoft.com/office/drawing/2014/main" id="{0091D645-A26B-466F-B352-25C3FB39D6F1}"/>
            </a:ext>
          </a:extLst>
        </xdr:cNvPr>
        <xdr:cNvSpPr txBox="1"/>
      </xdr:nvSpPr>
      <xdr:spPr>
        <a:xfrm>
          <a:off x="8267700" y="33718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166</xdr:row>
      <xdr:rowOff>0</xdr:rowOff>
    </xdr:from>
    <xdr:ext cx="65" cy="172227"/>
    <xdr:sp macro="" textlink="">
      <xdr:nvSpPr>
        <xdr:cNvPr id="8524" name="TextBox 8523">
          <a:extLst>
            <a:ext uri="{FF2B5EF4-FFF2-40B4-BE49-F238E27FC236}">
              <a16:creationId xmlns:a16="http://schemas.microsoft.com/office/drawing/2014/main" id="{35EF0C43-E328-462B-AF19-6E1DCE23D6A4}"/>
            </a:ext>
          </a:extLst>
        </xdr:cNvPr>
        <xdr:cNvSpPr txBox="1"/>
      </xdr:nvSpPr>
      <xdr:spPr>
        <a:xfrm>
          <a:off x="8267700" y="33718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166</xdr:row>
      <xdr:rowOff>0</xdr:rowOff>
    </xdr:from>
    <xdr:ext cx="65" cy="172227"/>
    <xdr:sp macro="" textlink="">
      <xdr:nvSpPr>
        <xdr:cNvPr id="8525" name="TextBox 8524">
          <a:extLst>
            <a:ext uri="{FF2B5EF4-FFF2-40B4-BE49-F238E27FC236}">
              <a16:creationId xmlns:a16="http://schemas.microsoft.com/office/drawing/2014/main" id="{5C728BC9-EF9C-4834-85EB-89B8DA8B60FA}"/>
            </a:ext>
          </a:extLst>
        </xdr:cNvPr>
        <xdr:cNvSpPr txBox="1"/>
      </xdr:nvSpPr>
      <xdr:spPr>
        <a:xfrm>
          <a:off x="8267700" y="33718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166</xdr:row>
      <xdr:rowOff>0</xdr:rowOff>
    </xdr:from>
    <xdr:ext cx="65" cy="172227"/>
    <xdr:sp macro="" textlink="">
      <xdr:nvSpPr>
        <xdr:cNvPr id="8526" name="TextBox 8525">
          <a:extLst>
            <a:ext uri="{FF2B5EF4-FFF2-40B4-BE49-F238E27FC236}">
              <a16:creationId xmlns:a16="http://schemas.microsoft.com/office/drawing/2014/main" id="{79B0426E-FC29-4C02-A446-18A8617AD030}"/>
            </a:ext>
          </a:extLst>
        </xdr:cNvPr>
        <xdr:cNvSpPr txBox="1"/>
      </xdr:nvSpPr>
      <xdr:spPr>
        <a:xfrm>
          <a:off x="8267700" y="33718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166</xdr:row>
      <xdr:rowOff>0</xdr:rowOff>
    </xdr:from>
    <xdr:ext cx="65" cy="172227"/>
    <xdr:sp macro="" textlink="">
      <xdr:nvSpPr>
        <xdr:cNvPr id="8527" name="TextBox 8526">
          <a:extLst>
            <a:ext uri="{FF2B5EF4-FFF2-40B4-BE49-F238E27FC236}">
              <a16:creationId xmlns:a16="http://schemas.microsoft.com/office/drawing/2014/main" id="{33FA89B9-E063-4E24-A294-250746A07989}"/>
            </a:ext>
          </a:extLst>
        </xdr:cNvPr>
        <xdr:cNvSpPr txBox="1"/>
      </xdr:nvSpPr>
      <xdr:spPr>
        <a:xfrm>
          <a:off x="8267700" y="33718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166</xdr:row>
      <xdr:rowOff>0</xdr:rowOff>
    </xdr:from>
    <xdr:ext cx="65" cy="172227"/>
    <xdr:sp macro="" textlink="">
      <xdr:nvSpPr>
        <xdr:cNvPr id="8528" name="TextBox 8527">
          <a:extLst>
            <a:ext uri="{FF2B5EF4-FFF2-40B4-BE49-F238E27FC236}">
              <a16:creationId xmlns:a16="http://schemas.microsoft.com/office/drawing/2014/main" id="{2AF33786-6F2B-4820-BF34-97EB9446272D}"/>
            </a:ext>
          </a:extLst>
        </xdr:cNvPr>
        <xdr:cNvSpPr txBox="1"/>
      </xdr:nvSpPr>
      <xdr:spPr>
        <a:xfrm>
          <a:off x="8267700" y="33718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166</xdr:row>
      <xdr:rowOff>0</xdr:rowOff>
    </xdr:from>
    <xdr:ext cx="65" cy="172227"/>
    <xdr:sp macro="" textlink="">
      <xdr:nvSpPr>
        <xdr:cNvPr id="8529" name="TextBox 8528">
          <a:extLst>
            <a:ext uri="{FF2B5EF4-FFF2-40B4-BE49-F238E27FC236}">
              <a16:creationId xmlns:a16="http://schemas.microsoft.com/office/drawing/2014/main" id="{074AF2E0-FEDD-4259-BC34-F834F8835ABA}"/>
            </a:ext>
          </a:extLst>
        </xdr:cNvPr>
        <xdr:cNvSpPr txBox="1"/>
      </xdr:nvSpPr>
      <xdr:spPr>
        <a:xfrm>
          <a:off x="8267700" y="33718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166</xdr:row>
      <xdr:rowOff>0</xdr:rowOff>
    </xdr:from>
    <xdr:ext cx="65" cy="172227"/>
    <xdr:sp macro="" textlink="">
      <xdr:nvSpPr>
        <xdr:cNvPr id="8530" name="TextBox 8529">
          <a:extLst>
            <a:ext uri="{FF2B5EF4-FFF2-40B4-BE49-F238E27FC236}">
              <a16:creationId xmlns:a16="http://schemas.microsoft.com/office/drawing/2014/main" id="{E32CFB6A-0BC3-4882-BA93-3663F1478B4B}"/>
            </a:ext>
          </a:extLst>
        </xdr:cNvPr>
        <xdr:cNvSpPr txBox="1"/>
      </xdr:nvSpPr>
      <xdr:spPr>
        <a:xfrm>
          <a:off x="8267700" y="33718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166</xdr:row>
      <xdr:rowOff>0</xdr:rowOff>
    </xdr:from>
    <xdr:ext cx="65" cy="172227"/>
    <xdr:sp macro="" textlink="">
      <xdr:nvSpPr>
        <xdr:cNvPr id="8531" name="TextBox 8530">
          <a:extLst>
            <a:ext uri="{FF2B5EF4-FFF2-40B4-BE49-F238E27FC236}">
              <a16:creationId xmlns:a16="http://schemas.microsoft.com/office/drawing/2014/main" id="{232C319A-A05C-4E4C-B70F-53CD62844786}"/>
            </a:ext>
          </a:extLst>
        </xdr:cNvPr>
        <xdr:cNvSpPr txBox="1"/>
      </xdr:nvSpPr>
      <xdr:spPr>
        <a:xfrm>
          <a:off x="8267700" y="33718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166</xdr:row>
      <xdr:rowOff>0</xdr:rowOff>
    </xdr:from>
    <xdr:ext cx="65" cy="172227"/>
    <xdr:sp macro="" textlink="">
      <xdr:nvSpPr>
        <xdr:cNvPr id="8532" name="TextBox 8531">
          <a:extLst>
            <a:ext uri="{FF2B5EF4-FFF2-40B4-BE49-F238E27FC236}">
              <a16:creationId xmlns:a16="http://schemas.microsoft.com/office/drawing/2014/main" id="{E7B4BF10-06BE-40D4-B8CD-1D183900F7FC}"/>
            </a:ext>
          </a:extLst>
        </xdr:cNvPr>
        <xdr:cNvSpPr txBox="1"/>
      </xdr:nvSpPr>
      <xdr:spPr>
        <a:xfrm>
          <a:off x="8267700" y="33718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166</xdr:row>
      <xdr:rowOff>0</xdr:rowOff>
    </xdr:from>
    <xdr:ext cx="65" cy="172227"/>
    <xdr:sp macro="" textlink="">
      <xdr:nvSpPr>
        <xdr:cNvPr id="8533" name="TextBox 8532">
          <a:extLst>
            <a:ext uri="{FF2B5EF4-FFF2-40B4-BE49-F238E27FC236}">
              <a16:creationId xmlns:a16="http://schemas.microsoft.com/office/drawing/2014/main" id="{5A18EA2C-8FCD-4B09-9628-684BB05FC0EE}"/>
            </a:ext>
          </a:extLst>
        </xdr:cNvPr>
        <xdr:cNvSpPr txBox="1"/>
      </xdr:nvSpPr>
      <xdr:spPr>
        <a:xfrm>
          <a:off x="8267700" y="33718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167</xdr:row>
      <xdr:rowOff>0</xdr:rowOff>
    </xdr:from>
    <xdr:ext cx="65" cy="172227"/>
    <xdr:sp macro="" textlink="">
      <xdr:nvSpPr>
        <xdr:cNvPr id="8534" name="TextBox 8533">
          <a:extLst>
            <a:ext uri="{FF2B5EF4-FFF2-40B4-BE49-F238E27FC236}">
              <a16:creationId xmlns:a16="http://schemas.microsoft.com/office/drawing/2014/main" id="{9BE79D93-0007-4C2D-B888-2DDD6E273D3D}"/>
            </a:ext>
          </a:extLst>
        </xdr:cNvPr>
        <xdr:cNvSpPr txBox="1"/>
      </xdr:nvSpPr>
      <xdr:spPr>
        <a:xfrm>
          <a:off x="8267700" y="3391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167</xdr:row>
      <xdr:rowOff>0</xdr:rowOff>
    </xdr:from>
    <xdr:ext cx="65" cy="172227"/>
    <xdr:sp macro="" textlink="">
      <xdr:nvSpPr>
        <xdr:cNvPr id="8535" name="TextBox 8534">
          <a:extLst>
            <a:ext uri="{FF2B5EF4-FFF2-40B4-BE49-F238E27FC236}">
              <a16:creationId xmlns:a16="http://schemas.microsoft.com/office/drawing/2014/main" id="{FA01E607-FE1D-4CE4-A5EC-9631927111DD}"/>
            </a:ext>
          </a:extLst>
        </xdr:cNvPr>
        <xdr:cNvSpPr txBox="1"/>
      </xdr:nvSpPr>
      <xdr:spPr>
        <a:xfrm>
          <a:off x="8267700" y="3391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167</xdr:row>
      <xdr:rowOff>0</xdr:rowOff>
    </xdr:from>
    <xdr:ext cx="65" cy="172227"/>
    <xdr:sp macro="" textlink="">
      <xdr:nvSpPr>
        <xdr:cNvPr id="8536" name="TextBox 8535">
          <a:extLst>
            <a:ext uri="{FF2B5EF4-FFF2-40B4-BE49-F238E27FC236}">
              <a16:creationId xmlns:a16="http://schemas.microsoft.com/office/drawing/2014/main" id="{9F570716-4475-4577-B30E-E3D3A48F407D}"/>
            </a:ext>
          </a:extLst>
        </xdr:cNvPr>
        <xdr:cNvSpPr txBox="1"/>
      </xdr:nvSpPr>
      <xdr:spPr>
        <a:xfrm>
          <a:off x="8267700" y="3391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167</xdr:row>
      <xdr:rowOff>0</xdr:rowOff>
    </xdr:from>
    <xdr:ext cx="65" cy="172227"/>
    <xdr:sp macro="" textlink="">
      <xdr:nvSpPr>
        <xdr:cNvPr id="8537" name="TextBox 8536">
          <a:extLst>
            <a:ext uri="{FF2B5EF4-FFF2-40B4-BE49-F238E27FC236}">
              <a16:creationId xmlns:a16="http://schemas.microsoft.com/office/drawing/2014/main" id="{98B6C11F-B14A-4E61-87BD-AFDB290E2A2C}"/>
            </a:ext>
          </a:extLst>
        </xdr:cNvPr>
        <xdr:cNvSpPr txBox="1"/>
      </xdr:nvSpPr>
      <xdr:spPr>
        <a:xfrm>
          <a:off x="8267700" y="3391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167</xdr:row>
      <xdr:rowOff>0</xdr:rowOff>
    </xdr:from>
    <xdr:ext cx="65" cy="172227"/>
    <xdr:sp macro="" textlink="">
      <xdr:nvSpPr>
        <xdr:cNvPr id="8538" name="TextBox 8537">
          <a:extLst>
            <a:ext uri="{FF2B5EF4-FFF2-40B4-BE49-F238E27FC236}">
              <a16:creationId xmlns:a16="http://schemas.microsoft.com/office/drawing/2014/main" id="{3B7AE155-01C5-4D7E-BACB-762DF86AD275}"/>
            </a:ext>
          </a:extLst>
        </xdr:cNvPr>
        <xdr:cNvSpPr txBox="1"/>
      </xdr:nvSpPr>
      <xdr:spPr>
        <a:xfrm>
          <a:off x="8267700" y="3391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167</xdr:row>
      <xdr:rowOff>0</xdr:rowOff>
    </xdr:from>
    <xdr:ext cx="65" cy="172227"/>
    <xdr:sp macro="" textlink="">
      <xdr:nvSpPr>
        <xdr:cNvPr id="8539" name="TextBox 8538">
          <a:extLst>
            <a:ext uri="{FF2B5EF4-FFF2-40B4-BE49-F238E27FC236}">
              <a16:creationId xmlns:a16="http://schemas.microsoft.com/office/drawing/2014/main" id="{1FFE576E-A19D-4D62-9ADD-5266CE1FAD63}"/>
            </a:ext>
          </a:extLst>
        </xdr:cNvPr>
        <xdr:cNvSpPr txBox="1"/>
      </xdr:nvSpPr>
      <xdr:spPr>
        <a:xfrm>
          <a:off x="8267700" y="3391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167</xdr:row>
      <xdr:rowOff>0</xdr:rowOff>
    </xdr:from>
    <xdr:ext cx="65" cy="172227"/>
    <xdr:sp macro="" textlink="">
      <xdr:nvSpPr>
        <xdr:cNvPr id="8540" name="TextBox 8539">
          <a:extLst>
            <a:ext uri="{FF2B5EF4-FFF2-40B4-BE49-F238E27FC236}">
              <a16:creationId xmlns:a16="http://schemas.microsoft.com/office/drawing/2014/main" id="{129DB351-0B99-4004-8BB2-43783478180E}"/>
            </a:ext>
          </a:extLst>
        </xdr:cNvPr>
        <xdr:cNvSpPr txBox="1"/>
      </xdr:nvSpPr>
      <xdr:spPr>
        <a:xfrm>
          <a:off x="8267700" y="3391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167</xdr:row>
      <xdr:rowOff>0</xdr:rowOff>
    </xdr:from>
    <xdr:ext cx="65" cy="172227"/>
    <xdr:sp macro="" textlink="">
      <xdr:nvSpPr>
        <xdr:cNvPr id="8541" name="TextBox 8540">
          <a:extLst>
            <a:ext uri="{FF2B5EF4-FFF2-40B4-BE49-F238E27FC236}">
              <a16:creationId xmlns:a16="http://schemas.microsoft.com/office/drawing/2014/main" id="{4F59AF9B-FC6D-4EB3-B6DE-7607CF46335F}"/>
            </a:ext>
          </a:extLst>
        </xdr:cNvPr>
        <xdr:cNvSpPr txBox="1"/>
      </xdr:nvSpPr>
      <xdr:spPr>
        <a:xfrm>
          <a:off x="8267700" y="3391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167</xdr:row>
      <xdr:rowOff>0</xdr:rowOff>
    </xdr:from>
    <xdr:ext cx="65" cy="172227"/>
    <xdr:sp macro="" textlink="">
      <xdr:nvSpPr>
        <xdr:cNvPr id="8542" name="TextBox 8541">
          <a:extLst>
            <a:ext uri="{FF2B5EF4-FFF2-40B4-BE49-F238E27FC236}">
              <a16:creationId xmlns:a16="http://schemas.microsoft.com/office/drawing/2014/main" id="{176B7034-9AD5-4253-A295-A872DA9D9FB7}"/>
            </a:ext>
          </a:extLst>
        </xdr:cNvPr>
        <xdr:cNvSpPr txBox="1"/>
      </xdr:nvSpPr>
      <xdr:spPr>
        <a:xfrm>
          <a:off x="8267700" y="3391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167</xdr:row>
      <xdr:rowOff>0</xdr:rowOff>
    </xdr:from>
    <xdr:ext cx="65" cy="172227"/>
    <xdr:sp macro="" textlink="">
      <xdr:nvSpPr>
        <xdr:cNvPr id="8543" name="TextBox 8542">
          <a:extLst>
            <a:ext uri="{FF2B5EF4-FFF2-40B4-BE49-F238E27FC236}">
              <a16:creationId xmlns:a16="http://schemas.microsoft.com/office/drawing/2014/main" id="{B1A6011D-893C-4B98-921B-AA87FF1EA0F5}"/>
            </a:ext>
          </a:extLst>
        </xdr:cNvPr>
        <xdr:cNvSpPr txBox="1"/>
      </xdr:nvSpPr>
      <xdr:spPr>
        <a:xfrm>
          <a:off x="8267700" y="3391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167</xdr:row>
      <xdr:rowOff>0</xdr:rowOff>
    </xdr:from>
    <xdr:ext cx="65" cy="172227"/>
    <xdr:sp macro="" textlink="">
      <xdr:nvSpPr>
        <xdr:cNvPr id="8544" name="TextBox 8543">
          <a:extLst>
            <a:ext uri="{FF2B5EF4-FFF2-40B4-BE49-F238E27FC236}">
              <a16:creationId xmlns:a16="http://schemas.microsoft.com/office/drawing/2014/main" id="{C96DDC89-4333-4809-93AD-B3B389EDBD7C}"/>
            </a:ext>
          </a:extLst>
        </xdr:cNvPr>
        <xdr:cNvSpPr txBox="1"/>
      </xdr:nvSpPr>
      <xdr:spPr>
        <a:xfrm>
          <a:off x="8267700" y="3391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167</xdr:row>
      <xdr:rowOff>0</xdr:rowOff>
    </xdr:from>
    <xdr:ext cx="65" cy="172227"/>
    <xdr:sp macro="" textlink="">
      <xdr:nvSpPr>
        <xdr:cNvPr id="8545" name="TextBox 8544">
          <a:extLst>
            <a:ext uri="{FF2B5EF4-FFF2-40B4-BE49-F238E27FC236}">
              <a16:creationId xmlns:a16="http://schemas.microsoft.com/office/drawing/2014/main" id="{E35AF2B5-B026-4EE1-87A0-829741757F6E}"/>
            </a:ext>
          </a:extLst>
        </xdr:cNvPr>
        <xdr:cNvSpPr txBox="1"/>
      </xdr:nvSpPr>
      <xdr:spPr>
        <a:xfrm>
          <a:off x="8267700" y="3391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167</xdr:row>
      <xdr:rowOff>0</xdr:rowOff>
    </xdr:from>
    <xdr:ext cx="65" cy="172227"/>
    <xdr:sp macro="" textlink="">
      <xdr:nvSpPr>
        <xdr:cNvPr id="8546" name="TextBox 8545">
          <a:extLst>
            <a:ext uri="{FF2B5EF4-FFF2-40B4-BE49-F238E27FC236}">
              <a16:creationId xmlns:a16="http://schemas.microsoft.com/office/drawing/2014/main" id="{55A8B43E-7885-4685-A6E4-CBFFACA9E24D}"/>
            </a:ext>
          </a:extLst>
        </xdr:cNvPr>
        <xdr:cNvSpPr txBox="1"/>
      </xdr:nvSpPr>
      <xdr:spPr>
        <a:xfrm>
          <a:off x="8267700" y="3391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167</xdr:row>
      <xdr:rowOff>0</xdr:rowOff>
    </xdr:from>
    <xdr:ext cx="65" cy="172227"/>
    <xdr:sp macro="" textlink="">
      <xdr:nvSpPr>
        <xdr:cNvPr id="8547" name="TextBox 8546">
          <a:extLst>
            <a:ext uri="{FF2B5EF4-FFF2-40B4-BE49-F238E27FC236}">
              <a16:creationId xmlns:a16="http://schemas.microsoft.com/office/drawing/2014/main" id="{7D20861C-376D-4D6E-B29E-125D65F0087F}"/>
            </a:ext>
          </a:extLst>
        </xdr:cNvPr>
        <xdr:cNvSpPr txBox="1"/>
      </xdr:nvSpPr>
      <xdr:spPr>
        <a:xfrm>
          <a:off x="8267700" y="3391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168</xdr:row>
      <xdr:rowOff>0</xdr:rowOff>
    </xdr:from>
    <xdr:ext cx="65" cy="172227"/>
    <xdr:sp macro="" textlink="">
      <xdr:nvSpPr>
        <xdr:cNvPr id="8548" name="TextBox 8547">
          <a:extLst>
            <a:ext uri="{FF2B5EF4-FFF2-40B4-BE49-F238E27FC236}">
              <a16:creationId xmlns:a16="http://schemas.microsoft.com/office/drawing/2014/main" id="{5A7EBEED-7B32-4932-B601-4E52DAD91BA9}"/>
            </a:ext>
          </a:extLst>
        </xdr:cNvPr>
        <xdr:cNvSpPr txBox="1"/>
      </xdr:nvSpPr>
      <xdr:spPr>
        <a:xfrm>
          <a:off x="8267700" y="34114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168</xdr:row>
      <xdr:rowOff>0</xdr:rowOff>
    </xdr:from>
    <xdr:ext cx="65" cy="172227"/>
    <xdr:sp macro="" textlink="">
      <xdr:nvSpPr>
        <xdr:cNvPr id="8549" name="TextBox 8548">
          <a:extLst>
            <a:ext uri="{FF2B5EF4-FFF2-40B4-BE49-F238E27FC236}">
              <a16:creationId xmlns:a16="http://schemas.microsoft.com/office/drawing/2014/main" id="{C7F843F5-8D70-4866-AF80-3CE04DCE90DD}"/>
            </a:ext>
          </a:extLst>
        </xdr:cNvPr>
        <xdr:cNvSpPr txBox="1"/>
      </xdr:nvSpPr>
      <xdr:spPr>
        <a:xfrm>
          <a:off x="8267700" y="34114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168</xdr:row>
      <xdr:rowOff>0</xdr:rowOff>
    </xdr:from>
    <xdr:ext cx="65" cy="172227"/>
    <xdr:sp macro="" textlink="">
      <xdr:nvSpPr>
        <xdr:cNvPr id="8550" name="TextBox 8549">
          <a:extLst>
            <a:ext uri="{FF2B5EF4-FFF2-40B4-BE49-F238E27FC236}">
              <a16:creationId xmlns:a16="http://schemas.microsoft.com/office/drawing/2014/main" id="{32E86947-C5E7-4035-B050-931C9A2F6A6B}"/>
            </a:ext>
          </a:extLst>
        </xdr:cNvPr>
        <xdr:cNvSpPr txBox="1"/>
      </xdr:nvSpPr>
      <xdr:spPr>
        <a:xfrm>
          <a:off x="8267700" y="34114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168</xdr:row>
      <xdr:rowOff>0</xdr:rowOff>
    </xdr:from>
    <xdr:ext cx="65" cy="172227"/>
    <xdr:sp macro="" textlink="">
      <xdr:nvSpPr>
        <xdr:cNvPr id="8551" name="TextBox 8550">
          <a:extLst>
            <a:ext uri="{FF2B5EF4-FFF2-40B4-BE49-F238E27FC236}">
              <a16:creationId xmlns:a16="http://schemas.microsoft.com/office/drawing/2014/main" id="{3DD4913D-DAE8-44B1-B80F-58E6238A88A0}"/>
            </a:ext>
          </a:extLst>
        </xdr:cNvPr>
        <xdr:cNvSpPr txBox="1"/>
      </xdr:nvSpPr>
      <xdr:spPr>
        <a:xfrm>
          <a:off x="8267700" y="34114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168</xdr:row>
      <xdr:rowOff>0</xdr:rowOff>
    </xdr:from>
    <xdr:ext cx="65" cy="172227"/>
    <xdr:sp macro="" textlink="">
      <xdr:nvSpPr>
        <xdr:cNvPr id="8552" name="TextBox 8551">
          <a:extLst>
            <a:ext uri="{FF2B5EF4-FFF2-40B4-BE49-F238E27FC236}">
              <a16:creationId xmlns:a16="http://schemas.microsoft.com/office/drawing/2014/main" id="{8AD5AE77-1A30-472F-BB8C-9B14AEAF4F03}"/>
            </a:ext>
          </a:extLst>
        </xdr:cNvPr>
        <xdr:cNvSpPr txBox="1"/>
      </xdr:nvSpPr>
      <xdr:spPr>
        <a:xfrm>
          <a:off x="8267700" y="34114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168</xdr:row>
      <xdr:rowOff>0</xdr:rowOff>
    </xdr:from>
    <xdr:ext cx="65" cy="172227"/>
    <xdr:sp macro="" textlink="">
      <xdr:nvSpPr>
        <xdr:cNvPr id="8553" name="TextBox 8552">
          <a:extLst>
            <a:ext uri="{FF2B5EF4-FFF2-40B4-BE49-F238E27FC236}">
              <a16:creationId xmlns:a16="http://schemas.microsoft.com/office/drawing/2014/main" id="{DC4AD2B7-7D46-439E-85D2-C8DC05D9B56A}"/>
            </a:ext>
          </a:extLst>
        </xdr:cNvPr>
        <xdr:cNvSpPr txBox="1"/>
      </xdr:nvSpPr>
      <xdr:spPr>
        <a:xfrm>
          <a:off x="8267700" y="34114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168</xdr:row>
      <xdr:rowOff>0</xdr:rowOff>
    </xdr:from>
    <xdr:ext cx="65" cy="172227"/>
    <xdr:sp macro="" textlink="">
      <xdr:nvSpPr>
        <xdr:cNvPr id="8554" name="TextBox 8553">
          <a:extLst>
            <a:ext uri="{FF2B5EF4-FFF2-40B4-BE49-F238E27FC236}">
              <a16:creationId xmlns:a16="http://schemas.microsoft.com/office/drawing/2014/main" id="{E3BA048B-044B-484B-B030-99B3D45036C8}"/>
            </a:ext>
          </a:extLst>
        </xdr:cNvPr>
        <xdr:cNvSpPr txBox="1"/>
      </xdr:nvSpPr>
      <xdr:spPr>
        <a:xfrm>
          <a:off x="8267700" y="34114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168</xdr:row>
      <xdr:rowOff>0</xdr:rowOff>
    </xdr:from>
    <xdr:ext cx="65" cy="172227"/>
    <xdr:sp macro="" textlink="">
      <xdr:nvSpPr>
        <xdr:cNvPr id="8555" name="TextBox 8554">
          <a:extLst>
            <a:ext uri="{FF2B5EF4-FFF2-40B4-BE49-F238E27FC236}">
              <a16:creationId xmlns:a16="http://schemas.microsoft.com/office/drawing/2014/main" id="{FB74539F-F3E6-448C-8660-B891F62E5BC5}"/>
            </a:ext>
          </a:extLst>
        </xdr:cNvPr>
        <xdr:cNvSpPr txBox="1"/>
      </xdr:nvSpPr>
      <xdr:spPr>
        <a:xfrm>
          <a:off x="8267700" y="34114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168</xdr:row>
      <xdr:rowOff>0</xdr:rowOff>
    </xdr:from>
    <xdr:ext cx="65" cy="172227"/>
    <xdr:sp macro="" textlink="">
      <xdr:nvSpPr>
        <xdr:cNvPr id="8556" name="TextBox 8555">
          <a:extLst>
            <a:ext uri="{FF2B5EF4-FFF2-40B4-BE49-F238E27FC236}">
              <a16:creationId xmlns:a16="http://schemas.microsoft.com/office/drawing/2014/main" id="{DD77E41D-DD3F-4DA0-B5BA-C98589822B11}"/>
            </a:ext>
          </a:extLst>
        </xdr:cNvPr>
        <xdr:cNvSpPr txBox="1"/>
      </xdr:nvSpPr>
      <xdr:spPr>
        <a:xfrm>
          <a:off x="8267700" y="34114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168</xdr:row>
      <xdr:rowOff>0</xdr:rowOff>
    </xdr:from>
    <xdr:ext cx="65" cy="172227"/>
    <xdr:sp macro="" textlink="">
      <xdr:nvSpPr>
        <xdr:cNvPr id="8557" name="TextBox 8556">
          <a:extLst>
            <a:ext uri="{FF2B5EF4-FFF2-40B4-BE49-F238E27FC236}">
              <a16:creationId xmlns:a16="http://schemas.microsoft.com/office/drawing/2014/main" id="{A13635F1-5ACB-48BE-A16F-D9529607C046}"/>
            </a:ext>
          </a:extLst>
        </xdr:cNvPr>
        <xdr:cNvSpPr txBox="1"/>
      </xdr:nvSpPr>
      <xdr:spPr>
        <a:xfrm>
          <a:off x="8267700" y="34114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168</xdr:row>
      <xdr:rowOff>0</xdr:rowOff>
    </xdr:from>
    <xdr:ext cx="65" cy="172227"/>
    <xdr:sp macro="" textlink="">
      <xdr:nvSpPr>
        <xdr:cNvPr id="8558" name="TextBox 8557">
          <a:extLst>
            <a:ext uri="{FF2B5EF4-FFF2-40B4-BE49-F238E27FC236}">
              <a16:creationId xmlns:a16="http://schemas.microsoft.com/office/drawing/2014/main" id="{F707F3AF-0F0B-4E04-82AE-E4E43C12C5CA}"/>
            </a:ext>
          </a:extLst>
        </xdr:cNvPr>
        <xdr:cNvSpPr txBox="1"/>
      </xdr:nvSpPr>
      <xdr:spPr>
        <a:xfrm>
          <a:off x="8267700" y="34114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168</xdr:row>
      <xdr:rowOff>0</xdr:rowOff>
    </xdr:from>
    <xdr:ext cx="65" cy="172227"/>
    <xdr:sp macro="" textlink="">
      <xdr:nvSpPr>
        <xdr:cNvPr id="8559" name="TextBox 8558">
          <a:extLst>
            <a:ext uri="{FF2B5EF4-FFF2-40B4-BE49-F238E27FC236}">
              <a16:creationId xmlns:a16="http://schemas.microsoft.com/office/drawing/2014/main" id="{6E98DD5A-05AD-45C2-8D4B-6605140437E5}"/>
            </a:ext>
          </a:extLst>
        </xdr:cNvPr>
        <xdr:cNvSpPr txBox="1"/>
      </xdr:nvSpPr>
      <xdr:spPr>
        <a:xfrm>
          <a:off x="8267700" y="34114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168</xdr:row>
      <xdr:rowOff>0</xdr:rowOff>
    </xdr:from>
    <xdr:ext cx="65" cy="172227"/>
    <xdr:sp macro="" textlink="">
      <xdr:nvSpPr>
        <xdr:cNvPr id="8560" name="TextBox 8559">
          <a:extLst>
            <a:ext uri="{FF2B5EF4-FFF2-40B4-BE49-F238E27FC236}">
              <a16:creationId xmlns:a16="http://schemas.microsoft.com/office/drawing/2014/main" id="{7A5BAB34-791F-4DBE-89CC-7D5BC7B4041F}"/>
            </a:ext>
          </a:extLst>
        </xdr:cNvPr>
        <xdr:cNvSpPr txBox="1"/>
      </xdr:nvSpPr>
      <xdr:spPr>
        <a:xfrm>
          <a:off x="8267700" y="34114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168</xdr:row>
      <xdr:rowOff>0</xdr:rowOff>
    </xdr:from>
    <xdr:ext cx="65" cy="172227"/>
    <xdr:sp macro="" textlink="">
      <xdr:nvSpPr>
        <xdr:cNvPr id="8561" name="TextBox 8560">
          <a:extLst>
            <a:ext uri="{FF2B5EF4-FFF2-40B4-BE49-F238E27FC236}">
              <a16:creationId xmlns:a16="http://schemas.microsoft.com/office/drawing/2014/main" id="{C5EDE199-723F-4E4A-B41D-0124D54E8EDD}"/>
            </a:ext>
          </a:extLst>
        </xdr:cNvPr>
        <xdr:cNvSpPr txBox="1"/>
      </xdr:nvSpPr>
      <xdr:spPr>
        <a:xfrm>
          <a:off x="8267700" y="34114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169</xdr:row>
      <xdr:rowOff>0</xdr:rowOff>
    </xdr:from>
    <xdr:ext cx="65" cy="172227"/>
    <xdr:sp macro="" textlink="">
      <xdr:nvSpPr>
        <xdr:cNvPr id="8562" name="TextBox 8561">
          <a:extLst>
            <a:ext uri="{FF2B5EF4-FFF2-40B4-BE49-F238E27FC236}">
              <a16:creationId xmlns:a16="http://schemas.microsoft.com/office/drawing/2014/main" id="{DF667CC1-E548-4F78-87CD-AABC8253902E}"/>
            </a:ext>
          </a:extLst>
        </xdr:cNvPr>
        <xdr:cNvSpPr txBox="1"/>
      </xdr:nvSpPr>
      <xdr:spPr>
        <a:xfrm>
          <a:off x="8267700" y="34312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169</xdr:row>
      <xdr:rowOff>0</xdr:rowOff>
    </xdr:from>
    <xdr:ext cx="65" cy="172227"/>
    <xdr:sp macro="" textlink="">
      <xdr:nvSpPr>
        <xdr:cNvPr id="8563" name="TextBox 8562">
          <a:extLst>
            <a:ext uri="{FF2B5EF4-FFF2-40B4-BE49-F238E27FC236}">
              <a16:creationId xmlns:a16="http://schemas.microsoft.com/office/drawing/2014/main" id="{52FC385F-C64A-44E5-BDF9-DD30307D58ED}"/>
            </a:ext>
          </a:extLst>
        </xdr:cNvPr>
        <xdr:cNvSpPr txBox="1"/>
      </xdr:nvSpPr>
      <xdr:spPr>
        <a:xfrm>
          <a:off x="8267700" y="34312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169</xdr:row>
      <xdr:rowOff>0</xdr:rowOff>
    </xdr:from>
    <xdr:ext cx="65" cy="172227"/>
    <xdr:sp macro="" textlink="">
      <xdr:nvSpPr>
        <xdr:cNvPr id="8564" name="TextBox 8563">
          <a:extLst>
            <a:ext uri="{FF2B5EF4-FFF2-40B4-BE49-F238E27FC236}">
              <a16:creationId xmlns:a16="http://schemas.microsoft.com/office/drawing/2014/main" id="{4B74537D-86DE-47B1-9465-6CCA1ECC873D}"/>
            </a:ext>
          </a:extLst>
        </xdr:cNvPr>
        <xdr:cNvSpPr txBox="1"/>
      </xdr:nvSpPr>
      <xdr:spPr>
        <a:xfrm>
          <a:off x="8267700" y="34312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169</xdr:row>
      <xdr:rowOff>0</xdr:rowOff>
    </xdr:from>
    <xdr:ext cx="65" cy="172227"/>
    <xdr:sp macro="" textlink="">
      <xdr:nvSpPr>
        <xdr:cNvPr id="8565" name="TextBox 8564">
          <a:extLst>
            <a:ext uri="{FF2B5EF4-FFF2-40B4-BE49-F238E27FC236}">
              <a16:creationId xmlns:a16="http://schemas.microsoft.com/office/drawing/2014/main" id="{E22DF65F-3524-481A-AB80-45F39BE31766}"/>
            </a:ext>
          </a:extLst>
        </xdr:cNvPr>
        <xdr:cNvSpPr txBox="1"/>
      </xdr:nvSpPr>
      <xdr:spPr>
        <a:xfrm>
          <a:off x="8267700" y="34312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169</xdr:row>
      <xdr:rowOff>0</xdr:rowOff>
    </xdr:from>
    <xdr:ext cx="65" cy="172227"/>
    <xdr:sp macro="" textlink="">
      <xdr:nvSpPr>
        <xdr:cNvPr id="8566" name="TextBox 8565">
          <a:extLst>
            <a:ext uri="{FF2B5EF4-FFF2-40B4-BE49-F238E27FC236}">
              <a16:creationId xmlns:a16="http://schemas.microsoft.com/office/drawing/2014/main" id="{8AB51B9B-83E5-4B01-93EA-6A7F75417473}"/>
            </a:ext>
          </a:extLst>
        </xdr:cNvPr>
        <xdr:cNvSpPr txBox="1"/>
      </xdr:nvSpPr>
      <xdr:spPr>
        <a:xfrm>
          <a:off x="8267700" y="34312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169</xdr:row>
      <xdr:rowOff>0</xdr:rowOff>
    </xdr:from>
    <xdr:ext cx="65" cy="172227"/>
    <xdr:sp macro="" textlink="">
      <xdr:nvSpPr>
        <xdr:cNvPr id="8567" name="TextBox 8566">
          <a:extLst>
            <a:ext uri="{FF2B5EF4-FFF2-40B4-BE49-F238E27FC236}">
              <a16:creationId xmlns:a16="http://schemas.microsoft.com/office/drawing/2014/main" id="{D7DA0530-2A98-419F-8477-5B64F625A955}"/>
            </a:ext>
          </a:extLst>
        </xdr:cNvPr>
        <xdr:cNvSpPr txBox="1"/>
      </xdr:nvSpPr>
      <xdr:spPr>
        <a:xfrm>
          <a:off x="8267700" y="34312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169</xdr:row>
      <xdr:rowOff>0</xdr:rowOff>
    </xdr:from>
    <xdr:ext cx="65" cy="172227"/>
    <xdr:sp macro="" textlink="">
      <xdr:nvSpPr>
        <xdr:cNvPr id="8568" name="TextBox 8567">
          <a:extLst>
            <a:ext uri="{FF2B5EF4-FFF2-40B4-BE49-F238E27FC236}">
              <a16:creationId xmlns:a16="http://schemas.microsoft.com/office/drawing/2014/main" id="{22F1AE7F-F70F-49B2-AEB7-2F87A84BD459}"/>
            </a:ext>
          </a:extLst>
        </xdr:cNvPr>
        <xdr:cNvSpPr txBox="1"/>
      </xdr:nvSpPr>
      <xdr:spPr>
        <a:xfrm>
          <a:off x="8267700" y="34312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169</xdr:row>
      <xdr:rowOff>0</xdr:rowOff>
    </xdr:from>
    <xdr:ext cx="65" cy="172227"/>
    <xdr:sp macro="" textlink="">
      <xdr:nvSpPr>
        <xdr:cNvPr id="8569" name="TextBox 8568">
          <a:extLst>
            <a:ext uri="{FF2B5EF4-FFF2-40B4-BE49-F238E27FC236}">
              <a16:creationId xmlns:a16="http://schemas.microsoft.com/office/drawing/2014/main" id="{8B40DB25-9FA1-4BEF-A699-64CF3C1922DD}"/>
            </a:ext>
          </a:extLst>
        </xdr:cNvPr>
        <xdr:cNvSpPr txBox="1"/>
      </xdr:nvSpPr>
      <xdr:spPr>
        <a:xfrm>
          <a:off x="8267700" y="34312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169</xdr:row>
      <xdr:rowOff>0</xdr:rowOff>
    </xdr:from>
    <xdr:ext cx="65" cy="172227"/>
    <xdr:sp macro="" textlink="">
      <xdr:nvSpPr>
        <xdr:cNvPr id="8570" name="TextBox 8569">
          <a:extLst>
            <a:ext uri="{FF2B5EF4-FFF2-40B4-BE49-F238E27FC236}">
              <a16:creationId xmlns:a16="http://schemas.microsoft.com/office/drawing/2014/main" id="{7DDEB44B-E38E-4A0A-8A35-270134AFDDE6}"/>
            </a:ext>
          </a:extLst>
        </xdr:cNvPr>
        <xdr:cNvSpPr txBox="1"/>
      </xdr:nvSpPr>
      <xdr:spPr>
        <a:xfrm>
          <a:off x="8267700" y="34312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169</xdr:row>
      <xdr:rowOff>0</xdr:rowOff>
    </xdr:from>
    <xdr:ext cx="65" cy="172227"/>
    <xdr:sp macro="" textlink="">
      <xdr:nvSpPr>
        <xdr:cNvPr id="8571" name="TextBox 8570">
          <a:extLst>
            <a:ext uri="{FF2B5EF4-FFF2-40B4-BE49-F238E27FC236}">
              <a16:creationId xmlns:a16="http://schemas.microsoft.com/office/drawing/2014/main" id="{66DF986A-B839-4C01-BF56-5D22831A5687}"/>
            </a:ext>
          </a:extLst>
        </xdr:cNvPr>
        <xdr:cNvSpPr txBox="1"/>
      </xdr:nvSpPr>
      <xdr:spPr>
        <a:xfrm>
          <a:off x="8267700" y="34312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169</xdr:row>
      <xdr:rowOff>0</xdr:rowOff>
    </xdr:from>
    <xdr:ext cx="65" cy="172227"/>
    <xdr:sp macro="" textlink="">
      <xdr:nvSpPr>
        <xdr:cNvPr id="8572" name="TextBox 8571">
          <a:extLst>
            <a:ext uri="{FF2B5EF4-FFF2-40B4-BE49-F238E27FC236}">
              <a16:creationId xmlns:a16="http://schemas.microsoft.com/office/drawing/2014/main" id="{1E93FD29-9733-4C3E-AAB3-B0E87315C7F0}"/>
            </a:ext>
          </a:extLst>
        </xdr:cNvPr>
        <xdr:cNvSpPr txBox="1"/>
      </xdr:nvSpPr>
      <xdr:spPr>
        <a:xfrm>
          <a:off x="8267700" y="34312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169</xdr:row>
      <xdr:rowOff>0</xdr:rowOff>
    </xdr:from>
    <xdr:ext cx="65" cy="172227"/>
    <xdr:sp macro="" textlink="">
      <xdr:nvSpPr>
        <xdr:cNvPr id="8573" name="TextBox 8572">
          <a:extLst>
            <a:ext uri="{FF2B5EF4-FFF2-40B4-BE49-F238E27FC236}">
              <a16:creationId xmlns:a16="http://schemas.microsoft.com/office/drawing/2014/main" id="{5C822E83-0AC2-4526-8B1B-AC4A43E63804}"/>
            </a:ext>
          </a:extLst>
        </xdr:cNvPr>
        <xdr:cNvSpPr txBox="1"/>
      </xdr:nvSpPr>
      <xdr:spPr>
        <a:xfrm>
          <a:off x="8267700" y="34312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169</xdr:row>
      <xdr:rowOff>0</xdr:rowOff>
    </xdr:from>
    <xdr:ext cx="65" cy="172227"/>
    <xdr:sp macro="" textlink="">
      <xdr:nvSpPr>
        <xdr:cNvPr id="8574" name="TextBox 8573">
          <a:extLst>
            <a:ext uri="{FF2B5EF4-FFF2-40B4-BE49-F238E27FC236}">
              <a16:creationId xmlns:a16="http://schemas.microsoft.com/office/drawing/2014/main" id="{C15187AA-9C9E-4DF9-AD29-8AA87162E83A}"/>
            </a:ext>
          </a:extLst>
        </xdr:cNvPr>
        <xdr:cNvSpPr txBox="1"/>
      </xdr:nvSpPr>
      <xdr:spPr>
        <a:xfrm>
          <a:off x="8267700" y="34312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169</xdr:row>
      <xdr:rowOff>0</xdr:rowOff>
    </xdr:from>
    <xdr:ext cx="65" cy="172227"/>
    <xdr:sp macro="" textlink="">
      <xdr:nvSpPr>
        <xdr:cNvPr id="8575" name="TextBox 8574">
          <a:extLst>
            <a:ext uri="{FF2B5EF4-FFF2-40B4-BE49-F238E27FC236}">
              <a16:creationId xmlns:a16="http://schemas.microsoft.com/office/drawing/2014/main" id="{16344785-5D1F-41C4-8510-064DC3F7A7CC}"/>
            </a:ext>
          </a:extLst>
        </xdr:cNvPr>
        <xdr:cNvSpPr txBox="1"/>
      </xdr:nvSpPr>
      <xdr:spPr>
        <a:xfrm>
          <a:off x="8267700" y="34312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166</xdr:row>
      <xdr:rowOff>0</xdr:rowOff>
    </xdr:from>
    <xdr:ext cx="65" cy="172227"/>
    <xdr:sp macro="" textlink="">
      <xdr:nvSpPr>
        <xdr:cNvPr id="8576" name="TextBox 8575">
          <a:extLst>
            <a:ext uri="{FF2B5EF4-FFF2-40B4-BE49-F238E27FC236}">
              <a16:creationId xmlns:a16="http://schemas.microsoft.com/office/drawing/2014/main" id="{4F936D3A-FDA7-4846-9579-1D6FA4875A4D}"/>
            </a:ext>
          </a:extLst>
        </xdr:cNvPr>
        <xdr:cNvSpPr txBox="1"/>
      </xdr:nvSpPr>
      <xdr:spPr>
        <a:xfrm>
          <a:off x="12580620" y="33718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166</xdr:row>
      <xdr:rowOff>0</xdr:rowOff>
    </xdr:from>
    <xdr:ext cx="65" cy="172227"/>
    <xdr:sp macro="" textlink="">
      <xdr:nvSpPr>
        <xdr:cNvPr id="8577" name="TextBox 8576">
          <a:extLst>
            <a:ext uri="{FF2B5EF4-FFF2-40B4-BE49-F238E27FC236}">
              <a16:creationId xmlns:a16="http://schemas.microsoft.com/office/drawing/2014/main" id="{8777000A-B245-45AD-BC1C-A25A032C01AF}"/>
            </a:ext>
          </a:extLst>
        </xdr:cNvPr>
        <xdr:cNvSpPr txBox="1"/>
      </xdr:nvSpPr>
      <xdr:spPr>
        <a:xfrm>
          <a:off x="12580620" y="33718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166</xdr:row>
      <xdr:rowOff>0</xdr:rowOff>
    </xdr:from>
    <xdr:ext cx="65" cy="172227"/>
    <xdr:sp macro="" textlink="">
      <xdr:nvSpPr>
        <xdr:cNvPr id="8578" name="TextBox 8577">
          <a:extLst>
            <a:ext uri="{FF2B5EF4-FFF2-40B4-BE49-F238E27FC236}">
              <a16:creationId xmlns:a16="http://schemas.microsoft.com/office/drawing/2014/main" id="{EA2ABE06-5897-46BD-B53C-EE15AF1308A4}"/>
            </a:ext>
          </a:extLst>
        </xdr:cNvPr>
        <xdr:cNvSpPr txBox="1"/>
      </xdr:nvSpPr>
      <xdr:spPr>
        <a:xfrm>
          <a:off x="12580620" y="33718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166</xdr:row>
      <xdr:rowOff>0</xdr:rowOff>
    </xdr:from>
    <xdr:ext cx="65" cy="172227"/>
    <xdr:sp macro="" textlink="">
      <xdr:nvSpPr>
        <xdr:cNvPr id="8579" name="TextBox 8578">
          <a:extLst>
            <a:ext uri="{FF2B5EF4-FFF2-40B4-BE49-F238E27FC236}">
              <a16:creationId xmlns:a16="http://schemas.microsoft.com/office/drawing/2014/main" id="{235FF3EA-3105-42B5-B8CA-693AAD7664E5}"/>
            </a:ext>
          </a:extLst>
        </xdr:cNvPr>
        <xdr:cNvSpPr txBox="1"/>
      </xdr:nvSpPr>
      <xdr:spPr>
        <a:xfrm>
          <a:off x="12580620" y="33718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166</xdr:row>
      <xdr:rowOff>0</xdr:rowOff>
    </xdr:from>
    <xdr:ext cx="65" cy="172227"/>
    <xdr:sp macro="" textlink="">
      <xdr:nvSpPr>
        <xdr:cNvPr id="8580" name="TextBox 8579">
          <a:extLst>
            <a:ext uri="{FF2B5EF4-FFF2-40B4-BE49-F238E27FC236}">
              <a16:creationId xmlns:a16="http://schemas.microsoft.com/office/drawing/2014/main" id="{97B4552B-C38D-4ACE-ACE6-4EBBB067850E}"/>
            </a:ext>
          </a:extLst>
        </xdr:cNvPr>
        <xdr:cNvSpPr txBox="1"/>
      </xdr:nvSpPr>
      <xdr:spPr>
        <a:xfrm>
          <a:off x="12580620" y="33718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166</xdr:row>
      <xdr:rowOff>0</xdr:rowOff>
    </xdr:from>
    <xdr:ext cx="65" cy="172227"/>
    <xdr:sp macro="" textlink="">
      <xdr:nvSpPr>
        <xdr:cNvPr id="8581" name="TextBox 8580">
          <a:extLst>
            <a:ext uri="{FF2B5EF4-FFF2-40B4-BE49-F238E27FC236}">
              <a16:creationId xmlns:a16="http://schemas.microsoft.com/office/drawing/2014/main" id="{7CF1BAD8-B6B0-4A7F-976A-8CA530477EFF}"/>
            </a:ext>
          </a:extLst>
        </xdr:cNvPr>
        <xdr:cNvSpPr txBox="1"/>
      </xdr:nvSpPr>
      <xdr:spPr>
        <a:xfrm>
          <a:off x="12580620" y="33718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166</xdr:row>
      <xdr:rowOff>0</xdr:rowOff>
    </xdr:from>
    <xdr:ext cx="65" cy="172227"/>
    <xdr:sp macro="" textlink="">
      <xdr:nvSpPr>
        <xdr:cNvPr id="8582" name="TextBox 8581">
          <a:extLst>
            <a:ext uri="{FF2B5EF4-FFF2-40B4-BE49-F238E27FC236}">
              <a16:creationId xmlns:a16="http://schemas.microsoft.com/office/drawing/2014/main" id="{AFEE82A1-E95B-4321-8FD6-478E8862D914}"/>
            </a:ext>
          </a:extLst>
        </xdr:cNvPr>
        <xdr:cNvSpPr txBox="1"/>
      </xdr:nvSpPr>
      <xdr:spPr>
        <a:xfrm>
          <a:off x="12580620" y="33718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166</xdr:row>
      <xdr:rowOff>0</xdr:rowOff>
    </xdr:from>
    <xdr:ext cx="65" cy="172227"/>
    <xdr:sp macro="" textlink="">
      <xdr:nvSpPr>
        <xdr:cNvPr id="8583" name="TextBox 8582">
          <a:extLst>
            <a:ext uri="{FF2B5EF4-FFF2-40B4-BE49-F238E27FC236}">
              <a16:creationId xmlns:a16="http://schemas.microsoft.com/office/drawing/2014/main" id="{37958B62-4D9C-443F-BF05-18BF1BE3E526}"/>
            </a:ext>
          </a:extLst>
        </xdr:cNvPr>
        <xdr:cNvSpPr txBox="1"/>
      </xdr:nvSpPr>
      <xdr:spPr>
        <a:xfrm>
          <a:off x="12580620" y="33718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166</xdr:row>
      <xdr:rowOff>0</xdr:rowOff>
    </xdr:from>
    <xdr:ext cx="65" cy="172227"/>
    <xdr:sp macro="" textlink="">
      <xdr:nvSpPr>
        <xdr:cNvPr id="8584" name="TextBox 8583">
          <a:extLst>
            <a:ext uri="{FF2B5EF4-FFF2-40B4-BE49-F238E27FC236}">
              <a16:creationId xmlns:a16="http://schemas.microsoft.com/office/drawing/2014/main" id="{37A572A1-A9F2-4AEC-BE08-ED1730A399A7}"/>
            </a:ext>
          </a:extLst>
        </xdr:cNvPr>
        <xdr:cNvSpPr txBox="1"/>
      </xdr:nvSpPr>
      <xdr:spPr>
        <a:xfrm>
          <a:off x="12580620" y="33718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166</xdr:row>
      <xdr:rowOff>0</xdr:rowOff>
    </xdr:from>
    <xdr:ext cx="65" cy="172227"/>
    <xdr:sp macro="" textlink="">
      <xdr:nvSpPr>
        <xdr:cNvPr id="8585" name="TextBox 8584">
          <a:extLst>
            <a:ext uri="{FF2B5EF4-FFF2-40B4-BE49-F238E27FC236}">
              <a16:creationId xmlns:a16="http://schemas.microsoft.com/office/drawing/2014/main" id="{E4CFCC5B-4A4C-4E13-9060-CFD05DB9AEE2}"/>
            </a:ext>
          </a:extLst>
        </xdr:cNvPr>
        <xdr:cNvSpPr txBox="1"/>
      </xdr:nvSpPr>
      <xdr:spPr>
        <a:xfrm>
          <a:off x="12580620" y="33718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166</xdr:row>
      <xdr:rowOff>0</xdr:rowOff>
    </xdr:from>
    <xdr:ext cx="65" cy="172227"/>
    <xdr:sp macro="" textlink="">
      <xdr:nvSpPr>
        <xdr:cNvPr id="8586" name="TextBox 8585">
          <a:extLst>
            <a:ext uri="{FF2B5EF4-FFF2-40B4-BE49-F238E27FC236}">
              <a16:creationId xmlns:a16="http://schemas.microsoft.com/office/drawing/2014/main" id="{425C4BF7-1B61-4129-ABC4-11444FBC9E15}"/>
            </a:ext>
          </a:extLst>
        </xdr:cNvPr>
        <xdr:cNvSpPr txBox="1"/>
      </xdr:nvSpPr>
      <xdr:spPr>
        <a:xfrm>
          <a:off x="12580620" y="33718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166</xdr:row>
      <xdr:rowOff>0</xdr:rowOff>
    </xdr:from>
    <xdr:ext cx="65" cy="172227"/>
    <xdr:sp macro="" textlink="">
      <xdr:nvSpPr>
        <xdr:cNvPr id="8587" name="TextBox 8586">
          <a:extLst>
            <a:ext uri="{FF2B5EF4-FFF2-40B4-BE49-F238E27FC236}">
              <a16:creationId xmlns:a16="http://schemas.microsoft.com/office/drawing/2014/main" id="{DFE9A253-7D7E-49B6-BFD7-BBB6DBD9D178}"/>
            </a:ext>
          </a:extLst>
        </xdr:cNvPr>
        <xdr:cNvSpPr txBox="1"/>
      </xdr:nvSpPr>
      <xdr:spPr>
        <a:xfrm>
          <a:off x="12580620" y="33718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166</xdr:row>
      <xdr:rowOff>0</xdr:rowOff>
    </xdr:from>
    <xdr:ext cx="65" cy="172227"/>
    <xdr:sp macro="" textlink="">
      <xdr:nvSpPr>
        <xdr:cNvPr id="8588" name="TextBox 8587">
          <a:extLst>
            <a:ext uri="{FF2B5EF4-FFF2-40B4-BE49-F238E27FC236}">
              <a16:creationId xmlns:a16="http://schemas.microsoft.com/office/drawing/2014/main" id="{730D252D-0D67-46C3-B34E-E9E827F908B1}"/>
            </a:ext>
          </a:extLst>
        </xdr:cNvPr>
        <xdr:cNvSpPr txBox="1"/>
      </xdr:nvSpPr>
      <xdr:spPr>
        <a:xfrm>
          <a:off x="12580620" y="33718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166</xdr:row>
      <xdr:rowOff>0</xdr:rowOff>
    </xdr:from>
    <xdr:ext cx="65" cy="172227"/>
    <xdr:sp macro="" textlink="">
      <xdr:nvSpPr>
        <xdr:cNvPr id="8589" name="TextBox 8588">
          <a:extLst>
            <a:ext uri="{FF2B5EF4-FFF2-40B4-BE49-F238E27FC236}">
              <a16:creationId xmlns:a16="http://schemas.microsoft.com/office/drawing/2014/main" id="{9990EFFD-9F4F-4F06-8600-2B0BCD63518F}"/>
            </a:ext>
          </a:extLst>
        </xdr:cNvPr>
        <xdr:cNvSpPr txBox="1"/>
      </xdr:nvSpPr>
      <xdr:spPr>
        <a:xfrm>
          <a:off x="12580620" y="33718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167</xdr:row>
      <xdr:rowOff>0</xdr:rowOff>
    </xdr:from>
    <xdr:ext cx="65" cy="172227"/>
    <xdr:sp macro="" textlink="">
      <xdr:nvSpPr>
        <xdr:cNvPr id="8590" name="TextBox 8589">
          <a:extLst>
            <a:ext uri="{FF2B5EF4-FFF2-40B4-BE49-F238E27FC236}">
              <a16:creationId xmlns:a16="http://schemas.microsoft.com/office/drawing/2014/main" id="{814422C6-F7F1-4FB0-A3FC-65FE1F6BDD9A}"/>
            </a:ext>
          </a:extLst>
        </xdr:cNvPr>
        <xdr:cNvSpPr txBox="1"/>
      </xdr:nvSpPr>
      <xdr:spPr>
        <a:xfrm>
          <a:off x="12580620" y="3391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167</xdr:row>
      <xdr:rowOff>0</xdr:rowOff>
    </xdr:from>
    <xdr:ext cx="65" cy="172227"/>
    <xdr:sp macro="" textlink="">
      <xdr:nvSpPr>
        <xdr:cNvPr id="8591" name="TextBox 8590">
          <a:extLst>
            <a:ext uri="{FF2B5EF4-FFF2-40B4-BE49-F238E27FC236}">
              <a16:creationId xmlns:a16="http://schemas.microsoft.com/office/drawing/2014/main" id="{94B73C01-56EA-471C-BCF9-D2D34733244F}"/>
            </a:ext>
          </a:extLst>
        </xdr:cNvPr>
        <xdr:cNvSpPr txBox="1"/>
      </xdr:nvSpPr>
      <xdr:spPr>
        <a:xfrm>
          <a:off x="12580620" y="3391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167</xdr:row>
      <xdr:rowOff>0</xdr:rowOff>
    </xdr:from>
    <xdr:ext cx="65" cy="172227"/>
    <xdr:sp macro="" textlink="">
      <xdr:nvSpPr>
        <xdr:cNvPr id="8592" name="TextBox 8591">
          <a:extLst>
            <a:ext uri="{FF2B5EF4-FFF2-40B4-BE49-F238E27FC236}">
              <a16:creationId xmlns:a16="http://schemas.microsoft.com/office/drawing/2014/main" id="{7B216F16-976C-4499-85FA-0C2F04A21698}"/>
            </a:ext>
          </a:extLst>
        </xdr:cNvPr>
        <xdr:cNvSpPr txBox="1"/>
      </xdr:nvSpPr>
      <xdr:spPr>
        <a:xfrm>
          <a:off x="12580620" y="3391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167</xdr:row>
      <xdr:rowOff>0</xdr:rowOff>
    </xdr:from>
    <xdr:ext cx="65" cy="172227"/>
    <xdr:sp macro="" textlink="">
      <xdr:nvSpPr>
        <xdr:cNvPr id="8593" name="TextBox 8592">
          <a:extLst>
            <a:ext uri="{FF2B5EF4-FFF2-40B4-BE49-F238E27FC236}">
              <a16:creationId xmlns:a16="http://schemas.microsoft.com/office/drawing/2014/main" id="{43F889EE-0ADB-4A55-A927-A233DD6DED85}"/>
            </a:ext>
          </a:extLst>
        </xdr:cNvPr>
        <xdr:cNvSpPr txBox="1"/>
      </xdr:nvSpPr>
      <xdr:spPr>
        <a:xfrm>
          <a:off x="12580620" y="3391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167</xdr:row>
      <xdr:rowOff>0</xdr:rowOff>
    </xdr:from>
    <xdr:ext cx="65" cy="172227"/>
    <xdr:sp macro="" textlink="">
      <xdr:nvSpPr>
        <xdr:cNvPr id="8594" name="TextBox 8593">
          <a:extLst>
            <a:ext uri="{FF2B5EF4-FFF2-40B4-BE49-F238E27FC236}">
              <a16:creationId xmlns:a16="http://schemas.microsoft.com/office/drawing/2014/main" id="{C2E5D2F2-C3D3-4076-9C23-6385C6170403}"/>
            </a:ext>
          </a:extLst>
        </xdr:cNvPr>
        <xdr:cNvSpPr txBox="1"/>
      </xdr:nvSpPr>
      <xdr:spPr>
        <a:xfrm>
          <a:off x="12580620" y="3391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167</xdr:row>
      <xdr:rowOff>0</xdr:rowOff>
    </xdr:from>
    <xdr:ext cx="65" cy="172227"/>
    <xdr:sp macro="" textlink="">
      <xdr:nvSpPr>
        <xdr:cNvPr id="8595" name="TextBox 8594">
          <a:extLst>
            <a:ext uri="{FF2B5EF4-FFF2-40B4-BE49-F238E27FC236}">
              <a16:creationId xmlns:a16="http://schemas.microsoft.com/office/drawing/2014/main" id="{0CC0DEC7-C3AF-42EA-94EC-D350CBC31A99}"/>
            </a:ext>
          </a:extLst>
        </xdr:cNvPr>
        <xdr:cNvSpPr txBox="1"/>
      </xdr:nvSpPr>
      <xdr:spPr>
        <a:xfrm>
          <a:off x="12580620" y="3391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167</xdr:row>
      <xdr:rowOff>0</xdr:rowOff>
    </xdr:from>
    <xdr:ext cx="65" cy="172227"/>
    <xdr:sp macro="" textlink="">
      <xdr:nvSpPr>
        <xdr:cNvPr id="8596" name="TextBox 8595">
          <a:extLst>
            <a:ext uri="{FF2B5EF4-FFF2-40B4-BE49-F238E27FC236}">
              <a16:creationId xmlns:a16="http://schemas.microsoft.com/office/drawing/2014/main" id="{0E9B8ACD-B1D8-4CC2-8F2B-ECCD4EEDCDD3}"/>
            </a:ext>
          </a:extLst>
        </xdr:cNvPr>
        <xdr:cNvSpPr txBox="1"/>
      </xdr:nvSpPr>
      <xdr:spPr>
        <a:xfrm>
          <a:off x="12580620" y="3391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167</xdr:row>
      <xdr:rowOff>0</xdr:rowOff>
    </xdr:from>
    <xdr:ext cx="65" cy="172227"/>
    <xdr:sp macro="" textlink="">
      <xdr:nvSpPr>
        <xdr:cNvPr id="8597" name="TextBox 8596">
          <a:extLst>
            <a:ext uri="{FF2B5EF4-FFF2-40B4-BE49-F238E27FC236}">
              <a16:creationId xmlns:a16="http://schemas.microsoft.com/office/drawing/2014/main" id="{6AAA95AE-55AC-41D4-94A1-E9CA12E9F664}"/>
            </a:ext>
          </a:extLst>
        </xdr:cNvPr>
        <xdr:cNvSpPr txBox="1"/>
      </xdr:nvSpPr>
      <xdr:spPr>
        <a:xfrm>
          <a:off x="12580620" y="3391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167</xdr:row>
      <xdr:rowOff>0</xdr:rowOff>
    </xdr:from>
    <xdr:ext cx="65" cy="172227"/>
    <xdr:sp macro="" textlink="">
      <xdr:nvSpPr>
        <xdr:cNvPr id="8598" name="TextBox 8597">
          <a:extLst>
            <a:ext uri="{FF2B5EF4-FFF2-40B4-BE49-F238E27FC236}">
              <a16:creationId xmlns:a16="http://schemas.microsoft.com/office/drawing/2014/main" id="{4C69E6E3-6117-4172-828A-23771510E437}"/>
            </a:ext>
          </a:extLst>
        </xdr:cNvPr>
        <xdr:cNvSpPr txBox="1"/>
      </xdr:nvSpPr>
      <xdr:spPr>
        <a:xfrm>
          <a:off x="12580620" y="3391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167</xdr:row>
      <xdr:rowOff>0</xdr:rowOff>
    </xdr:from>
    <xdr:ext cx="65" cy="172227"/>
    <xdr:sp macro="" textlink="">
      <xdr:nvSpPr>
        <xdr:cNvPr id="8599" name="TextBox 8598">
          <a:extLst>
            <a:ext uri="{FF2B5EF4-FFF2-40B4-BE49-F238E27FC236}">
              <a16:creationId xmlns:a16="http://schemas.microsoft.com/office/drawing/2014/main" id="{80091CAE-A51D-45EF-8456-4D0E39313CEE}"/>
            </a:ext>
          </a:extLst>
        </xdr:cNvPr>
        <xdr:cNvSpPr txBox="1"/>
      </xdr:nvSpPr>
      <xdr:spPr>
        <a:xfrm>
          <a:off x="12580620" y="3391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167</xdr:row>
      <xdr:rowOff>0</xdr:rowOff>
    </xdr:from>
    <xdr:ext cx="65" cy="172227"/>
    <xdr:sp macro="" textlink="">
      <xdr:nvSpPr>
        <xdr:cNvPr id="8600" name="TextBox 8599">
          <a:extLst>
            <a:ext uri="{FF2B5EF4-FFF2-40B4-BE49-F238E27FC236}">
              <a16:creationId xmlns:a16="http://schemas.microsoft.com/office/drawing/2014/main" id="{9DD43BA4-AF1C-4C57-B63D-37574DCECEF0}"/>
            </a:ext>
          </a:extLst>
        </xdr:cNvPr>
        <xdr:cNvSpPr txBox="1"/>
      </xdr:nvSpPr>
      <xdr:spPr>
        <a:xfrm>
          <a:off x="12580620" y="3391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167</xdr:row>
      <xdr:rowOff>0</xdr:rowOff>
    </xdr:from>
    <xdr:ext cx="65" cy="172227"/>
    <xdr:sp macro="" textlink="">
      <xdr:nvSpPr>
        <xdr:cNvPr id="8601" name="TextBox 8600">
          <a:extLst>
            <a:ext uri="{FF2B5EF4-FFF2-40B4-BE49-F238E27FC236}">
              <a16:creationId xmlns:a16="http://schemas.microsoft.com/office/drawing/2014/main" id="{AC6DDDCC-2F8C-4254-9032-9069AAB9C043}"/>
            </a:ext>
          </a:extLst>
        </xdr:cNvPr>
        <xdr:cNvSpPr txBox="1"/>
      </xdr:nvSpPr>
      <xdr:spPr>
        <a:xfrm>
          <a:off x="12580620" y="3391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167</xdr:row>
      <xdr:rowOff>0</xdr:rowOff>
    </xdr:from>
    <xdr:ext cx="65" cy="172227"/>
    <xdr:sp macro="" textlink="">
      <xdr:nvSpPr>
        <xdr:cNvPr id="8602" name="TextBox 8601">
          <a:extLst>
            <a:ext uri="{FF2B5EF4-FFF2-40B4-BE49-F238E27FC236}">
              <a16:creationId xmlns:a16="http://schemas.microsoft.com/office/drawing/2014/main" id="{9D7DF2F8-D5BB-4957-B3C9-B9719926E87E}"/>
            </a:ext>
          </a:extLst>
        </xdr:cNvPr>
        <xdr:cNvSpPr txBox="1"/>
      </xdr:nvSpPr>
      <xdr:spPr>
        <a:xfrm>
          <a:off x="12580620" y="3391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167</xdr:row>
      <xdr:rowOff>0</xdr:rowOff>
    </xdr:from>
    <xdr:ext cx="65" cy="172227"/>
    <xdr:sp macro="" textlink="">
      <xdr:nvSpPr>
        <xdr:cNvPr id="8603" name="TextBox 8602">
          <a:extLst>
            <a:ext uri="{FF2B5EF4-FFF2-40B4-BE49-F238E27FC236}">
              <a16:creationId xmlns:a16="http://schemas.microsoft.com/office/drawing/2014/main" id="{885C5DC7-791F-42DF-A8BD-D97FC586EB33}"/>
            </a:ext>
          </a:extLst>
        </xdr:cNvPr>
        <xdr:cNvSpPr txBox="1"/>
      </xdr:nvSpPr>
      <xdr:spPr>
        <a:xfrm>
          <a:off x="12580620" y="3391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168</xdr:row>
      <xdr:rowOff>0</xdr:rowOff>
    </xdr:from>
    <xdr:ext cx="65" cy="172227"/>
    <xdr:sp macro="" textlink="">
      <xdr:nvSpPr>
        <xdr:cNvPr id="8604" name="TextBox 8603">
          <a:extLst>
            <a:ext uri="{FF2B5EF4-FFF2-40B4-BE49-F238E27FC236}">
              <a16:creationId xmlns:a16="http://schemas.microsoft.com/office/drawing/2014/main" id="{ECB0671C-2391-4309-AA2E-8A53AD8A8084}"/>
            </a:ext>
          </a:extLst>
        </xdr:cNvPr>
        <xdr:cNvSpPr txBox="1"/>
      </xdr:nvSpPr>
      <xdr:spPr>
        <a:xfrm>
          <a:off x="12580620" y="34114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168</xdr:row>
      <xdr:rowOff>0</xdr:rowOff>
    </xdr:from>
    <xdr:ext cx="65" cy="172227"/>
    <xdr:sp macro="" textlink="">
      <xdr:nvSpPr>
        <xdr:cNvPr id="8605" name="TextBox 8604">
          <a:extLst>
            <a:ext uri="{FF2B5EF4-FFF2-40B4-BE49-F238E27FC236}">
              <a16:creationId xmlns:a16="http://schemas.microsoft.com/office/drawing/2014/main" id="{2BA66E58-2D0D-4F51-9847-F8E27C7ABD95}"/>
            </a:ext>
          </a:extLst>
        </xdr:cNvPr>
        <xdr:cNvSpPr txBox="1"/>
      </xdr:nvSpPr>
      <xdr:spPr>
        <a:xfrm>
          <a:off x="12580620" y="34114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168</xdr:row>
      <xdr:rowOff>0</xdr:rowOff>
    </xdr:from>
    <xdr:ext cx="65" cy="172227"/>
    <xdr:sp macro="" textlink="">
      <xdr:nvSpPr>
        <xdr:cNvPr id="8606" name="TextBox 8605">
          <a:extLst>
            <a:ext uri="{FF2B5EF4-FFF2-40B4-BE49-F238E27FC236}">
              <a16:creationId xmlns:a16="http://schemas.microsoft.com/office/drawing/2014/main" id="{18920596-064C-460E-B316-496DB4E45844}"/>
            </a:ext>
          </a:extLst>
        </xdr:cNvPr>
        <xdr:cNvSpPr txBox="1"/>
      </xdr:nvSpPr>
      <xdr:spPr>
        <a:xfrm>
          <a:off x="12580620" y="34114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168</xdr:row>
      <xdr:rowOff>0</xdr:rowOff>
    </xdr:from>
    <xdr:ext cx="65" cy="172227"/>
    <xdr:sp macro="" textlink="">
      <xdr:nvSpPr>
        <xdr:cNvPr id="8607" name="TextBox 8606">
          <a:extLst>
            <a:ext uri="{FF2B5EF4-FFF2-40B4-BE49-F238E27FC236}">
              <a16:creationId xmlns:a16="http://schemas.microsoft.com/office/drawing/2014/main" id="{F4D28A7F-48B2-4963-9A9A-62ACB40E05E2}"/>
            </a:ext>
          </a:extLst>
        </xdr:cNvPr>
        <xdr:cNvSpPr txBox="1"/>
      </xdr:nvSpPr>
      <xdr:spPr>
        <a:xfrm>
          <a:off x="12580620" y="34114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168</xdr:row>
      <xdr:rowOff>0</xdr:rowOff>
    </xdr:from>
    <xdr:ext cx="65" cy="172227"/>
    <xdr:sp macro="" textlink="">
      <xdr:nvSpPr>
        <xdr:cNvPr id="8608" name="TextBox 8607">
          <a:extLst>
            <a:ext uri="{FF2B5EF4-FFF2-40B4-BE49-F238E27FC236}">
              <a16:creationId xmlns:a16="http://schemas.microsoft.com/office/drawing/2014/main" id="{172601BB-A273-48D3-8594-24B9080CE122}"/>
            </a:ext>
          </a:extLst>
        </xdr:cNvPr>
        <xdr:cNvSpPr txBox="1"/>
      </xdr:nvSpPr>
      <xdr:spPr>
        <a:xfrm>
          <a:off x="12580620" y="34114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168</xdr:row>
      <xdr:rowOff>0</xdr:rowOff>
    </xdr:from>
    <xdr:ext cx="65" cy="172227"/>
    <xdr:sp macro="" textlink="">
      <xdr:nvSpPr>
        <xdr:cNvPr id="8609" name="TextBox 8608">
          <a:extLst>
            <a:ext uri="{FF2B5EF4-FFF2-40B4-BE49-F238E27FC236}">
              <a16:creationId xmlns:a16="http://schemas.microsoft.com/office/drawing/2014/main" id="{DCEB6B4C-AC98-453D-8FBD-D6ACAFC39AC3}"/>
            </a:ext>
          </a:extLst>
        </xdr:cNvPr>
        <xdr:cNvSpPr txBox="1"/>
      </xdr:nvSpPr>
      <xdr:spPr>
        <a:xfrm>
          <a:off x="12580620" y="34114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168</xdr:row>
      <xdr:rowOff>0</xdr:rowOff>
    </xdr:from>
    <xdr:ext cx="65" cy="172227"/>
    <xdr:sp macro="" textlink="">
      <xdr:nvSpPr>
        <xdr:cNvPr id="8610" name="TextBox 8609">
          <a:extLst>
            <a:ext uri="{FF2B5EF4-FFF2-40B4-BE49-F238E27FC236}">
              <a16:creationId xmlns:a16="http://schemas.microsoft.com/office/drawing/2014/main" id="{5C17ED80-7961-4DC1-BB2A-9DE0F404EDC8}"/>
            </a:ext>
          </a:extLst>
        </xdr:cNvPr>
        <xdr:cNvSpPr txBox="1"/>
      </xdr:nvSpPr>
      <xdr:spPr>
        <a:xfrm>
          <a:off x="12580620" y="34114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168</xdr:row>
      <xdr:rowOff>0</xdr:rowOff>
    </xdr:from>
    <xdr:ext cx="65" cy="172227"/>
    <xdr:sp macro="" textlink="">
      <xdr:nvSpPr>
        <xdr:cNvPr id="8611" name="TextBox 8610">
          <a:extLst>
            <a:ext uri="{FF2B5EF4-FFF2-40B4-BE49-F238E27FC236}">
              <a16:creationId xmlns:a16="http://schemas.microsoft.com/office/drawing/2014/main" id="{4C33F016-B4F3-4770-A984-CB3509151E10}"/>
            </a:ext>
          </a:extLst>
        </xdr:cNvPr>
        <xdr:cNvSpPr txBox="1"/>
      </xdr:nvSpPr>
      <xdr:spPr>
        <a:xfrm>
          <a:off x="12580620" y="34114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168</xdr:row>
      <xdr:rowOff>0</xdr:rowOff>
    </xdr:from>
    <xdr:ext cx="65" cy="172227"/>
    <xdr:sp macro="" textlink="">
      <xdr:nvSpPr>
        <xdr:cNvPr id="8612" name="TextBox 8611">
          <a:extLst>
            <a:ext uri="{FF2B5EF4-FFF2-40B4-BE49-F238E27FC236}">
              <a16:creationId xmlns:a16="http://schemas.microsoft.com/office/drawing/2014/main" id="{EFF9D53C-A808-48B1-8B77-26200548DBEC}"/>
            </a:ext>
          </a:extLst>
        </xdr:cNvPr>
        <xdr:cNvSpPr txBox="1"/>
      </xdr:nvSpPr>
      <xdr:spPr>
        <a:xfrm>
          <a:off x="12580620" y="34114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168</xdr:row>
      <xdr:rowOff>0</xdr:rowOff>
    </xdr:from>
    <xdr:ext cx="65" cy="172227"/>
    <xdr:sp macro="" textlink="">
      <xdr:nvSpPr>
        <xdr:cNvPr id="8613" name="TextBox 8612">
          <a:extLst>
            <a:ext uri="{FF2B5EF4-FFF2-40B4-BE49-F238E27FC236}">
              <a16:creationId xmlns:a16="http://schemas.microsoft.com/office/drawing/2014/main" id="{FA418557-798D-467D-A76C-EE7890605501}"/>
            </a:ext>
          </a:extLst>
        </xdr:cNvPr>
        <xdr:cNvSpPr txBox="1"/>
      </xdr:nvSpPr>
      <xdr:spPr>
        <a:xfrm>
          <a:off x="12580620" y="34114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168</xdr:row>
      <xdr:rowOff>0</xdr:rowOff>
    </xdr:from>
    <xdr:ext cx="65" cy="172227"/>
    <xdr:sp macro="" textlink="">
      <xdr:nvSpPr>
        <xdr:cNvPr id="8614" name="TextBox 8613">
          <a:extLst>
            <a:ext uri="{FF2B5EF4-FFF2-40B4-BE49-F238E27FC236}">
              <a16:creationId xmlns:a16="http://schemas.microsoft.com/office/drawing/2014/main" id="{21D68521-84F2-4531-8046-00DBA48566ED}"/>
            </a:ext>
          </a:extLst>
        </xdr:cNvPr>
        <xdr:cNvSpPr txBox="1"/>
      </xdr:nvSpPr>
      <xdr:spPr>
        <a:xfrm>
          <a:off x="12580620" y="34114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168</xdr:row>
      <xdr:rowOff>0</xdr:rowOff>
    </xdr:from>
    <xdr:ext cx="65" cy="172227"/>
    <xdr:sp macro="" textlink="">
      <xdr:nvSpPr>
        <xdr:cNvPr id="8615" name="TextBox 8614">
          <a:extLst>
            <a:ext uri="{FF2B5EF4-FFF2-40B4-BE49-F238E27FC236}">
              <a16:creationId xmlns:a16="http://schemas.microsoft.com/office/drawing/2014/main" id="{7E3702C8-4005-40F4-BBE4-677EE0EBC8C6}"/>
            </a:ext>
          </a:extLst>
        </xdr:cNvPr>
        <xdr:cNvSpPr txBox="1"/>
      </xdr:nvSpPr>
      <xdr:spPr>
        <a:xfrm>
          <a:off x="12580620" y="34114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168</xdr:row>
      <xdr:rowOff>0</xdr:rowOff>
    </xdr:from>
    <xdr:ext cx="65" cy="172227"/>
    <xdr:sp macro="" textlink="">
      <xdr:nvSpPr>
        <xdr:cNvPr id="8616" name="TextBox 8615">
          <a:extLst>
            <a:ext uri="{FF2B5EF4-FFF2-40B4-BE49-F238E27FC236}">
              <a16:creationId xmlns:a16="http://schemas.microsoft.com/office/drawing/2014/main" id="{901C38A0-4573-45A4-AB5F-5E059FBD5A7F}"/>
            </a:ext>
          </a:extLst>
        </xdr:cNvPr>
        <xdr:cNvSpPr txBox="1"/>
      </xdr:nvSpPr>
      <xdr:spPr>
        <a:xfrm>
          <a:off x="12580620" y="34114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168</xdr:row>
      <xdr:rowOff>0</xdr:rowOff>
    </xdr:from>
    <xdr:ext cx="65" cy="172227"/>
    <xdr:sp macro="" textlink="">
      <xdr:nvSpPr>
        <xdr:cNvPr id="8617" name="TextBox 8616">
          <a:extLst>
            <a:ext uri="{FF2B5EF4-FFF2-40B4-BE49-F238E27FC236}">
              <a16:creationId xmlns:a16="http://schemas.microsoft.com/office/drawing/2014/main" id="{7FBA9B72-EE01-4534-8518-8EA16BED9E21}"/>
            </a:ext>
          </a:extLst>
        </xdr:cNvPr>
        <xdr:cNvSpPr txBox="1"/>
      </xdr:nvSpPr>
      <xdr:spPr>
        <a:xfrm>
          <a:off x="12580620" y="34114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169</xdr:row>
      <xdr:rowOff>0</xdr:rowOff>
    </xdr:from>
    <xdr:ext cx="65" cy="172227"/>
    <xdr:sp macro="" textlink="">
      <xdr:nvSpPr>
        <xdr:cNvPr id="8618" name="TextBox 8617">
          <a:extLst>
            <a:ext uri="{FF2B5EF4-FFF2-40B4-BE49-F238E27FC236}">
              <a16:creationId xmlns:a16="http://schemas.microsoft.com/office/drawing/2014/main" id="{426DB5AA-6FC9-423D-9449-25C7957564C9}"/>
            </a:ext>
          </a:extLst>
        </xdr:cNvPr>
        <xdr:cNvSpPr txBox="1"/>
      </xdr:nvSpPr>
      <xdr:spPr>
        <a:xfrm>
          <a:off x="12580620" y="34312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169</xdr:row>
      <xdr:rowOff>0</xdr:rowOff>
    </xdr:from>
    <xdr:ext cx="65" cy="172227"/>
    <xdr:sp macro="" textlink="">
      <xdr:nvSpPr>
        <xdr:cNvPr id="8619" name="TextBox 8618">
          <a:extLst>
            <a:ext uri="{FF2B5EF4-FFF2-40B4-BE49-F238E27FC236}">
              <a16:creationId xmlns:a16="http://schemas.microsoft.com/office/drawing/2014/main" id="{BC83585C-9C69-4536-8284-B8DAE2F523BE}"/>
            </a:ext>
          </a:extLst>
        </xdr:cNvPr>
        <xdr:cNvSpPr txBox="1"/>
      </xdr:nvSpPr>
      <xdr:spPr>
        <a:xfrm>
          <a:off x="12580620" y="34312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169</xdr:row>
      <xdr:rowOff>0</xdr:rowOff>
    </xdr:from>
    <xdr:ext cx="65" cy="172227"/>
    <xdr:sp macro="" textlink="">
      <xdr:nvSpPr>
        <xdr:cNvPr id="8620" name="TextBox 8619">
          <a:extLst>
            <a:ext uri="{FF2B5EF4-FFF2-40B4-BE49-F238E27FC236}">
              <a16:creationId xmlns:a16="http://schemas.microsoft.com/office/drawing/2014/main" id="{B45223F6-D770-4D4E-AFD5-6343F2A04C94}"/>
            </a:ext>
          </a:extLst>
        </xdr:cNvPr>
        <xdr:cNvSpPr txBox="1"/>
      </xdr:nvSpPr>
      <xdr:spPr>
        <a:xfrm>
          <a:off x="12580620" y="34312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169</xdr:row>
      <xdr:rowOff>0</xdr:rowOff>
    </xdr:from>
    <xdr:ext cx="65" cy="172227"/>
    <xdr:sp macro="" textlink="">
      <xdr:nvSpPr>
        <xdr:cNvPr id="8621" name="TextBox 8620">
          <a:extLst>
            <a:ext uri="{FF2B5EF4-FFF2-40B4-BE49-F238E27FC236}">
              <a16:creationId xmlns:a16="http://schemas.microsoft.com/office/drawing/2014/main" id="{34B374C8-857A-49A0-9D4C-7CAE2C2CB443}"/>
            </a:ext>
          </a:extLst>
        </xdr:cNvPr>
        <xdr:cNvSpPr txBox="1"/>
      </xdr:nvSpPr>
      <xdr:spPr>
        <a:xfrm>
          <a:off x="12580620" y="34312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169</xdr:row>
      <xdr:rowOff>0</xdr:rowOff>
    </xdr:from>
    <xdr:ext cx="65" cy="172227"/>
    <xdr:sp macro="" textlink="">
      <xdr:nvSpPr>
        <xdr:cNvPr id="8622" name="TextBox 8621">
          <a:extLst>
            <a:ext uri="{FF2B5EF4-FFF2-40B4-BE49-F238E27FC236}">
              <a16:creationId xmlns:a16="http://schemas.microsoft.com/office/drawing/2014/main" id="{5EEC0772-7EA1-4458-AA65-02027BB8921F}"/>
            </a:ext>
          </a:extLst>
        </xdr:cNvPr>
        <xdr:cNvSpPr txBox="1"/>
      </xdr:nvSpPr>
      <xdr:spPr>
        <a:xfrm>
          <a:off x="12580620" y="34312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169</xdr:row>
      <xdr:rowOff>0</xdr:rowOff>
    </xdr:from>
    <xdr:ext cx="65" cy="172227"/>
    <xdr:sp macro="" textlink="">
      <xdr:nvSpPr>
        <xdr:cNvPr id="8623" name="TextBox 8622">
          <a:extLst>
            <a:ext uri="{FF2B5EF4-FFF2-40B4-BE49-F238E27FC236}">
              <a16:creationId xmlns:a16="http://schemas.microsoft.com/office/drawing/2014/main" id="{5E3A13B2-FB15-40B6-97CA-49C539BFB70B}"/>
            </a:ext>
          </a:extLst>
        </xdr:cNvPr>
        <xdr:cNvSpPr txBox="1"/>
      </xdr:nvSpPr>
      <xdr:spPr>
        <a:xfrm>
          <a:off x="12580620" y="34312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169</xdr:row>
      <xdr:rowOff>0</xdr:rowOff>
    </xdr:from>
    <xdr:ext cx="65" cy="172227"/>
    <xdr:sp macro="" textlink="">
      <xdr:nvSpPr>
        <xdr:cNvPr id="8624" name="TextBox 8623">
          <a:extLst>
            <a:ext uri="{FF2B5EF4-FFF2-40B4-BE49-F238E27FC236}">
              <a16:creationId xmlns:a16="http://schemas.microsoft.com/office/drawing/2014/main" id="{300407A3-C557-4019-9095-C2A56A5C7274}"/>
            </a:ext>
          </a:extLst>
        </xdr:cNvPr>
        <xdr:cNvSpPr txBox="1"/>
      </xdr:nvSpPr>
      <xdr:spPr>
        <a:xfrm>
          <a:off x="12580620" y="34312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169</xdr:row>
      <xdr:rowOff>0</xdr:rowOff>
    </xdr:from>
    <xdr:ext cx="65" cy="172227"/>
    <xdr:sp macro="" textlink="">
      <xdr:nvSpPr>
        <xdr:cNvPr id="8625" name="TextBox 8624">
          <a:extLst>
            <a:ext uri="{FF2B5EF4-FFF2-40B4-BE49-F238E27FC236}">
              <a16:creationId xmlns:a16="http://schemas.microsoft.com/office/drawing/2014/main" id="{1F3D0B01-720C-4727-9D79-BB8336620EEA}"/>
            </a:ext>
          </a:extLst>
        </xdr:cNvPr>
        <xdr:cNvSpPr txBox="1"/>
      </xdr:nvSpPr>
      <xdr:spPr>
        <a:xfrm>
          <a:off x="12580620" y="34312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169</xdr:row>
      <xdr:rowOff>0</xdr:rowOff>
    </xdr:from>
    <xdr:ext cx="65" cy="172227"/>
    <xdr:sp macro="" textlink="">
      <xdr:nvSpPr>
        <xdr:cNvPr id="8626" name="TextBox 8625">
          <a:extLst>
            <a:ext uri="{FF2B5EF4-FFF2-40B4-BE49-F238E27FC236}">
              <a16:creationId xmlns:a16="http://schemas.microsoft.com/office/drawing/2014/main" id="{99F8E329-40E6-4FA7-A8BC-BA62A66CDF50}"/>
            </a:ext>
          </a:extLst>
        </xdr:cNvPr>
        <xdr:cNvSpPr txBox="1"/>
      </xdr:nvSpPr>
      <xdr:spPr>
        <a:xfrm>
          <a:off x="12580620" y="34312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169</xdr:row>
      <xdr:rowOff>0</xdr:rowOff>
    </xdr:from>
    <xdr:ext cx="65" cy="172227"/>
    <xdr:sp macro="" textlink="">
      <xdr:nvSpPr>
        <xdr:cNvPr id="8627" name="TextBox 8626">
          <a:extLst>
            <a:ext uri="{FF2B5EF4-FFF2-40B4-BE49-F238E27FC236}">
              <a16:creationId xmlns:a16="http://schemas.microsoft.com/office/drawing/2014/main" id="{3A6C9952-D7D6-4E8D-A218-97ED16A4DC22}"/>
            </a:ext>
          </a:extLst>
        </xdr:cNvPr>
        <xdr:cNvSpPr txBox="1"/>
      </xdr:nvSpPr>
      <xdr:spPr>
        <a:xfrm>
          <a:off x="12580620" y="34312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169</xdr:row>
      <xdr:rowOff>0</xdr:rowOff>
    </xdr:from>
    <xdr:ext cx="65" cy="172227"/>
    <xdr:sp macro="" textlink="">
      <xdr:nvSpPr>
        <xdr:cNvPr id="8628" name="TextBox 8627">
          <a:extLst>
            <a:ext uri="{FF2B5EF4-FFF2-40B4-BE49-F238E27FC236}">
              <a16:creationId xmlns:a16="http://schemas.microsoft.com/office/drawing/2014/main" id="{C8040D33-2531-4CFD-ACDA-3AB6A0640E12}"/>
            </a:ext>
          </a:extLst>
        </xdr:cNvPr>
        <xdr:cNvSpPr txBox="1"/>
      </xdr:nvSpPr>
      <xdr:spPr>
        <a:xfrm>
          <a:off x="12580620" y="34312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169</xdr:row>
      <xdr:rowOff>0</xdr:rowOff>
    </xdr:from>
    <xdr:ext cx="65" cy="172227"/>
    <xdr:sp macro="" textlink="">
      <xdr:nvSpPr>
        <xdr:cNvPr id="8629" name="TextBox 8628">
          <a:extLst>
            <a:ext uri="{FF2B5EF4-FFF2-40B4-BE49-F238E27FC236}">
              <a16:creationId xmlns:a16="http://schemas.microsoft.com/office/drawing/2014/main" id="{3C0AF1C8-79B0-4643-A069-89270333C6DC}"/>
            </a:ext>
          </a:extLst>
        </xdr:cNvPr>
        <xdr:cNvSpPr txBox="1"/>
      </xdr:nvSpPr>
      <xdr:spPr>
        <a:xfrm>
          <a:off x="12580620" y="34312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169</xdr:row>
      <xdr:rowOff>0</xdr:rowOff>
    </xdr:from>
    <xdr:ext cx="65" cy="172227"/>
    <xdr:sp macro="" textlink="">
      <xdr:nvSpPr>
        <xdr:cNvPr id="8630" name="TextBox 8629">
          <a:extLst>
            <a:ext uri="{FF2B5EF4-FFF2-40B4-BE49-F238E27FC236}">
              <a16:creationId xmlns:a16="http://schemas.microsoft.com/office/drawing/2014/main" id="{5A7E7A0E-EDDF-41BF-B4D7-992EB5D8E0E9}"/>
            </a:ext>
          </a:extLst>
        </xdr:cNvPr>
        <xdr:cNvSpPr txBox="1"/>
      </xdr:nvSpPr>
      <xdr:spPr>
        <a:xfrm>
          <a:off x="12580620" y="34312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169</xdr:row>
      <xdr:rowOff>0</xdr:rowOff>
    </xdr:from>
    <xdr:ext cx="65" cy="172227"/>
    <xdr:sp macro="" textlink="">
      <xdr:nvSpPr>
        <xdr:cNvPr id="8631" name="TextBox 8630">
          <a:extLst>
            <a:ext uri="{FF2B5EF4-FFF2-40B4-BE49-F238E27FC236}">
              <a16:creationId xmlns:a16="http://schemas.microsoft.com/office/drawing/2014/main" id="{48A4571A-2A6B-43E6-8307-D257FEE252B5}"/>
            </a:ext>
          </a:extLst>
        </xdr:cNvPr>
        <xdr:cNvSpPr txBox="1"/>
      </xdr:nvSpPr>
      <xdr:spPr>
        <a:xfrm>
          <a:off x="12580620" y="34312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632" name="TextBox 8631">
          <a:extLst>
            <a:ext uri="{FF2B5EF4-FFF2-40B4-BE49-F238E27FC236}">
              <a16:creationId xmlns:a16="http://schemas.microsoft.com/office/drawing/2014/main" id="{623A75F4-F705-462F-8E79-246F85160AAD}"/>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633" name="TextBox 8632">
          <a:extLst>
            <a:ext uri="{FF2B5EF4-FFF2-40B4-BE49-F238E27FC236}">
              <a16:creationId xmlns:a16="http://schemas.microsoft.com/office/drawing/2014/main" id="{4E29F2DA-9348-42B5-BB55-6B3A5D9FAF25}"/>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634" name="TextBox 8633">
          <a:extLst>
            <a:ext uri="{FF2B5EF4-FFF2-40B4-BE49-F238E27FC236}">
              <a16:creationId xmlns:a16="http://schemas.microsoft.com/office/drawing/2014/main" id="{34C7F6FA-7ACD-4131-A891-C0638BAE509C}"/>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635" name="TextBox 8634">
          <a:extLst>
            <a:ext uri="{FF2B5EF4-FFF2-40B4-BE49-F238E27FC236}">
              <a16:creationId xmlns:a16="http://schemas.microsoft.com/office/drawing/2014/main" id="{D16D5385-8B51-4897-AE61-34820A94E9DF}"/>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636" name="TextBox 8635">
          <a:extLst>
            <a:ext uri="{FF2B5EF4-FFF2-40B4-BE49-F238E27FC236}">
              <a16:creationId xmlns:a16="http://schemas.microsoft.com/office/drawing/2014/main" id="{666E924C-F5E4-46BD-AB9C-EDC7840B3D62}"/>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637" name="TextBox 8636">
          <a:extLst>
            <a:ext uri="{FF2B5EF4-FFF2-40B4-BE49-F238E27FC236}">
              <a16:creationId xmlns:a16="http://schemas.microsoft.com/office/drawing/2014/main" id="{04F6DCCF-81E6-4D9C-BBE5-0FE11829EB62}"/>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638" name="TextBox 8637">
          <a:extLst>
            <a:ext uri="{FF2B5EF4-FFF2-40B4-BE49-F238E27FC236}">
              <a16:creationId xmlns:a16="http://schemas.microsoft.com/office/drawing/2014/main" id="{0A3CD22E-52BD-4F8A-A852-EBC438CEF8B9}"/>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639" name="TextBox 8638">
          <a:extLst>
            <a:ext uri="{FF2B5EF4-FFF2-40B4-BE49-F238E27FC236}">
              <a16:creationId xmlns:a16="http://schemas.microsoft.com/office/drawing/2014/main" id="{74F25AF8-7664-484F-9098-DD8D23F2C65E}"/>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640" name="TextBox 8639">
          <a:extLst>
            <a:ext uri="{FF2B5EF4-FFF2-40B4-BE49-F238E27FC236}">
              <a16:creationId xmlns:a16="http://schemas.microsoft.com/office/drawing/2014/main" id="{83638271-DD25-44DC-8194-15E5B58C9A78}"/>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641" name="TextBox 8640">
          <a:extLst>
            <a:ext uri="{FF2B5EF4-FFF2-40B4-BE49-F238E27FC236}">
              <a16:creationId xmlns:a16="http://schemas.microsoft.com/office/drawing/2014/main" id="{45F96C37-B2D1-4DAD-B728-42780FCE09DC}"/>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642" name="TextBox 8641">
          <a:extLst>
            <a:ext uri="{FF2B5EF4-FFF2-40B4-BE49-F238E27FC236}">
              <a16:creationId xmlns:a16="http://schemas.microsoft.com/office/drawing/2014/main" id="{5B864850-A32F-4BE1-B2F6-755710BA5E74}"/>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643" name="TextBox 8642">
          <a:extLst>
            <a:ext uri="{FF2B5EF4-FFF2-40B4-BE49-F238E27FC236}">
              <a16:creationId xmlns:a16="http://schemas.microsoft.com/office/drawing/2014/main" id="{533C4A28-6FDB-4015-806A-954FFCB9E002}"/>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644" name="TextBox 8643">
          <a:extLst>
            <a:ext uri="{FF2B5EF4-FFF2-40B4-BE49-F238E27FC236}">
              <a16:creationId xmlns:a16="http://schemas.microsoft.com/office/drawing/2014/main" id="{F81618F8-798E-4259-A44E-219F7048A50E}"/>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645" name="TextBox 8644">
          <a:extLst>
            <a:ext uri="{FF2B5EF4-FFF2-40B4-BE49-F238E27FC236}">
              <a16:creationId xmlns:a16="http://schemas.microsoft.com/office/drawing/2014/main" id="{A63E9D8D-03B4-49C6-8EE3-9531081E5966}"/>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646" name="TextBox 8645">
          <a:extLst>
            <a:ext uri="{FF2B5EF4-FFF2-40B4-BE49-F238E27FC236}">
              <a16:creationId xmlns:a16="http://schemas.microsoft.com/office/drawing/2014/main" id="{02981572-A59D-45EA-9323-2F6796BD3C36}"/>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647" name="TextBox 8646">
          <a:extLst>
            <a:ext uri="{FF2B5EF4-FFF2-40B4-BE49-F238E27FC236}">
              <a16:creationId xmlns:a16="http://schemas.microsoft.com/office/drawing/2014/main" id="{E26D2993-630D-40D5-AC2D-BC5DFFBA943A}"/>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648" name="TextBox 8647">
          <a:extLst>
            <a:ext uri="{FF2B5EF4-FFF2-40B4-BE49-F238E27FC236}">
              <a16:creationId xmlns:a16="http://schemas.microsoft.com/office/drawing/2014/main" id="{B07A0205-A716-49AE-AC45-DDD62CC50BB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649" name="TextBox 8648">
          <a:extLst>
            <a:ext uri="{FF2B5EF4-FFF2-40B4-BE49-F238E27FC236}">
              <a16:creationId xmlns:a16="http://schemas.microsoft.com/office/drawing/2014/main" id="{110466E8-A909-405D-8383-2285258737C1}"/>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650" name="TextBox 8649">
          <a:extLst>
            <a:ext uri="{FF2B5EF4-FFF2-40B4-BE49-F238E27FC236}">
              <a16:creationId xmlns:a16="http://schemas.microsoft.com/office/drawing/2014/main" id="{86BF8DD8-D284-4847-AA46-262B390B3D11}"/>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651" name="TextBox 8650">
          <a:extLst>
            <a:ext uri="{FF2B5EF4-FFF2-40B4-BE49-F238E27FC236}">
              <a16:creationId xmlns:a16="http://schemas.microsoft.com/office/drawing/2014/main" id="{93A078A7-6A92-4AE1-8FA1-A4AB25D34993}"/>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652" name="TextBox 8651">
          <a:extLst>
            <a:ext uri="{FF2B5EF4-FFF2-40B4-BE49-F238E27FC236}">
              <a16:creationId xmlns:a16="http://schemas.microsoft.com/office/drawing/2014/main" id="{7A960991-568F-468E-94E2-98478BD82285}"/>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653" name="TextBox 8652">
          <a:extLst>
            <a:ext uri="{FF2B5EF4-FFF2-40B4-BE49-F238E27FC236}">
              <a16:creationId xmlns:a16="http://schemas.microsoft.com/office/drawing/2014/main" id="{FFF2E72A-E033-4665-A880-0CF0BF79B0D1}"/>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654" name="TextBox 8653">
          <a:extLst>
            <a:ext uri="{FF2B5EF4-FFF2-40B4-BE49-F238E27FC236}">
              <a16:creationId xmlns:a16="http://schemas.microsoft.com/office/drawing/2014/main" id="{CC42BD38-20BE-465D-9A99-D679C8DAE5C3}"/>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655" name="TextBox 8654">
          <a:extLst>
            <a:ext uri="{FF2B5EF4-FFF2-40B4-BE49-F238E27FC236}">
              <a16:creationId xmlns:a16="http://schemas.microsoft.com/office/drawing/2014/main" id="{6512ACF3-1A85-400B-A5C6-C8E1B8FAFE52}"/>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656" name="TextBox 8655">
          <a:extLst>
            <a:ext uri="{FF2B5EF4-FFF2-40B4-BE49-F238E27FC236}">
              <a16:creationId xmlns:a16="http://schemas.microsoft.com/office/drawing/2014/main" id="{79F97C13-94A4-475E-8F2F-1F5E40C7FF99}"/>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657" name="TextBox 8656">
          <a:extLst>
            <a:ext uri="{FF2B5EF4-FFF2-40B4-BE49-F238E27FC236}">
              <a16:creationId xmlns:a16="http://schemas.microsoft.com/office/drawing/2014/main" id="{DC1837BD-D8AC-4231-A8E0-439F4C971D44}"/>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658" name="TextBox 8657">
          <a:extLst>
            <a:ext uri="{FF2B5EF4-FFF2-40B4-BE49-F238E27FC236}">
              <a16:creationId xmlns:a16="http://schemas.microsoft.com/office/drawing/2014/main" id="{CC91899C-46CC-4846-B6B7-367BCDB7A9AA}"/>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659" name="TextBox 8658">
          <a:extLst>
            <a:ext uri="{FF2B5EF4-FFF2-40B4-BE49-F238E27FC236}">
              <a16:creationId xmlns:a16="http://schemas.microsoft.com/office/drawing/2014/main" id="{F4B13EE4-5E9E-4751-B033-B4F3092CB719}"/>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660" name="TextBox 8659">
          <a:extLst>
            <a:ext uri="{FF2B5EF4-FFF2-40B4-BE49-F238E27FC236}">
              <a16:creationId xmlns:a16="http://schemas.microsoft.com/office/drawing/2014/main" id="{3513AF6A-F6FE-4B91-BB16-FC44B37508C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661" name="TextBox 8660">
          <a:extLst>
            <a:ext uri="{FF2B5EF4-FFF2-40B4-BE49-F238E27FC236}">
              <a16:creationId xmlns:a16="http://schemas.microsoft.com/office/drawing/2014/main" id="{89A4D9BB-7D58-470A-B9E5-AB820AB1871F}"/>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662" name="TextBox 8661">
          <a:extLst>
            <a:ext uri="{FF2B5EF4-FFF2-40B4-BE49-F238E27FC236}">
              <a16:creationId xmlns:a16="http://schemas.microsoft.com/office/drawing/2014/main" id="{CC0B07A2-A276-4806-B6D2-124175FB96F8}"/>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663" name="TextBox 8662">
          <a:extLst>
            <a:ext uri="{FF2B5EF4-FFF2-40B4-BE49-F238E27FC236}">
              <a16:creationId xmlns:a16="http://schemas.microsoft.com/office/drawing/2014/main" id="{DF66F9DF-8F2C-42EB-92C7-76B21F9CB6F3}"/>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664" name="TextBox 8663">
          <a:extLst>
            <a:ext uri="{FF2B5EF4-FFF2-40B4-BE49-F238E27FC236}">
              <a16:creationId xmlns:a16="http://schemas.microsoft.com/office/drawing/2014/main" id="{8E0ABD95-3F16-43CC-B265-0095BADF002E}"/>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665" name="TextBox 8664">
          <a:extLst>
            <a:ext uri="{FF2B5EF4-FFF2-40B4-BE49-F238E27FC236}">
              <a16:creationId xmlns:a16="http://schemas.microsoft.com/office/drawing/2014/main" id="{CD42209F-974D-45D0-A624-94C23734A6E6}"/>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666" name="TextBox 8665">
          <a:extLst>
            <a:ext uri="{FF2B5EF4-FFF2-40B4-BE49-F238E27FC236}">
              <a16:creationId xmlns:a16="http://schemas.microsoft.com/office/drawing/2014/main" id="{27C8C9AF-ED05-45FA-9068-9A42F1134787}"/>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667" name="TextBox 8666">
          <a:extLst>
            <a:ext uri="{FF2B5EF4-FFF2-40B4-BE49-F238E27FC236}">
              <a16:creationId xmlns:a16="http://schemas.microsoft.com/office/drawing/2014/main" id="{A0EDDAC8-68CD-49FF-95B0-13F9987E0E19}"/>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668" name="TextBox 8667">
          <a:extLst>
            <a:ext uri="{FF2B5EF4-FFF2-40B4-BE49-F238E27FC236}">
              <a16:creationId xmlns:a16="http://schemas.microsoft.com/office/drawing/2014/main" id="{A9B51438-9235-4498-BF41-E2C9387B0166}"/>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669" name="TextBox 8668">
          <a:extLst>
            <a:ext uri="{FF2B5EF4-FFF2-40B4-BE49-F238E27FC236}">
              <a16:creationId xmlns:a16="http://schemas.microsoft.com/office/drawing/2014/main" id="{FDD472D5-E424-469B-AEE8-D41198940163}"/>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670" name="TextBox 8669">
          <a:extLst>
            <a:ext uri="{FF2B5EF4-FFF2-40B4-BE49-F238E27FC236}">
              <a16:creationId xmlns:a16="http://schemas.microsoft.com/office/drawing/2014/main" id="{2620D0D1-18D7-4854-A586-63FBDC46CF56}"/>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671" name="TextBox 8670">
          <a:extLst>
            <a:ext uri="{FF2B5EF4-FFF2-40B4-BE49-F238E27FC236}">
              <a16:creationId xmlns:a16="http://schemas.microsoft.com/office/drawing/2014/main" id="{A2931468-7B31-4683-A6E9-E719511E89E9}"/>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672" name="TextBox 8671">
          <a:extLst>
            <a:ext uri="{FF2B5EF4-FFF2-40B4-BE49-F238E27FC236}">
              <a16:creationId xmlns:a16="http://schemas.microsoft.com/office/drawing/2014/main" id="{617F7D4E-686F-4134-8341-01E75E61017E}"/>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673" name="TextBox 8672">
          <a:extLst>
            <a:ext uri="{FF2B5EF4-FFF2-40B4-BE49-F238E27FC236}">
              <a16:creationId xmlns:a16="http://schemas.microsoft.com/office/drawing/2014/main" id="{F30DB9A4-E5C2-412C-914F-F88177E1512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674" name="TextBox 8673">
          <a:extLst>
            <a:ext uri="{FF2B5EF4-FFF2-40B4-BE49-F238E27FC236}">
              <a16:creationId xmlns:a16="http://schemas.microsoft.com/office/drawing/2014/main" id="{57E4964E-8056-4D48-91F4-44073729FA41}"/>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675" name="TextBox 8674">
          <a:extLst>
            <a:ext uri="{FF2B5EF4-FFF2-40B4-BE49-F238E27FC236}">
              <a16:creationId xmlns:a16="http://schemas.microsoft.com/office/drawing/2014/main" id="{4420B687-862B-4D83-BBB9-92BBC1E24FF8}"/>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676" name="TextBox 8675">
          <a:extLst>
            <a:ext uri="{FF2B5EF4-FFF2-40B4-BE49-F238E27FC236}">
              <a16:creationId xmlns:a16="http://schemas.microsoft.com/office/drawing/2014/main" id="{6109BB46-3D57-4B4E-A0C5-4516B4A09848}"/>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677" name="TextBox 8676">
          <a:extLst>
            <a:ext uri="{FF2B5EF4-FFF2-40B4-BE49-F238E27FC236}">
              <a16:creationId xmlns:a16="http://schemas.microsoft.com/office/drawing/2014/main" id="{931330DF-996B-40D1-8EA7-A33F1A9847F1}"/>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678" name="TextBox 8677">
          <a:extLst>
            <a:ext uri="{FF2B5EF4-FFF2-40B4-BE49-F238E27FC236}">
              <a16:creationId xmlns:a16="http://schemas.microsoft.com/office/drawing/2014/main" id="{6F2167C9-93AB-4792-B5E6-DAEA5D44FAEB}"/>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679" name="TextBox 8678">
          <a:extLst>
            <a:ext uri="{FF2B5EF4-FFF2-40B4-BE49-F238E27FC236}">
              <a16:creationId xmlns:a16="http://schemas.microsoft.com/office/drawing/2014/main" id="{8D4D4BDD-6A9F-42D5-BCFF-5E5982787906}"/>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680" name="TextBox 8679">
          <a:extLst>
            <a:ext uri="{FF2B5EF4-FFF2-40B4-BE49-F238E27FC236}">
              <a16:creationId xmlns:a16="http://schemas.microsoft.com/office/drawing/2014/main" id="{62AD9906-FE9B-4FDD-A68B-46CF95FA296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681" name="TextBox 8680">
          <a:extLst>
            <a:ext uri="{FF2B5EF4-FFF2-40B4-BE49-F238E27FC236}">
              <a16:creationId xmlns:a16="http://schemas.microsoft.com/office/drawing/2014/main" id="{6BC8A854-5CBB-44F6-8B90-EDC7538EE4AF}"/>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682" name="TextBox 8681">
          <a:extLst>
            <a:ext uri="{FF2B5EF4-FFF2-40B4-BE49-F238E27FC236}">
              <a16:creationId xmlns:a16="http://schemas.microsoft.com/office/drawing/2014/main" id="{9907CF70-944C-42CE-8419-D0A81F8E2998}"/>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683" name="TextBox 8682">
          <a:extLst>
            <a:ext uri="{FF2B5EF4-FFF2-40B4-BE49-F238E27FC236}">
              <a16:creationId xmlns:a16="http://schemas.microsoft.com/office/drawing/2014/main" id="{56ED5389-C0C4-4D4F-A161-8A097C1C622E}"/>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684" name="TextBox 8683">
          <a:extLst>
            <a:ext uri="{FF2B5EF4-FFF2-40B4-BE49-F238E27FC236}">
              <a16:creationId xmlns:a16="http://schemas.microsoft.com/office/drawing/2014/main" id="{FECFA0CA-7D4C-47C5-AB1E-790708CC03C6}"/>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685" name="TextBox 8684">
          <a:extLst>
            <a:ext uri="{FF2B5EF4-FFF2-40B4-BE49-F238E27FC236}">
              <a16:creationId xmlns:a16="http://schemas.microsoft.com/office/drawing/2014/main" id="{C7A02519-07BC-4311-8FC7-800DA9129D9B}"/>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686" name="TextBox 8685">
          <a:extLst>
            <a:ext uri="{FF2B5EF4-FFF2-40B4-BE49-F238E27FC236}">
              <a16:creationId xmlns:a16="http://schemas.microsoft.com/office/drawing/2014/main" id="{AEFF34D7-148C-4CCB-A0D8-19F37B544AC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687" name="TextBox 8686">
          <a:extLst>
            <a:ext uri="{FF2B5EF4-FFF2-40B4-BE49-F238E27FC236}">
              <a16:creationId xmlns:a16="http://schemas.microsoft.com/office/drawing/2014/main" id="{92785E8F-D40C-45DF-A7AE-AC027255B736}"/>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688" name="TextBox 8687">
          <a:extLst>
            <a:ext uri="{FF2B5EF4-FFF2-40B4-BE49-F238E27FC236}">
              <a16:creationId xmlns:a16="http://schemas.microsoft.com/office/drawing/2014/main" id="{604A7D7D-6D81-4BE7-9ABC-725A42F9E1EA}"/>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689" name="TextBox 8688">
          <a:extLst>
            <a:ext uri="{FF2B5EF4-FFF2-40B4-BE49-F238E27FC236}">
              <a16:creationId xmlns:a16="http://schemas.microsoft.com/office/drawing/2014/main" id="{BFB11F25-1BBB-4DE5-A5B9-64AF144729C2}"/>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690" name="TextBox 8689">
          <a:extLst>
            <a:ext uri="{FF2B5EF4-FFF2-40B4-BE49-F238E27FC236}">
              <a16:creationId xmlns:a16="http://schemas.microsoft.com/office/drawing/2014/main" id="{4CBFE059-8EE1-4A97-B2E4-DA16EFD3761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691" name="TextBox 8690">
          <a:extLst>
            <a:ext uri="{FF2B5EF4-FFF2-40B4-BE49-F238E27FC236}">
              <a16:creationId xmlns:a16="http://schemas.microsoft.com/office/drawing/2014/main" id="{FCA7E1FD-61F9-4289-95A4-DD486F9A908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692" name="TextBox 8691">
          <a:extLst>
            <a:ext uri="{FF2B5EF4-FFF2-40B4-BE49-F238E27FC236}">
              <a16:creationId xmlns:a16="http://schemas.microsoft.com/office/drawing/2014/main" id="{348F6862-8E58-4046-8D32-99DF9E91ACAC}"/>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693" name="TextBox 8692">
          <a:extLst>
            <a:ext uri="{FF2B5EF4-FFF2-40B4-BE49-F238E27FC236}">
              <a16:creationId xmlns:a16="http://schemas.microsoft.com/office/drawing/2014/main" id="{34FDD654-E638-4FF7-82BC-790A9BF967AE}"/>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694" name="TextBox 8693">
          <a:extLst>
            <a:ext uri="{FF2B5EF4-FFF2-40B4-BE49-F238E27FC236}">
              <a16:creationId xmlns:a16="http://schemas.microsoft.com/office/drawing/2014/main" id="{A5DA0E4C-9A9B-460A-9EEA-20236D3CD2BF}"/>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695" name="TextBox 8694">
          <a:extLst>
            <a:ext uri="{FF2B5EF4-FFF2-40B4-BE49-F238E27FC236}">
              <a16:creationId xmlns:a16="http://schemas.microsoft.com/office/drawing/2014/main" id="{E165643A-B43B-4C9A-9B54-7139E29076C2}"/>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696" name="TextBox 8695">
          <a:extLst>
            <a:ext uri="{FF2B5EF4-FFF2-40B4-BE49-F238E27FC236}">
              <a16:creationId xmlns:a16="http://schemas.microsoft.com/office/drawing/2014/main" id="{3714FD61-D1A2-4BD0-9B73-8B1B0843126D}"/>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697" name="TextBox 8696">
          <a:extLst>
            <a:ext uri="{FF2B5EF4-FFF2-40B4-BE49-F238E27FC236}">
              <a16:creationId xmlns:a16="http://schemas.microsoft.com/office/drawing/2014/main" id="{4686F77C-EFB1-4701-9CCA-482CB458B522}"/>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698" name="TextBox 8697">
          <a:extLst>
            <a:ext uri="{FF2B5EF4-FFF2-40B4-BE49-F238E27FC236}">
              <a16:creationId xmlns:a16="http://schemas.microsoft.com/office/drawing/2014/main" id="{1CA4B930-A62D-4FA9-AD46-2CC8DCC9A732}"/>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699" name="TextBox 8698">
          <a:extLst>
            <a:ext uri="{FF2B5EF4-FFF2-40B4-BE49-F238E27FC236}">
              <a16:creationId xmlns:a16="http://schemas.microsoft.com/office/drawing/2014/main" id="{9A1EDD94-C686-4D34-A913-92C621E64D1B}"/>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700" name="TextBox 8699">
          <a:extLst>
            <a:ext uri="{FF2B5EF4-FFF2-40B4-BE49-F238E27FC236}">
              <a16:creationId xmlns:a16="http://schemas.microsoft.com/office/drawing/2014/main" id="{4DB473FD-AE79-41FB-BBA2-A751D013D672}"/>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8701" name="TextBox 8700">
          <a:extLst>
            <a:ext uri="{FF2B5EF4-FFF2-40B4-BE49-F238E27FC236}">
              <a16:creationId xmlns:a16="http://schemas.microsoft.com/office/drawing/2014/main" id="{CAC6F1F5-0318-4EF1-A17E-9713993C0275}"/>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170</xdr:row>
      <xdr:rowOff>0</xdr:rowOff>
    </xdr:from>
    <xdr:ext cx="65" cy="172227"/>
    <xdr:sp macro="" textlink="">
      <xdr:nvSpPr>
        <xdr:cNvPr id="8702" name="TextBox 8701">
          <a:extLst>
            <a:ext uri="{FF2B5EF4-FFF2-40B4-BE49-F238E27FC236}">
              <a16:creationId xmlns:a16="http://schemas.microsoft.com/office/drawing/2014/main" id="{2BEB2C9B-4E37-4D83-978B-6944A85550D0}"/>
            </a:ext>
          </a:extLst>
        </xdr:cNvPr>
        <xdr:cNvSpPr txBox="1"/>
      </xdr:nvSpPr>
      <xdr:spPr>
        <a:xfrm>
          <a:off x="1258062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170</xdr:row>
      <xdr:rowOff>0</xdr:rowOff>
    </xdr:from>
    <xdr:ext cx="65" cy="172227"/>
    <xdr:sp macro="" textlink="">
      <xdr:nvSpPr>
        <xdr:cNvPr id="8703" name="TextBox 8702">
          <a:extLst>
            <a:ext uri="{FF2B5EF4-FFF2-40B4-BE49-F238E27FC236}">
              <a16:creationId xmlns:a16="http://schemas.microsoft.com/office/drawing/2014/main" id="{CD550287-B34D-4E1D-BBEF-D03695FD0054}"/>
            </a:ext>
          </a:extLst>
        </xdr:cNvPr>
        <xdr:cNvSpPr txBox="1"/>
      </xdr:nvSpPr>
      <xdr:spPr>
        <a:xfrm>
          <a:off x="1258062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170</xdr:row>
      <xdr:rowOff>0</xdr:rowOff>
    </xdr:from>
    <xdr:ext cx="65" cy="172227"/>
    <xdr:sp macro="" textlink="">
      <xdr:nvSpPr>
        <xdr:cNvPr id="8704" name="TextBox 8703">
          <a:extLst>
            <a:ext uri="{FF2B5EF4-FFF2-40B4-BE49-F238E27FC236}">
              <a16:creationId xmlns:a16="http://schemas.microsoft.com/office/drawing/2014/main" id="{F2ABC44F-5B97-457A-B962-D1359A380D71}"/>
            </a:ext>
          </a:extLst>
        </xdr:cNvPr>
        <xdr:cNvSpPr txBox="1"/>
      </xdr:nvSpPr>
      <xdr:spPr>
        <a:xfrm>
          <a:off x="1258062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170</xdr:row>
      <xdr:rowOff>0</xdr:rowOff>
    </xdr:from>
    <xdr:ext cx="65" cy="172227"/>
    <xdr:sp macro="" textlink="">
      <xdr:nvSpPr>
        <xdr:cNvPr id="8705" name="TextBox 8704">
          <a:extLst>
            <a:ext uri="{FF2B5EF4-FFF2-40B4-BE49-F238E27FC236}">
              <a16:creationId xmlns:a16="http://schemas.microsoft.com/office/drawing/2014/main" id="{96939F3D-72FB-4C1C-BD3C-89A06B46C24E}"/>
            </a:ext>
          </a:extLst>
        </xdr:cNvPr>
        <xdr:cNvSpPr txBox="1"/>
      </xdr:nvSpPr>
      <xdr:spPr>
        <a:xfrm>
          <a:off x="1258062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170</xdr:row>
      <xdr:rowOff>0</xdr:rowOff>
    </xdr:from>
    <xdr:ext cx="65" cy="172227"/>
    <xdr:sp macro="" textlink="">
      <xdr:nvSpPr>
        <xdr:cNvPr id="8706" name="TextBox 8705">
          <a:extLst>
            <a:ext uri="{FF2B5EF4-FFF2-40B4-BE49-F238E27FC236}">
              <a16:creationId xmlns:a16="http://schemas.microsoft.com/office/drawing/2014/main" id="{94BF90D1-7C17-4662-B78F-32897ABFA19F}"/>
            </a:ext>
          </a:extLst>
        </xdr:cNvPr>
        <xdr:cNvSpPr txBox="1"/>
      </xdr:nvSpPr>
      <xdr:spPr>
        <a:xfrm>
          <a:off x="1258062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170</xdr:row>
      <xdr:rowOff>0</xdr:rowOff>
    </xdr:from>
    <xdr:ext cx="65" cy="172227"/>
    <xdr:sp macro="" textlink="">
      <xdr:nvSpPr>
        <xdr:cNvPr id="8707" name="TextBox 8706">
          <a:extLst>
            <a:ext uri="{FF2B5EF4-FFF2-40B4-BE49-F238E27FC236}">
              <a16:creationId xmlns:a16="http://schemas.microsoft.com/office/drawing/2014/main" id="{453A51B0-4712-453A-A36D-8862511F2541}"/>
            </a:ext>
          </a:extLst>
        </xdr:cNvPr>
        <xdr:cNvSpPr txBox="1"/>
      </xdr:nvSpPr>
      <xdr:spPr>
        <a:xfrm>
          <a:off x="1258062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170</xdr:row>
      <xdr:rowOff>0</xdr:rowOff>
    </xdr:from>
    <xdr:ext cx="65" cy="172227"/>
    <xdr:sp macro="" textlink="">
      <xdr:nvSpPr>
        <xdr:cNvPr id="8708" name="TextBox 8707">
          <a:extLst>
            <a:ext uri="{FF2B5EF4-FFF2-40B4-BE49-F238E27FC236}">
              <a16:creationId xmlns:a16="http://schemas.microsoft.com/office/drawing/2014/main" id="{F5236698-E5D3-47AA-81EA-AAFF7BC49F1C}"/>
            </a:ext>
          </a:extLst>
        </xdr:cNvPr>
        <xdr:cNvSpPr txBox="1"/>
      </xdr:nvSpPr>
      <xdr:spPr>
        <a:xfrm>
          <a:off x="1258062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170</xdr:row>
      <xdr:rowOff>0</xdr:rowOff>
    </xdr:from>
    <xdr:ext cx="65" cy="172227"/>
    <xdr:sp macro="" textlink="">
      <xdr:nvSpPr>
        <xdr:cNvPr id="8709" name="TextBox 8708">
          <a:extLst>
            <a:ext uri="{FF2B5EF4-FFF2-40B4-BE49-F238E27FC236}">
              <a16:creationId xmlns:a16="http://schemas.microsoft.com/office/drawing/2014/main" id="{CB6F6FBB-D31C-4DF2-B5CF-F6F8F99341BE}"/>
            </a:ext>
          </a:extLst>
        </xdr:cNvPr>
        <xdr:cNvSpPr txBox="1"/>
      </xdr:nvSpPr>
      <xdr:spPr>
        <a:xfrm>
          <a:off x="1258062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170</xdr:row>
      <xdr:rowOff>0</xdr:rowOff>
    </xdr:from>
    <xdr:ext cx="65" cy="172227"/>
    <xdr:sp macro="" textlink="">
      <xdr:nvSpPr>
        <xdr:cNvPr id="8710" name="TextBox 8709">
          <a:extLst>
            <a:ext uri="{FF2B5EF4-FFF2-40B4-BE49-F238E27FC236}">
              <a16:creationId xmlns:a16="http://schemas.microsoft.com/office/drawing/2014/main" id="{0E6EA0E6-3896-40AA-B2F5-8272253CCA84}"/>
            </a:ext>
          </a:extLst>
        </xdr:cNvPr>
        <xdr:cNvSpPr txBox="1"/>
      </xdr:nvSpPr>
      <xdr:spPr>
        <a:xfrm>
          <a:off x="1258062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170</xdr:row>
      <xdr:rowOff>0</xdr:rowOff>
    </xdr:from>
    <xdr:ext cx="65" cy="172227"/>
    <xdr:sp macro="" textlink="">
      <xdr:nvSpPr>
        <xdr:cNvPr id="8711" name="TextBox 8710">
          <a:extLst>
            <a:ext uri="{FF2B5EF4-FFF2-40B4-BE49-F238E27FC236}">
              <a16:creationId xmlns:a16="http://schemas.microsoft.com/office/drawing/2014/main" id="{714A34DF-3BC7-48BE-A8E1-0A382AB25D98}"/>
            </a:ext>
          </a:extLst>
        </xdr:cNvPr>
        <xdr:cNvSpPr txBox="1"/>
      </xdr:nvSpPr>
      <xdr:spPr>
        <a:xfrm>
          <a:off x="1258062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170</xdr:row>
      <xdr:rowOff>0</xdr:rowOff>
    </xdr:from>
    <xdr:ext cx="65" cy="172227"/>
    <xdr:sp macro="" textlink="">
      <xdr:nvSpPr>
        <xdr:cNvPr id="8712" name="TextBox 8711">
          <a:extLst>
            <a:ext uri="{FF2B5EF4-FFF2-40B4-BE49-F238E27FC236}">
              <a16:creationId xmlns:a16="http://schemas.microsoft.com/office/drawing/2014/main" id="{0EE264F1-325D-4E80-827F-A7CDBEE7E2B0}"/>
            </a:ext>
          </a:extLst>
        </xdr:cNvPr>
        <xdr:cNvSpPr txBox="1"/>
      </xdr:nvSpPr>
      <xdr:spPr>
        <a:xfrm>
          <a:off x="1258062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170</xdr:row>
      <xdr:rowOff>0</xdr:rowOff>
    </xdr:from>
    <xdr:ext cx="65" cy="172227"/>
    <xdr:sp macro="" textlink="">
      <xdr:nvSpPr>
        <xdr:cNvPr id="8713" name="TextBox 8712">
          <a:extLst>
            <a:ext uri="{FF2B5EF4-FFF2-40B4-BE49-F238E27FC236}">
              <a16:creationId xmlns:a16="http://schemas.microsoft.com/office/drawing/2014/main" id="{8DFCAF67-A970-4779-9B1E-334B183D9E9C}"/>
            </a:ext>
          </a:extLst>
        </xdr:cNvPr>
        <xdr:cNvSpPr txBox="1"/>
      </xdr:nvSpPr>
      <xdr:spPr>
        <a:xfrm>
          <a:off x="1258062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170</xdr:row>
      <xdr:rowOff>0</xdr:rowOff>
    </xdr:from>
    <xdr:ext cx="65" cy="172227"/>
    <xdr:sp macro="" textlink="">
      <xdr:nvSpPr>
        <xdr:cNvPr id="8714" name="TextBox 8713">
          <a:extLst>
            <a:ext uri="{FF2B5EF4-FFF2-40B4-BE49-F238E27FC236}">
              <a16:creationId xmlns:a16="http://schemas.microsoft.com/office/drawing/2014/main" id="{1721DFB1-C856-46DE-8B52-1459DC12DC1F}"/>
            </a:ext>
          </a:extLst>
        </xdr:cNvPr>
        <xdr:cNvSpPr txBox="1"/>
      </xdr:nvSpPr>
      <xdr:spPr>
        <a:xfrm>
          <a:off x="1258062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170</xdr:row>
      <xdr:rowOff>0</xdr:rowOff>
    </xdr:from>
    <xdr:ext cx="65" cy="172227"/>
    <xdr:sp macro="" textlink="">
      <xdr:nvSpPr>
        <xdr:cNvPr id="8715" name="TextBox 8714">
          <a:extLst>
            <a:ext uri="{FF2B5EF4-FFF2-40B4-BE49-F238E27FC236}">
              <a16:creationId xmlns:a16="http://schemas.microsoft.com/office/drawing/2014/main" id="{EAD93977-2B6C-48AF-88BE-D3EEF076B82F}"/>
            </a:ext>
          </a:extLst>
        </xdr:cNvPr>
        <xdr:cNvSpPr txBox="1"/>
      </xdr:nvSpPr>
      <xdr:spPr>
        <a:xfrm>
          <a:off x="1258062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170</xdr:row>
      <xdr:rowOff>0</xdr:rowOff>
    </xdr:from>
    <xdr:ext cx="65" cy="172227"/>
    <xdr:sp macro="" textlink="">
      <xdr:nvSpPr>
        <xdr:cNvPr id="8716" name="TextBox 8715">
          <a:extLst>
            <a:ext uri="{FF2B5EF4-FFF2-40B4-BE49-F238E27FC236}">
              <a16:creationId xmlns:a16="http://schemas.microsoft.com/office/drawing/2014/main" id="{FBB54F66-6C42-4482-B2E7-7384E314B0A0}"/>
            </a:ext>
          </a:extLst>
        </xdr:cNvPr>
        <xdr:cNvSpPr txBox="1"/>
      </xdr:nvSpPr>
      <xdr:spPr>
        <a:xfrm>
          <a:off x="1258062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170</xdr:row>
      <xdr:rowOff>0</xdr:rowOff>
    </xdr:from>
    <xdr:ext cx="65" cy="172227"/>
    <xdr:sp macro="" textlink="">
      <xdr:nvSpPr>
        <xdr:cNvPr id="8717" name="TextBox 8716">
          <a:extLst>
            <a:ext uri="{FF2B5EF4-FFF2-40B4-BE49-F238E27FC236}">
              <a16:creationId xmlns:a16="http://schemas.microsoft.com/office/drawing/2014/main" id="{AEE8C017-5A75-4A1A-8541-8CAA7A85887F}"/>
            </a:ext>
          </a:extLst>
        </xdr:cNvPr>
        <xdr:cNvSpPr txBox="1"/>
      </xdr:nvSpPr>
      <xdr:spPr>
        <a:xfrm>
          <a:off x="1258062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170</xdr:row>
      <xdr:rowOff>0</xdr:rowOff>
    </xdr:from>
    <xdr:ext cx="65" cy="172227"/>
    <xdr:sp macro="" textlink="">
      <xdr:nvSpPr>
        <xdr:cNvPr id="8718" name="TextBox 8717">
          <a:extLst>
            <a:ext uri="{FF2B5EF4-FFF2-40B4-BE49-F238E27FC236}">
              <a16:creationId xmlns:a16="http://schemas.microsoft.com/office/drawing/2014/main" id="{15CB6B7A-8903-4D46-B303-C78122F98AFA}"/>
            </a:ext>
          </a:extLst>
        </xdr:cNvPr>
        <xdr:cNvSpPr txBox="1"/>
      </xdr:nvSpPr>
      <xdr:spPr>
        <a:xfrm>
          <a:off x="1258062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170</xdr:row>
      <xdr:rowOff>0</xdr:rowOff>
    </xdr:from>
    <xdr:ext cx="65" cy="172227"/>
    <xdr:sp macro="" textlink="">
      <xdr:nvSpPr>
        <xdr:cNvPr id="8719" name="TextBox 8718">
          <a:extLst>
            <a:ext uri="{FF2B5EF4-FFF2-40B4-BE49-F238E27FC236}">
              <a16:creationId xmlns:a16="http://schemas.microsoft.com/office/drawing/2014/main" id="{06B77017-1B83-4828-A6CD-A70B1530F846}"/>
            </a:ext>
          </a:extLst>
        </xdr:cNvPr>
        <xdr:cNvSpPr txBox="1"/>
      </xdr:nvSpPr>
      <xdr:spPr>
        <a:xfrm>
          <a:off x="1258062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170</xdr:row>
      <xdr:rowOff>0</xdr:rowOff>
    </xdr:from>
    <xdr:ext cx="65" cy="172227"/>
    <xdr:sp macro="" textlink="">
      <xdr:nvSpPr>
        <xdr:cNvPr id="8720" name="TextBox 8719">
          <a:extLst>
            <a:ext uri="{FF2B5EF4-FFF2-40B4-BE49-F238E27FC236}">
              <a16:creationId xmlns:a16="http://schemas.microsoft.com/office/drawing/2014/main" id="{185D6A4C-28D0-4083-911A-BC73150EED28}"/>
            </a:ext>
          </a:extLst>
        </xdr:cNvPr>
        <xdr:cNvSpPr txBox="1"/>
      </xdr:nvSpPr>
      <xdr:spPr>
        <a:xfrm>
          <a:off x="1258062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170</xdr:row>
      <xdr:rowOff>0</xdr:rowOff>
    </xdr:from>
    <xdr:ext cx="65" cy="172227"/>
    <xdr:sp macro="" textlink="">
      <xdr:nvSpPr>
        <xdr:cNvPr id="8721" name="TextBox 8720">
          <a:extLst>
            <a:ext uri="{FF2B5EF4-FFF2-40B4-BE49-F238E27FC236}">
              <a16:creationId xmlns:a16="http://schemas.microsoft.com/office/drawing/2014/main" id="{3791A6DE-A1C2-47DA-AD48-A46C3A2C9FDA}"/>
            </a:ext>
          </a:extLst>
        </xdr:cNvPr>
        <xdr:cNvSpPr txBox="1"/>
      </xdr:nvSpPr>
      <xdr:spPr>
        <a:xfrm>
          <a:off x="1258062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170</xdr:row>
      <xdr:rowOff>0</xdr:rowOff>
    </xdr:from>
    <xdr:ext cx="65" cy="172227"/>
    <xdr:sp macro="" textlink="">
      <xdr:nvSpPr>
        <xdr:cNvPr id="8722" name="TextBox 8721">
          <a:extLst>
            <a:ext uri="{FF2B5EF4-FFF2-40B4-BE49-F238E27FC236}">
              <a16:creationId xmlns:a16="http://schemas.microsoft.com/office/drawing/2014/main" id="{81CE3CB0-7E4E-4E55-A8CA-42556C1B97B2}"/>
            </a:ext>
          </a:extLst>
        </xdr:cNvPr>
        <xdr:cNvSpPr txBox="1"/>
      </xdr:nvSpPr>
      <xdr:spPr>
        <a:xfrm>
          <a:off x="1258062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170</xdr:row>
      <xdr:rowOff>0</xdr:rowOff>
    </xdr:from>
    <xdr:ext cx="65" cy="172227"/>
    <xdr:sp macro="" textlink="">
      <xdr:nvSpPr>
        <xdr:cNvPr id="8723" name="TextBox 8722">
          <a:extLst>
            <a:ext uri="{FF2B5EF4-FFF2-40B4-BE49-F238E27FC236}">
              <a16:creationId xmlns:a16="http://schemas.microsoft.com/office/drawing/2014/main" id="{4A007D76-46C2-4D13-B1B5-5850A74D5AB2}"/>
            </a:ext>
          </a:extLst>
        </xdr:cNvPr>
        <xdr:cNvSpPr txBox="1"/>
      </xdr:nvSpPr>
      <xdr:spPr>
        <a:xfrm>
          <a:off x="1258062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170</xdr:row>
      <xdr:rowOff>0</xdr:rowOff>
    </xdr:from>
    <xdr:ext cx="65" cy="172227"/>
    <xdr:sp macro="" textlink="">
      <xdr:nvSpPr>
        <xdr:cNvPr id="8724" name="TextBox 8723">
          <a:extLst>
            <a:ext uri="{FF2B5EF4-FFF2-40B4-BE49-F238E27FC236}">
              <a16:creationId xmlns:a16="http://schemas.microsoft.com/office/drawing/2014/main" id="{E2DA8B1A-2AD5-484A-BA4E-5F7365A500FD}"/>
            </a:ext>
          </a:extLst>
        </xdr:cNvPr>
        <xdr:cNvSpPr txBox="1"/>
      </xdr:nvSpPr>
      <xdr:spPr>
        <a:xfrm>
          <a:off x="1258062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170</xdr:row>
      <xdr:rowOff>0</xdr:rowOff>
    </xdr:from>
    <xdr:ext cx="65" cy="172227"/>
    <xdr:sp macro="" textlink="">
      <xdr:nvSpPr>
        <xdr:cNvPr id="8725" name="TextBox 8724">
          <a:extLst>
            <a:ext uri="{FF2B5EF4-FFF2-40B4-BE49-F238E27FC236}">
              <a16:creationId xmlns:a16="http://schemas.microsoft.com/office/drawing/2014/main" id="{AD395FAC-724E-4CFF-9DDB-3BF1361AD4AE}"/>
            </a:ext>
          </a:extLst>
        </xdr:cNvPr>
        <xdr:cNvSpPr txBox="1"/>
      </xdr:nvSpPr>
      <xdr:spPr>
        <a:xfrm>
          <a:off x="1258062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170</xdr:row>
      <xdr:rowOff>0</xdr:rowOff>
    </xdr:from>
    <xdr:ext cx="65" cy="172227"/>
    <xdr:sp macro="" textlink="">
      <xdr:nvSpPr>
        <xdr:cNvPr id="8726" name="TextBox 8725">
          <a:extLst>
            <a:ext uri="{FF2B5EF4-FFF2-40B4-BE49-F238E27FC236}">
              <a16:creationId xmlns:a16="http://schemas.microsoft.com/office/drawing/2014/main" id="{F8BCB929-AEC6-49EF-A8AA-A2BC7260F528}"/>
            </a:ext>
          </a:extLst>
        </xdr:cNvPr>
        <xdr:cNvSpPr txBox="1"/>
      </xdr:nvSpPr>
      <xdr:spPr>
        <a:xfrm>
          <a:off x="1258062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170</xdr:row>
      <xdr:rowOff>0</xdr:rowOff>
    </xdr:from>
    <xdr:ext cx="65" cy="172227"/>
    <xdr:sp macro="" textlink="">
      <xdr:nvSpPr>
        <xdr:cNvPr id="8727" name="TextBox 8726">
          <a:extLst>
            <a:ext uri="{FF2B5EF4-FFF2-40B4-BE49-F238E27FC236}">
              <a16:creationId xmlns:a16="http://schemas.microsoft.com/office/drawing/2014/main" id="{3DD11870-BF93-41FE-92CF-8968C492106E}"/>
            </a:ext>
          </a:extLst>
        </xdr:cNvPr>
        <xdr:cNvSpPr txBox="1"/>
      </xdr:nvSpPr>
      <xdr:spPr>
        <a:xfrm>
          <a:off x="1258062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170</xdr:row>
      <xdr:rowOff>0</xdr:rowOff>
    </xdr:from>
    <xdr:ext cx="65" cy="172227"/>
    <xdr:sp macro="" textlink="">
      <xdr:nvSpPr>
        <xdr:cNvPr id="8728" name="TextBox 8727">
          <a:extLst>
            <a:ext uri="{FF2B5EF4-FFF2-40B4-BE49-F238E27FC236}">
              <a16:creationId xmlns:a16="http://schemas.microsoft.com/office/drawing/2014/main" id="{6F2CB79F-C5A1-4747-A65F-8E57B4042A50}"/>
            </a:ext>
          </a:extLst>
        </xdr:cNvPr>
        <xdr:cNvSpPr txBox="1"/>
      </xdr:nvSpPr>
      <xdr:spPr>
        <a:xfrm>
          <a:off x="1258062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170</xdr:row>
      <xdr:rowOff>0</xdr:rowOff>
    </xdr:from>
    <xdr:ext cx="65" cy="172227"/>
    <xdr:sp macro="" textlink="">
      <xdr:nvSpPr>
        <xdr:cNvPr id="8729" name="TextBox 8728">
          <a:extLst>
            <a:ext uri="{FF2B5EF4-FFF2-40B4-BE49-F238E27FC236}">
              <a16:creationId xmlns:a16="http://schemas.microsoft.com/office/drawing/2014/main" id="{37FD0B9F-01B0-4B49-A988-FF771B92ADCA}"/>
            </a:ext>
          </a:extLst>
        </xdr:cNvPr>
        <xdr:cNvSpPr txBox="1"/>
      </xdr:nvSpPr>
      <xdr:spPr>
        <a:xfrm>
          <a:off x="1258062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170</xdr:row>
      <xdr:rowOff>0</xdr:rowOff>
    </xdr:from>
    <xdr:ext cx="65" cy="172227"/>
    <xdr:sp macro="" textlink="">
      <xdr:nvSpPr>
        <xdr:cNvPr id="8730" name="TextBox 8729">
          <a:extLst>
            <a:ext uri="{FF2B5EF4-FFF2-40B4-BE49-F238E27FC236}">
              <a16:creationId xmlns:a16="http://schemas.microsoft.com/office/drawing/2014/main" id="{2639E4E8-12C8-4E76-A217-5CF4C14598C3}"/>
            </a:ext>
          </a:extLst>
        </xdr:cNvPr>
        <xdr:cNvSpPr txBox="1"/>
      </xdr:nvSpPr>
      <xdr:spPr>
        <a:xfrm>
          <a:off x="1258062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170</xdr:row>
      <xdr:rowOff>0</xdr:rowOff>
    </xdr:from>
    <xdr:ext cx="65" cy="172227"/>
    <xdr:sp macro="" textlink="">
      <xdr:nvSpPr>
        <xdr:cNvPr id="8731" name="TextBox 8730">
          <a:extLst>
            <a:ext uri="{FF2B5EF4-FFF2-40B4-BE49-F238E27FC236}">
              <a16:creationId xmlns:a16="http://schemas.microsoft.com/office/drawing/2014/main" id="{B82E64B4-4B17-4451-84E1-750FA8D48F99}"/>
            </a:ext>
          </a:extLst>
        </xdr:cNvPr>
        <xdr:cNvSpPr txBox="1"/>
      </xdr:nvSpPr>
      <xdr:spPr>
        <a:xfrm>
          <a:off x="1258062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170</xdr:row>
      <xdr:rowOff>0</xdr:rowOff>
    </xdr:from>
    <xdr:ext cx="65" cy="172227"/>
    <xdr:sp macro="" textlink="">
      <xdr:nvSpPr>
        <xdr:cNvPr id="8732" name="TextBox 8731">
          <a:extLst>
            <a:ext uri="{FF2B5EF4-FFF2-40B4-BE49-F238E27FC236}">
              <a16:creationId xmlns:a16="http://schemas.microsoft.com/office/drawing/2014/main" id="{D24159AD-357A-4C73-81A8-A7A9CCE02780}"/>
            </a:ext>
          </a:extLst>
        </xdr:cNvPr>
        <xdr:cNvSpPr txBox="1"/>
      </xdr:nvSpPr>
      <xdr:spPr>
        <a:xfrm>
          <a:off x="1258062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170</xdr:row>
      <xdr:rowOff>0</xdr:rowOff>
    </xdr:from>
    <xdr:ext cx="65" cy="172227"/>
    <xdr:sp macro="" textlink="">
      <xdr:nvSpPr>
        <xdr:cNvPr id="8733" name="TextBox 8732">
          <a:extLst>
            <a:ext uri="{FF2B5EF4-FFF2-40B4-BE49-F238E27FC236}">
              <a16:creationId xmlns:a16="http://schemas.microsoft.com/office/drawing/2014/main" id="{81F96F23-4EAD-47DA-8E67-0D779FBEAF2D}"/>
            </a:ext>
          </a:extLst>
        </xdr:cNvPr>
        <xdr:cNvSpPr txBox="1"/>
      </xdr:nvSpPr>
      <xdr:spPr>
        <a:xfrm>
          <a:off x="1258062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170</xdr:row>
      <xdr:rowOff>0</xdr:rowOff>
    </xdr:from>
    <xdr:ext cx="65" cy="172227"/>
    <xdr:sp macro="" textlink="">
      <xdr:nvSpPr>
        <xdr:cNvPr id="8734" name="TextBox 8733">
          <a:extLst>
            <a:ext uri="{FF2B5EF4-FFF2-40B4-BE49-F238E27FC236}">
              <a16:creationId xmlns:a16="http://schemas.microsoft.com/office/drawing/2014/main" id="{FE749657-5D15-4872-9339-D1F968D04E65}"/>
            </a:ext>
          </a:extLst>
        </xdr:cNvPr>
        <xdr:cNvSpPr txBox="1"/>
      </xdr:nvSpPr>
      <xdr:spPr>
        <a:xfrm>
          <a:off x="1258062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170</xdr:row>
      <xdr:rowOff>0</xdr:rowOff>
    </xdr:from>
    <xdr:ext cx="65" cy="172227"/>
    <xdr:sp macro="" textlink="">
      <xdr:nvSpPr>
        <xdr:cNvPr id="8735" name="TextBox 8734">
          <a:extLst>
            <a:ext uri="{FF2B5EF4-FFF2-40B4-BE49-F238E27FC236}">
              <a16:creationId xmlns:a16="http://schemas.microsoft.com/office/drawing/2014/main" id="{730E1CEE-B1CC-467A-A55D-9E1CBFE1B9CA}"/>
            </a:ext>
          </a:extLst>
        </xdr:cNvPr>
        <xdr:cNvSpPr txBox="1"/>
      </xdr:nvSpPr>
      <xdr:spPr>
        <a:xfrm>
          <a:off x="1258062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170</xdr:row>
      <xdr:rowOff>0</xdr:rowOff>
    </xdr:from>
    <xdr:ext cx="65" cy="172227"/>
    <xdr:sp macro="" textlink="">
      <xdr:nvSpPr>
        <xdr:cNvPr id="8736" name="TextBox 8735">
          <a:extLst>
            <a:ext uri="{FF2B5EF4-FFF2-40B4-BE49-F238E27FC236}">
              <a16:creationId xmlns:a16="http://schemas.microsoft.com/office/drawing/2014/main" id="{7F288BD2-7792-4D27-B51E-3F1ED4246F5A}"/>
            </a:ext>
          </a:extLst>
        </xdr:cNvPr>
        <xdr:cNvSpPr txBox="1"/>
      </xdr:nvSpPr>
      <xdr:spPr>
        <a:xfrm>
          <a:off x="1258062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170</xdr:row>
      <xdr:rowOff>0</xdr:rowOff>
    </xdr:from>
    <xdr:ext cx="65" cy="172227"/>
    <xdr:sp macro="" textlink="">
      <xdr:nvSpPr>
        <xdr:cNvPr id="8737" name="TextBox 8736">
          <a:extLst>
            <a:ext uri="{FF2B5EF4-FFF2-40B4-BE49-F238E27FC236}">
              <a16:creationId xmlns:a16="http://schemas.microsoft.com/office/drawing/2014/main" id="{3027D238-C761-4E9D-867D-A841CB3B8A1B}"/>
            </a:ext>
          </a:extLst>
        </xdr:cNvPr>
        <xdr:cNvSpPr txBox="1"/>
      </xdr:nvSpPr>
      <xdr:spPr>
        <a:xfrm>
          <a:off x="1258062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170</xdr:row>
      <xdr:rowOff>0</xdr:rowOff>
    </xdr:from>
    <xdr:ext cx="65" cy="172227"/>
    <xdr:sp macro="" textlink="">
      <xdr:nvSpPr>
        <xdr:cNvPr id="8738" name="TextBox 8737">
          <a:extLst>
            <a:ext uri="{FF2B5EF4-FFF2-40B4-BE49-F238E27FC236}">
              <a16:creationId xmlns:a16="http://schemas.microsoft.com/office/drawing/2014/main" id="{8ECDD437-3284-49EA-BC26-A9923B88812D}"/>
            </a:ext>
          </a:extLst>
        </xdr:cNvPr>
        <xdr:cNvSpPr txBox="1"/>
      </xdr:nvSpPr>
      <xdr:spPr>
        <a:xfrm>
          <a:off x="1258062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170</xdr:row>
      <xdr:rowOff>0</xdr:rowOff>
    </xdr:from>
    <xdr:ext cx="65" cy="172227"/>
    <xdr:sp macro="" textlink="">
      <xdr:nvSpPr>
        <xdr:cNvPr id="8739" name="TextBox 8738">
          <a:extLst>
            <a:ext uri="{FF2B5EF4-FFF2-40B4-BE49-F238E27FC236}">
              <a16:creationId xmlns:a16="http://schemas.microsoft.com/office/drawing/2014/main" id="{C32C6E0A-9D4F-4A9B-B518-2C83C5EF4DA0}"/>
            </a:ext>
          </a:extLst>
        </xdr:cNvPr>
        <xdr:cNvSpPr txBox="1"/>
      </xdr:nvSpPr>
      <xdr:spPr>
        <a:xfrm>
          <a:off x="1258062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170</xdr:row>
      <xdr:rowOff>0</xdr:rowOff>
    </xdr:from>
    <xdr:ext cx="65" cy="172227"/>
    <xdr:sp macro="" textlink="">
      <xdr:nvSpPr>
        <xdr:cNvPr id="8740" name="TextBox 8739">
          <a:extLst>
            <a:ext uri="{FF2B5EF4-FFF2-40B4-BE49-F238E27FC236}">
              <a16:creationId xmlns:a16="http://schemas.microsoft.com/office/drawing/2014/main" id="{CDA7B9AE-1840-4F0C-9C01-20620FDAC54E}"/>
            </a:ext>
          </a:extLst>
        </xdr:cNvPr>
        <xdr:cNvSpPr txBox="1"/>
      </xdr:nvSpPr>
      <xdr:spPr>
        <a:xfrm>
          <a:off x="1258062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170</xdr:row>
      <xdr:rowOff>0</xdr:rowOff>
    </xdr:from>
    <xdr:ext cx="65" cy="172227"/>
    <xdr:sp macro="" textlink="">
      <xdr:nvSpPr>
        <xdr:cNvPr id="8741" name="TextBox 8740">
          <a:extLst>
            <a:ext uri="{FF2B5EF4-FFF2-40B4-BE49-F238E27FC236}">
              <a16:creationId xmlns:a16="http://schemas.microsoft.com/office/drawing/2014/main" id="{0BE5A2F3-2B7E-432D-AF3A-6E5FA00475FF}"/>
            </a:ext>
          </a:extLst>
        </xdr:cNvPr>
        <xdr:cNvSpPr txBox="1"/>
      </xdr:nvSpPr>
      <xdr:spPr>
        <a:xfrm>
          <a:off x="1258062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170</xdr:row>
      <xdr:rowOff>0</xdr:rowOff>
    </xdr:from>
    <xdr:ext cx="65" cy="172227"/>
    <xdr:sp macro="" textlink="">
      <xdr:nvSpPr>
        <xdr:cNvPr id="8742" name="TextBox 8741">
          <a:extLst>
            <a:ext uri="{FF2B5EF4-FFF2-40B4-BE49-F238E27FC236}">
              <a16:creationId xmlns:a16="http://schemas.microsoft.com/office/drawing/2014/main" id="{18600D5D-DC0D-49FE-B879-F574EB8FAE74}"/>
            </a:ext>
          </a:extLst>
        </xdr:cNvPr>
        <xdr:cNvSpPr txBox="1"/>
      </xdr:nvSpPr>
      <xdr:spPr>
        <a:xfrm>
          <a:off x="1258062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170</xdr:row>
      <xdr:rowOff>0</xdr:rowOff>
    </xdr:from>
    <xdr:ext cx="65" cy="172227"/>
    <xdr:sp macro="" textlink="">
      <xdr:nvSpPr>
        <xdr:cNvPr id="8743" name="TextBox 8742">
          <a:extLst>
            <a:ext uri="{FF2B5EF4-FFF2-40B4-BE49-F238E27FC236}">
              <a16:creationId xmlns:a16="http://schemas.microsoft.com/office/drawing/2014/main" id="{131F4391-1AA1-4830-A545-CA519B6A21FE}"/>
            </a:ext>
          </a:extLst>
        </xdr:cNvPr>
        <xdr:cNvSpPr txBox="1"/>
      </xdr:nvSpPr>
      <xdr:spPr>
        <a:xfrm>
          <a:off x="1258062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170</xdr:row>
      <xdr:rowOff>0</xdr:rowOff>
    </xdr:from>
    <xdr:ext cx="65" cy="172227"/>
    <xdr:sp macro="" textlink="">
      <xdr:nvSpPr>
        <xdr:cNvPr id="8744" name="TextBox 8743">
          <a:extLst>
            <a:ext uri="{FF2B5EF4-FFF2-40B4-BE49-F238E27FC236}">
              <a16:creationId xmlns:a16="http://schemas.microsoft.com/office/drawing/2014/main" id="{A39A97DC-8ECE-419B-888C-72D8BE7CD5D6}"/>
            </a:ext>
          </a:extLst>
        </xdr:cNvPr>
        <xdr:cNvSpPr txBox="1"/>
      </xdr:nvSpPr>
      <xdr:spPr>
        <a:xfrm>
          <a:off x="1258062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170</xdr:row>
      <xdr:rowOff>0</xdr:rowOff>
    </xdr:from>
    <xdr:ext cx="65" cy="172227"/>
    <xdr:sp macro="" textlink="">
      <xdr:nvSpPr>
        <xdr:cNvPr id="8745" name="TextBox 8744">
          <a:extLst>
            <a:ext uri="{FF2B5EF4-FFF2-40B4-BE49-F238E27FC236}">
              <a16:creationId xmlns:a16="http://schemas.microsoft.com/office/drawing/2014/main" id="{0F9B1C51-2233-47B1-9C78-8106ADFE38D9}"/>
            </a:ext>
          </a:extLst>
        </xdr:cNvPr>
        <xdr:cNvSpPr txBox="1"/>
      </xdr:nvSpPr>
      <xdr:spPr>
        <a:xfrm>
          <a:off x="1258062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164</xdr:row>
      <xdr:rowOff>0</xdr:rowOff>
    </xdr:from>
    <xdr:ext cx="65" cy="172227"/>
    <xdr:sp macro="" textlink="">
      <xdr:nvSpPr>
        <xdr:cNvPr id="5" name="TextBox 4">
          <a:extLst>
            <a:ext uri="{FF2B5EF4-FFF2-40B4-BE49-F238E27FC236}">
              <a16:creationId xmlns:a16="http://schemas.microsoft.com/office/drawing/2014/main" id="{00000000-0008-0000-0000-000007000000}"/>
            </a:ext>
          </a:extLst>
        </xdr:cNvPr>
        <xdr:cNvSpPr txBox="1"/>
      </xdr:nvSpPr>
      <xdr:spPr>
        <a:xfrm>
          <a:off x="8267700" y="33093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164</xdr:row>
      <xdr:rowOff>0</xdr:rowOff>
    </xdr:from>
    <xdr:ext cx="65" cy="172227"/>
    <xdr:sp macro="" textlink="">
      <xdr:nvSpPr>
        <xdr:cNvPr id="9" name="TextBox 8">
          <a:extLst>
            <a:ext uri="{FF2B5EF4-FFF2-40B4-BE49-F238E27FC236}">
              <a16:creationId xmlns:a16="http://schemas.microsoft.com/office/drawing/2014/main" id="{00000000-0008-0000-0000-000007000000}"/>
            </a:ext>
          </a:extLst>
        </xdr:cNvPr>
        <xdr:cNvSpPr txBox="1"/>
      </xdr:nvSpPr>
      <xdr:spPr>
        <a:xfrm>
          <a:off x="8267700" y="33093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10" name="TextBox 9">
          <a:extLst>
            <a:ext uri="{FF2B5EF4-FFF2-40B4-BE49-F238E27FC236}">
              <a16:creationId xmlns:a16="http://schemas.microsoft.com/office/drawing/2014/main" id="{00000000-0008-0000-0000-000007000000}"/>
            </a:ext>
          </a:extLst>
        </xdr:cNvPr>
        <xdr:cNvSpPr txBox="1"/>
      </xdr:nvSpPr>
      <xdr:spPr>
        <a:xfrm>
          <a:off x="8267700" y="33291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11" name="TextBox 10">
          <a:extLst>
            <a:ext uri="{FF2B5EF4-FFF2-40B4-BE49-F238E27FC236}">
              <a16:creationId xmlns:a16="http://schemas.microsoft.com/office/drawing/2014/main" id="{00000000-0008-0000-0000-000007000000}"/>
            </a:ext>
          </a:extLst>
        </xdr:cNvPr>
        <xdr:cNvSpPr txBox="1"/>
      </xdr:nvSpPr>
      <xdr:spPr>
        <a:xfrm>
          <a:off x="8267700" y="33291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12" name="TextBox 11">
          <a:extLst>
            <a:ext uri="{FF2B5EF4-FFF2-40B4-BE49-F238E27FC236}">
              <a16:creationId xmlns:a16="http://schemas.microsoft.com/office/drawing/2014/main" id="{00000000-0008-0000-0000-000007000000}"/>
            </a:ext>
          </a:extLst>
        </xdr:cNvPr>
        <xdr:cNvSpPr txBox="1"/>
      </xdr:nvSpPr>
      <xdr:spPr>
        <a:xfrm>
          <a:off x="826770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13" name="TextBox 12">
          <a:extLst>
            <a:ext uri="{FF2B5EF4-FFF2-40B4-BE49-F238E27FC236}">
              <a16:creationId xmlns:a16="http://schemas.microsoft.com/office/drawing/2014/main" id="{00000000-0008-0000-0000-000007000000}"/>
            </a:ext>
          </a:extLst>
        </xdr:cNvPr>
        <xdr:cNvSpPr txBox="1"/>
      </xdr:nvSpPr>
      <xdr:spPr>
        <a:xfrm>
          <a:off x="826770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14" name="TextBox 13">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15" name="TextBox 14">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16" name="TextBox 15">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17" name="TextBox 16">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18" name="TextBox 17">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19" name="TextBox 18">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20" name="TextBox 19">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21" name="TextBox 20">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22" name="TextBox 21">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23" name="TextBox 22">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172</xdr:row>
      <xdr:rowOff>0</xdr:rowOff>
    </xdr:from>
    <xdr:ext cx="65" cy="172227"/>
    <xdr:sp macro="" textlink="">
      <xdr:nvSpPr>
        <xdr:cNvPr id="24" name="TextBox 23">
          <a:extLst>
            <a:ext uri="{FF2B5EF4-FFF2-40B4-BE49-F238E27FC236}">
              <a16:creationId xmlns:a16="http://schemas.microsoft.com/office/drawing/2014/main" id="{00000000-0008-0000-0000-000007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172</xdr:row>
      <xdr:rowOff>0</xdr:rowOff>
    </xdr:from>
    <xdr:ext cx="65" cy="172227"/>
    <xdr:sp macro="" textlink="">
      <xdr:nvSpPr>
        <xdr:cNvPr id="25" name="TextBox 24">
          <a:extLst>
            <a:ext uri="{FF2B5EF4-FFF2-40B4-BE49-F238E27FC236}">
              <a16:creationId xmlns:a16="http://schemas.microsoft.com/office/drawing/2014/main" id="{00000000-0008-0000-0000-000007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173</xdr:row>
      <xdr:rowOff>0</xdr:rowOff>
    </xdr:from>
    <xdr:ext cx="65" cy="172227"/>
    <xdr:sp macro="" textlink="">
      <xdr:nvSpPr>
        <xdr:cNvPr id="26" name="TextBox 25">
          <a:extLst>
            <a:ext uri="{FF2B5EF4-FFF2-40B4-BE49-F238E27FC236}">
              <a16:creationId xmlns:a16="http://schemas.microsoft.com/office/drawing/2014/main" id="{00000000-0008-0000-0000-000007000000}"/>
            </a:ext>
          </a:extLst>
        </xdr:cNvPr>
        <xdr:cNvSpPr txBox="1"/>
      </xdr:nvSpPr>
      <xdr:spPr>
        <a:xfrm>
          <a:off x="8267700" y="34846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173</xdr:row>
      <xdr:rowOff>0</xdr:rowOff>
    </xdr:from>
    <xdr:ext cx="65" cy="172227"/>
    <xdr:sp macro="" textlink="">
      <xdr:nvSpPr>
        <xdr:cNvPr id="27" name="TextBox 26">
          <a:extLst>
            <a:ext uri="{FF2B5EF4-FFF2-40B4-BE49-F238E27FC236}">
              <a16:creationId xmlns:a16="http://schemas.microsoft.com/office/drawing/2014/main" id="{00000000-0008-0000-0000-000007000000}"/>
            </a:ext>
          </a:extLst>
        </xdr:cNvPr>
        <xdr:cNvSpPr txBox="1"/>
      </xdr:nvSpPr>
      <xdr:spPr>
        <a:xfrm>
          <a:off x="8267700" y="34846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179</xdr:row>
      <xdr:rowOff>0</xdr:rowOff>
    </xdr:from>
    <xdr:ext cx="65" cy="172227"/>
    <xdr:sp macro="" textlink="">
      <xdr:nvSpPr>
        <xdr:cNvPr id="28" name="TextBox 27">
          <a:extLst>
            <a:ext uri="{FF2B5EF4-FFF2-40B4-BE49-F238E27FC236}">
              <a16:creationId xmlns:a16="http://schemas.microsoft.com/office/drawing/2014/main" id="{00000000-0008-0000-0000-000007000000}"/>
            </a:ext>
          </a:extLst>
        </xdr:cNvPr>
        <xdr:cNvSpPr txBox="1"/>
      </xdr:nvSpPr>
      <xdr:spPr>
        <a:xfrm>
          <a:off x="8267700" y="35943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179</xdr:row>
      <xdr:rowOff>0</xdr:rowOff>
    </xdr:from>
    <xdr:ext cx="65" cy="172227"/>
    <xdr:sp macro="" textlink="">
      <xdr:nvSpPr>
        <xdr:cNvPr id="29" name="TextBox 28">
          <a:extLst>
            <a:ext uri="{FF2B5EF4-FFF2-40B4-BE49-F238E27FC236}">
              <a16:creationId xmlns:a16="http://schemas.microsoft.com/office/drawing/2014/main" id="{00000000-0008-0000-0000-000007000000}"/>
            </a:ext>
          </a:extLst>
        </xdr:cNvPr>
        <xdr:cNvSpPr txBox="1"/>
      </xdr:nvSpPr>
      <xdr:spPr>
        <a:xfrm>
          <a:off x="8267700" y="35943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180</xdr:row>
      <xdr:rowOff>0</xdr:rowOff>
    </xdr:from>
    <xdr:ext cx="65" cy="172227"/>
    <xdr:sp macro="" textlink="">
      <xdr:nvSpPr>
        <xdr:cNvPr id="30" name="TextBox 29">
          <a:extLst>
            <a:ext uri="{FF2B5EF4-FFF2-40B4-BE49-F238E27FC236}">
              <a16:creationId xmlns:a16="http://schemas.microsoft.com/office/drawing/2014/main" id="{00000000-0008-0000-0000-000007000000}"/>
            </a:ext>
          </a:extLst>
        </xdr:cNvPr>
        <xdr:cNvSpPr txBox="1"/>
      </xdr:nvSpPr>
      <xdr:spPr>
        <a:xfrm>
          <a:off x="8267700" y="36126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180</xdr:row>
      <xdr:rowOff>0</xdr:rowOff>
    </xdr:from>
    <xdr:ext cx="65" cy="172227"/>
    <xdr:sp macro="" textlink="">
      <xdr:nvSpPr>
        <xdr:cNvPr id="31" name="TextBox 30">
          <a:extLst>
            <a:ext uri="{FF2B5EF4-FFF2-40B4-BE49-F238E27FC236}">
              <a16:creationId xmlns:a16="http://schemas.microsoft.com/office/drawing/2014/main" id="{00000000-0008-0000-0000-000007000000}"/>
            </a:ext>
          </a:extLst>
        </xdr:cNvPr>
        <xdr:cNvSpPr txBox="1"/>
      </xdr:nvSpPr>
      <xdr:spPr>
        <a:xfrm>
          <a:off x="8267700" y="36126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181</xdr:row>
      <xdr:rowOff>0</xdr:rowOff>
    </xdr:from>
    <xdr:ext cx="65" cy="172227"/>
    <xdr:sp macro="" textlink="">
      <xdr:nvSpPr>
        <xdr:cNvPr id="32" name="TextBox 31">
          <a:extLst>
            <a:ext uri="{FF2B5EF4-FFF2-40B4-BE49-F238E27FC236}">
              <a16:creationId xmlns:a16="http://schemas.microsoft.com/office/drawing/2014/main" id="{00000000-0008-0000-0000-000007000000}"/>
            </a:ext>
          </a:extLst>
        </xdr:cNvPr>
        <xdr:cNvSpPr txBox="1"/>
      </xdr:nvSpPr>
      <xdr:spPr>
        <a:xfrm>
          <a:off x="8267700" y="36309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181</xdr:row>
      <xdr:rowOff>0</xdr:rowOff>
    </xdr:from>
    <xdr:ext cx="65" cy="172227"/>
    <xdr:sp macro="" textlink="">
      <xdr:nvSpPr>
        <xdr:cNvPr id="33" name="TextBox 32">
          <a:extLst>
            <a:ext uri="{FF2B5EF4-FFF2-40B4-BE49-F238E27FC236}">
              <a16:creationId xmlns:a16="http://schemas.microsoft.com/office/drawing/2014/main" id="{00000000-0008-0000-0000-000007000000}"/>
            </a:ext>
          </a:extLst>
        </xdr:cNvPr>
        <xdr:cNvSpPr txBox="1"/>
      </xdr:nvSpPr>
      <xdr:spPr>
        <a:xfrm>
          <a:off x="8267700" y="36309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182</xdr:row>
      <xdr:rowOff>0</xdr:rowOff>
    </xdr:from>
    <xdr:ext cx="65" cy="172227"/>
    <xdr:sp macro="" textlink="">
      <xdr:nvSpPr>
        <xdr:cNvPr id="34" name="TextBox 33">
          <a:extLst>
            <a:ext uri="{FF2B5EF4-FFF2-40B4-BE49-F238E27FC236}">
              <a16:creationId xmlns:a16="http://schemas.microsoft.com/office/drawing/2014/main" id="{00000000-0008-0000-0000-000007000000}"/>
            </a:ext>
          </a:extLst>
        </xdr:cNvPr>
        <xdr:cNvSpPr txBox="1"/>
      </xdr:nvSpPr>
      <xdr:spPr>
        <a:xfrm>
          <a:off x="8267700" y="36492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182</xdr:row>
      <xdr:rowOff>0</xdr:rowOff>
    </xdr:from>
    <xdr:ext cx="65" cy="172227"/>
    <xdr:sp macro="" textlink="">
      <xdr:nvSpPr>
        <xdr:cNvPr id="35" name="TextBox 34">
          <a:extLst>
            <a:ext uri="{FF2B5EF4-FFF2-40B4-BE49-F238E27FC236}">
              <a16:creationId xmlns:a16="http://schemas.microsoft.com/office/drawing/2014/main" id="{00000000-0008-0000-0000-000007000000}"/>
            </a:ext>
          </a:extLst>
        </xdr:cNvPr>
        <xdr:cNvSpPr txBox="1"/>
      </xdr:nvSpPr>
      <xdr:spPr>
        <a:xfrm>
          <a:off x="8267700" y="36492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183</xdr:row>
      <xdr:rowOff>0</xdr:rowOff>
    </xdr:from>
    <xdr:ext cx="65" cy="172227"/>
    <xdr:sp macro="" textlink="">
      <xdr:nvSpPr>
        <xdr:cNvPr id="36" name="TextBox 35">
          <a:extLst>
            <a:ext uri="{FF2B5EF4-FFF2-40B4-BE49-F238E27FC236}">
              <a16:creationId xmlns:a16="http://schemas.microsoft.com/office/drawing/2014/main" id="{00000000-0008-0000-0000-000007000000}"/>
            </a:ext>
          </a:extLst>
        </xdr:cNvPr>
        <xdr:cNvSpPr txBox="1"/>
      </xdr:nvSpPr>
      <xdr:spPr>
        <a:xfrm>
          <a:off x="8267700" y="36675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183</xdr:row>
      <xdr:rowOff>0</xdr:rowOff>
    </xdr:from>
    <xdr:ext cx="65" cy="172227"/>
    <xdr:sp macro="" textlink="">
      <xdr:nvSpPr>
        <xdr:cNvPr id="37" name="TextBox 36">
          <a:extLst>
            <a:ext uri="{FF2B5EF4-FFF2-40B4-BE49-F238E27FC236}">
              <a16:creationId xmlns:a16="http://schemas.microsoft.com/office/drawing/2014/main" id="{00000000-0008-0000-0000-000007000000}"/>
            </a:ext>
          </a:extLst>
        </xdr:cNvPr>
        <xdr:cNvSpPr txBox="1"/>
      </xdr:nvSpPr>
      <xdr:spPr>
        <a:xfrm>
          <a:off x="8267700" y="36675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189</xdr:row>
      <xdr:rowOff>0</xdr:rowOff>
    </xdr:from>
    <xdr:ext cx="65" cy="172227"/>
    <xdr:sp macro="" textlink="">
      <xdr:nvSpPr>
        <xdr:cNvPr id="38" name="TextBox 37">
          <a:extLst>
            <a:ext uri="{FF2B5EF4-FFF2-40B4-BE49-F238E27FC236}">
              <a16:creationId xmlns:a16="http://schemas.microsoft.com/office/drawing/2014/main" id="{00000000-0008-0000-0000-000007000000}"/>
            </a:ext>
          </a:extLst>
        </xdr:cNvPr>
        <xdr:cNvSpPr txBox="1"/>
      </xdr:nvSpPr>
      <xdr:spPr>
        <a:xfrm>
          <a:off x="8267700" y="3777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189</xdr:row>
      <xdr:rowOff>0</xdr:rowOff>
    </xdr:from>
    <xdr:ext cx="65" cy="172227"/>
    <xdr:sp macro="" textlink="">
      <xdr:nvSpPr>
        <xdr:cNvPr id="39" name="TextBox 38">
          <a:extLst>
            <a:ext uri="{FF2B5EF4-FFF2-40B4-BE49-F238E27FC236}">
              <a16:creationId xmlns:a16="http://schemas.microsoft.com/office/drawing/2014/main" id="{00000000-0008-0000-0000-000007000000}"/>
            </a:ext>
          </a:extLst>
        </xdr:cNvPr>
        <xdr:cNvSpPr txBox="1"/>
      </xdr:nvSpPr>
      <xdr:spPr>
        <a:xfrm>
          <a:off x="8267700" y="3777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190</xdr:row>
      <xdr:rowOff>0</xdr:rowOff>
    </xdr:from>
    <xdr:ext cx="65" cy="172227"/>
    <xdr:sp macro="" textlink="">
      <xdr:nvSpPr>
        <xdr:cNvPr id="40" name="TextBox 39">
          <a:extLst>
            <a:ext uri="{FF2B5EF4-FFF2-40B4-BE49-F238E27FC236}">
              <a16:creationId xmlns:a16="http://schemas.microsoft.com/office/drawing/2014/main" id="{00000000-0008-0000-0000-000007000000}"/>
            </a:ext>
          </a:extLst>
        </xdr:cNvPr>
        <xdr:cNvSpPr txBox="1"/>
      </xdr:nvSpPr>
      <xdr:spPr>
        <a:xfrm>
          <a:off x="8267700" y="37955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190</xdr:row>
      <xdr:rowOff>0</xdr:rowOff>
    </xdr:from>
    <xdr:ext cx="65" cy="172227"/>
    <xdr:sp macro="" textlink="">
      <xdr:nvSpPr>
        <xdr:cNvPr id="41" name="TextBox 40">
          <a:extLst>
            <a:ext uri="{FF2B5EF4-FFF2-40B4-BE49-F238E27FC236}">
              <a16:creationId xmlns:a16="http://schemas.microsoft.com/office/drawing/2014/main" id="{00000000-0008-0000-0000-000007000000}"/>
            </a:ext>
          </a:extLst>
        </xdr:cNvPr>
        <xdr:cNvSpPr txBox="1"/>
      </xdr:nvSpPr>
      <xdr:spPr>
        <a:xfrm>
          <a:off x="8267700" y="37955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191</xdr:row>
      <xdr:rowOff>0</xdr:rowOff>
    </xdr:from>
    <xdr:ext cx="65" cy="172227"/>
    <xdr:sp macro="" textlink="">
      <xdr:nvSpPr>
        <xdr:cNvPr id="42" name="TextBox 41">
          <a:extLst>
            <a:ext uri="{FF2B5EF4-FFF2-40B4-BE49-F238E27FC236}">
              <a16:creationId xmlns:a16="http://schemas.microsoft.com/office/drawing/2014/main" id="{00000000-0008-0000-0000-000007000000}"/>
            </a:ext>
          </a:extLst>
        </xdr:cNvPr>
        <xdr:cNvSpPr txBox="1"/>
      </xdr:nvSpPr>
      <xdr:spPr>
        <a:xfrm>
          <a:off x="8267700" y="38138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191</xdr:row>
      <xdr:rowOff>0</xdr:rowOff>
    </xdr:from>
    <xdr:ext cx="65" cy="172227"/>
    <xdr:sp macro="" textlink="">
      <xdr:nvSpPr>
        <xdr:cNvPr id="43" name="TextBox 42">
          <a:extLst>
            <a:ext uri="{FF2B5EF4-FFF2-40B4-BE49-F238E27FC236}">
              <a16:creationId xmlns:a16="http://schemas.microsoft.com/office/drawing/2014/main" id="{00000000-0008-0000-0000-000007000000}"/>
            </a:ext>
          </a:extLst>
        </xdr:cNvPr>
        <xdr:cNvSpPr txBox="1"/>
      </xdr:nvSpPr>
      <xdr:spPr>
        <a:xfrm>
          <a:off x="8267700" y="38138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192</xdr:row>
      <xdr:rowOff>0</xdr:rowOff>
    </xdr:from>
    <xdr:ext cx="65" cy="172227"/>
    <xdr:sp macro="" textlink="">
      <xdr:nvSpPr>
        <xdr:cNvPr id="44" name="TextBox 43">
          <a:extLst>
            <a:ext uri="{FF2B5EF4-FFF2-40B4-BE49-F238E27FC236}">
              <a16:creationId xmlns:a16="http://schemas.microsoft.com/office/drawing/2014/main" id="{00000000-0008-0000-0000-000007000000}"/>
            </a:ext>
          </a:extLst>
        </xdr:cNvPr>
        <xdr:cNvSpPr txBox="1"/>
      </xdr:nvSpPr>
      <xdr:spPr>
        <a:xfrm>
          <a:off x="8267700" y="38320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192</xdr:row>
      <xdr:rowOff>0</xdr:rowOff>
    </xdr:from>
    <xdr:ext cx="65" cy="172227"/>
    <xdr:sp macro="" textlink="">
      <xdr:nvSpPr>
        <xdr:cNvPr id="45" name="TextBox 44">
          <a:extLst>
            <a:ext uri="{FF2B5EF4-FFF2-40B4-BE49-F238E27FC236}">
              <a16:creationId xmlns:a16="http://schemas.microsoft.com/office/drawing/2014/main" id="{00000000-0008-0000-0000-000007000000}"/>
            </a:ext>
          </a:extLst>
        </xdr:cNvPr>
        <xdr:cNvSpPr txBox="1"/>
      </xdr:nvSpPr>
      <xdr:spPr>
        <a:xfrm>
          <a:off x="8267700" y="38320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193</xdr:row>
      <xdr:rowOff>0</xdr:rowOff>
    </xdr:from>
    <xdr:ext cx="65" cy="172227"/>
    <xdr:sp macro="" textlink="">
      <xdr:nvSpPr>
        <xdr:cNvPr id="46" name="TextBox 45">
          <a:extLst>
            <a:ext uri="{FF2B5EF4-FFF2-40B4-BE49-F238E27FC236}">
              <a16:creationId xmlns:a16="http://schemas.microsoft.com/office/drawing/2014/main" id="{00000000-0008-0000-0000-000007000000}"/>
            </a:ext>
          </a:extLst>
        </xdr:cNvPr>
        <xdr:cNvSpPr txBox="1"/>
      </xdr:nvSpPr>
      <xdr:spPr>
        <a:xfrm>
          <a:off x="8267700" y="38503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193</xdr:row>
      <xdr:rowOff>0</xdr:rowOff>
    </xdr:from>
    <xdr:ext cx="65" cy="172227"/>
    <xdr:sp macro="" textlink="">
      <xdr:nvSpPr>
        <xdr:cNvPr id="47" name="TextBox 46">
          <a:extLst>
            <a:ext uri="{FF2B5EF4-FFF2-40B4-BE49-F238E27FC236}">
              <a16:creationId xmlns:a16="http://schemas.microsoft.com/office/drawing/2014/main" id="{00000000-0008-0000-0000-000007000000}"/>
            </a:ext>
          </a:extLst>
        </xdr:cNvPr>
        <xdr:cNvSpPr txBox="1"/>
      </xdr:nvSpPr>
      <xdr:spPr>
        <a:xfrm>
          <a:off x="8267700" y="38503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48" name="TextBox 47">
          <a:extLst>
            <a:ext uri="{FF2B5EF4-FFF2-40B4-BE49-F238E27FC236}">
              <a16:creationId xmlns:a16="http://schemas.microsoft.com/office/drawing/2014/main" id="{00000000-0008-0000-0000-000007000000}"/>
            </a:ext>
          </a:extLst>
        </xdr:cNvPr>
        <xdr:cNvSpPr txBox="1"/>
      </xdr:nvSpPr>
      <xdr:spPr>
        <a:xfrm>
          <a:off x="8267700" y="39235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49" name="TextBox 48">
          <a:extLst>
            <a:ext uri="{FF2B5EF4-FFF2-40B4-BE49-F238E27FC236}">
              <a16:creationId xmlns:a16="http://schemas.microsoft.com/office/drawing/2014/main" id="{00000000-0008-0000-0000-000007000000}"/>
            </a:ext>
          </a:extLst>
        </xdr:cNvPr>
        <xdr:cNvSpPr txBox="1"/>
      </xdr:nvSpPr>
      <xdr:spPr>
        <a:xfrm>
          <a:off x="8267700" y="39235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50" name="TextBox 49">
          <a:extLst>
            <a:ext uri="{FF2B5EF4-FFF2-40B4-BE49-F238E27FC236}">
              <a16:creationId xmlns:a16="http://schemas.microsoft.com/office/drawing/2014/main" id="{00000000-0008-0000-0000-000007000000}"/>
            </a:ext>
          </a:extLst>
        </xdr:cNvPr>
        <xdr:cNvSpPr txBox="1"/>
      </xdr:nvSpPr>
      <xdr:spPr>
        <a:xfrm>
          <a:off x="8267700" y="39235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51" name="TextBox 50">
          <a:extLst>
            <a:ext uri="{FF2B5EF4-FFF2-40B4-BE49-F238E27FC236}">
              <a16:creationId xmlns:a16="http://schemas.microsoft.com/office/drawing/2014/main" id="{00000000-0008-0000-0000-000007000000}"/>
            </a:ext>
          </a:extLst>
        </xdr:cNvPr>
        <xdr:cNvSpPr txBox="1"/>
      </xdr:nvSpPr>
      <xdr:spPr>
        <a:xfrm>
          <a:off x="8267700" y="39235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52" name="TextBox 51">
          <a:extLst>
            <a:ext uri="{FF2B5EF4-FFF2-40B4-BE49-F238E27FC236}">
              <a16:creationId xmlns:a16="http://schemas.microsoft.com/office/drawing/2014/main" id="{00000000-0008-0000-0000-000007000000}"/>
            </a:ext>
          </a:extLst>
        </xdr:cNvPr>
        <xdr:cNvSpPr txBox="1"/>
      </xdr:nvSpPr>
      <xdr:spPr>
        <a:xfrm>
          <a:off x="8267700" y="39235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53" name="TextBox 52">
          <a:extLst>
            <a:ext uri="{FF2B5EF4-FFF2-40B4-BE49-F238E27FC236}">
              <a16:creationId xmlns:a16="http://schemas.microsoft.com/office/drawing/2014/main" id="{00000000-0008-0000-0000-000007000000}"/>
            </a:ext>
          </a:extLst>
        </xdr:cNvPr>
        <xdr:cNvSpPr txBox="1"/>
      </xdr:nvSpPr>
      <xdr:spPr>
        <a:xfrm>
          <a:off x="8267700" y="39235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54" name="TextBox 53">
          <a:extLst>
            <a:ext uri="{FF2B5EF4-FFF2-40B4-BE49-F238E27FC236}">
              <a16:creationId xmlns:a16="http://schemas.microsoft.com/office/drawing/2014/main" id="{00000000-0008-0000-0000-000007000000}"/>
            </a:ext>
          </a:extLst>
        </xdr:cNvPr>
        <xdr:cNvSpPr txBox="1"/>
      </xdr:nvSpPr>
      <xdr:spPr>
        <a:xfrm>
          <a:off x="8267700" y="39235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55" name="TextBox 54">
          <a:extLst>
            <a:ext uri="{FF2B5EF4-FFF2-40B4-BE49-F238E27FC236}">
              <a16:creationId xmlns:a16="http://schemas.microsoft.com/office/drawing/2014/main" id="{00000000-0008-0000-0000-000007000000}"/>
            </a:ext>
          </a:extLst>
        </xdr:cNvPr>
        <xdr:cNvSpPr txBox="1"/>
      </xdr:nvSpPr>
      <xdr:spPr>
        <a:xfrm>
          <a:off x="8267700" y="39235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56" name="TextBox 55">
          <a:extLst>
            <a:ext uri="{FF2B5EF4-FFF2-40B4-BE49-F238E27FC236}">
              <a16:creationId xmlns:a16="http://schemas.microsoft.com/office/drawing/2014/main" id="{00000000-0008-0000-0000-000007000000}"/>
            </a:ext>
          </a:extLst>
        </xdr:cNvPr>
        <xdr:cNvSpPr txBox="1"/>
      </xdr:nvSpPr>
      <xdr:spPr>
        <a:xfrm>
          <a:off x="8267700" y="39235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57" name="TextBox 56">
          <a:extLst>
            <a:ext uri="{FF2B5EF4-FFF2-40B4-BE49-F238E27FC236}">
              <a16:creationId xmlns:a16="http://schemas.microsoft.com/office/drawing/2014/main" id="{00000000-0008-0000-0000-000007000000}"/>
            </a:ext>
          </a:extLst>
        </xdr:cNvPr>
        <xdr:cNvSpPr txBox="1"/>
      </xdr:nvSpPr>
      <xdr:spPr>
        <a:xfrm>
          <a:off x="8267700" y="39235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58" name="TextBox 57">
          <a:extLst>
            <a:ext uri="{FF2B5EF4-FFF2-40B4-BE49-F238E27FC236}">
              <a16:creationId xmlns:a16="http://schemas.microsoft.com/office/drawing/2014/main" id="{00000000-0008-0000-0000-000007000000}"/>
            </a:ext>
          </a:extLst>
        </xdr:cNvPr>
        <xdr:cNvSpPr txBox="1"/>
      </xdr:nvSpPr>
      <xdr:spPr>
        <a:xfrm>
          <a:off x="8267700" y="39235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59" name="TextBox 58">
          <a:extLst>
            <a:ext uri="{FF2B5EF4-FFF2-40B4-BE49-F238E27FC236}">
              <a16:creationId xmlns:a16="http://schemas.microsoft.com/office/drawing/2014/main" id="{00000000-0008-0000-0000-000007000000}"/>
            </a:ext>
          </a:extLst>
        </xdr:cNvPr>
        <xdr:cNvSpPr txBox="1"/>
      </xdr:nvSpPr>
      <xdr:spPr>
        <a:xfrm>
          <a:off x="8267700" y="39235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60" name="TextBox 59">
          <a:extLst>
            <a:ext uri="{FF2B5EF4-FFF2-40B4-BE49-F238E27FC236}">
              <a16:creationId xmlns:a16="http://schemas.microsoft.com/office/drawing/2014/main" id="{00000000-0008-0000-0000-000007000000}"/>
            </a:ext>
          </a:extLst>
        </xdr:cNvPr>
        <xdr:cNvSpPr txBox="1"/>
      </xdr:nvSpPr>
      <xdr:spPr>
        <a:xfrm>
          <a:off x="8267700" y="39235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61" name="TextBox 60">
          <a:extLst>
            <a:ext uri="{FF2B5EF4-FFF2-40B4-BE49-F238E27FC236}">
              <a16:creationId xmlns:a16="http://schemas.microsoft.com/office/drawing/2014/main" id="{00000000-0008-0000-0000-000007000000}"/>
            </a:ext>
          </a:extLst>
        </xdr:cNvPr>
        <xdr:cNvSpPr txBox="1"/>
      </xdr:nvSpPr>
      <xdr:spPr>
        <a:xfrm>
          <a:off x="8267700" y="39235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62" name="TextBox 61">
          <a:extLst>
            <a:ext uri="{FF2B5EF4-FFF2-40B4-BE49-F238E27FC236}">
              <a16:creationId xmlns:a16="http://schemas.microsoft.com/office/drawing/2014/main" id="{00000000-0008-0000-0000-000007000000}"/>
            </a:ext>
          </a:extLst>
        </xdr:cNvPr>
        <xdr:cNvSpPr txBox="1"/>
      </xdr:nvSpPr>
      <xdr:spPr>
        <a:xfrm>
          <a:off x="8267700" y="39235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63" name="TextBox 62">
          <a:extLst>
            <a:ext uri="{FF2B5EF4-FFF2-40B4-BE49-F238E27FC236}">
              <a16:creationId xmlns:a16="http://schemas.microsoft.com/office/drawing/2014/main" id="{00000000-0008-0000-0000-000007000000}"/>
            </a:ext>
          </a:extLst>
        </xdr:cNvPr>
        <xdr:cNvSpPr txBox="1"/>
      </xdr:nvSpPr>
      <xdr:spPr>
        <a:xfrm>
          <a:off x="8267700" y="39235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64" name="TextBox 63">
          <a:extLst>
            <a:ext uri="{FF2B5EF4-FFF2-40B4-BE49-F238E27FC236}">
              <a16:creationId xmlns:a16="http://schemas.microsoft.com/office/drawing/2014/main" id="{00000000-0008-0000-0000-000007000000}"/>
            </a:ext>
          </a:extLst>
        </xdr:cNvPr>
        <xdr:cNvSpPr txBox="1"/>
      </xdr:nvSpPr>
      <xdr:spPr>
        <a:xfrm>
          <a:off x="8267700" y="39235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65" name="TextBox 64">
          <a:extLst>
            <a:ext uri="{FF2B5EF4-FFF2-40B4-BE49-F238E27FC236}">
              <a16:creationId xmlns:a16="http://schemas.microsoft.com/office/drawing/2014/main" id="{00000000-0008-0000-0000-000007000000}"/>
            </a:ext>
          </a:extLst>
        </xdr:cNvPr>
        <xdr:cNvSpPr txBox="1"/>
      </xdr:nvSpPr>
      <xdr:spPr>
        <a:xfrm>
          <a:off x="8267700" y="39235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66" name="TextBox 65">
          <a:extLst>
            <a:ext uri="{FF2B5EF4-FFF2-40B4-BE49-F238E27FC236}">
              <a16:creationId xmlns:a16="http://schemas.microsoft.com/office/drawing/2014/main" id="{00000000-0008-0000-0000-000007000000}"/>
            </a:ext>
          </a:extLst>
        </xdr:cNvPr>
        <xdr:cNvSpPr txBox="1"/>
      </xdr:nvSpPr>
      <xdr:spPr>
        <a:xfrm>
          <a:off x="8267700" y="39235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67" name="TextBox 66">
          <a:extLst>
            <a:ext uri="{FF2B5EF4-FFF2-40B4-BE49-F238E27FC236}">
              <a16:creationId xmlns:a16="http://schemas.microsoft.com/office/drawing/2014/main" id="{00000000-0008-0000-0000-000007000000}"/>
            </a:ext>
          </a:extLst>
        </xdr:cNvPr>
        <xdr:cNvSpPr txBox="1"/>
      </xdr:nvSpPr>
      <xdr:spPr>
        <a:xfrm>
          <a:off x="8267700" y="39235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8" name="TextBox 67">
          <a:extLst>
            <a:ext uri="{FF2B5EF4-FFF2-40B4-BE49-F238E27FC236}">
              <a16:creationId xmlns:a16="http://schemas.microsoft.com/office/drawing/2014/main" id="{00000000-0008-0000-0000-000007000000}"/>
            </a:ext>
          </a:extLst>
        </xdr:cNvPr>
        <xdr:cNvSpPr txBox="1"/>
      </xdr:nvSpPr>
      <xdr:spPr>
        <a:xfrm>
          <a:off x="826770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9" name="TextBox 68">
          <a:extLst>
            <a:ext uri="{FF2B5EF4-FFF2-40B4-BE49-F238E27FC236}">
              <a16:creationId xmlns:a16="http://schemas.microsoft.com/office/drawing/2014/main" id="{00000000-0008-0000-0000-000007000000}"/>
            </a:ext>
          </a:extLst>
        </xdr:cNvPr>
        <xdr:cNvSpPr txBox="1"/>
      </xdr:nvSpPr>
      <xdr:spPr>
        <a:xfrm>
          <a:off x="826770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70" name="TextBox 69">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71" name="TextBox 70">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72" name="TextBox 71">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73" name="TextBox 72">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74" name="TextBox 73">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75" name="TextBox 74">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76" name="TextBox 75">
          <a:extLst>
            <a:ext uri="{FF2B5EF4-FFF2-40B4-BE49-F238E27FC236}">
              <a16:creationId xmlns:a16="http://schemas.microsoft.com/office/drawing/2014/main" id="{00000000-0008-0000-0000-000007000000}"/>
            </a:ext>
          </a:extLst>
        </xdr:cNvPr>
        <xdr:cNvSpPr txBox="1"/>
      </xdr:nvSpPr>
      <xdr:spPr>
        <a:xfrm>
          <a:off x="8267700" y="33291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77" name="TextBox 76">
          <a:extLst>
            <a:ext uri="{FF2B5EF4-FFF2-40B4-BE49-F238E27FC236}">
              <a16:creationId xmlns:a16="http://schemas.microsoft.com/office/drawing/2014/main" id="{00000000-0008-0000-0000-000007000000}"/>
            </a:ext>
          </a:extLst>
        </xdr:cNvPr>
        <xdr:cNvSpPr txBox="1"/>
      </xdr:nvSpPr>
      <xdr:spPr>
        <a:xfrm>
          <a:off x="8267700" y="33291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78" name="TextBox 77">
          <a:extLst>
            <a:ext uri="{FF2B5EF4-FFF2-40B4-BE49-F238E27FC236}">
              <a16:creationId xmlns:a16="http://schemas.microsoft.com/office/drawing/2014/main" id="{00000000-0008-0000-0000-000007000000}"/>
            </a:ext>
          </a:extLst>
        </xdr:cNvPr>
        <xdr:cNvSpPr txBox="1"/>
      </xdr:nvSpPr>
      <xdr:spPr>
        <a:xfrm>
          <a:off x="826770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79" name="TextBox 78">
          <a:extLst>
            <a:ext uri="{FF2B5EF4-FFF2-40B4-BE49-F238E27FC236}">
              <a16:creationId xmlns:a16="http://schemas.microsoft.com/office/drawing/2014/main" id="{00000000-0008-0000-0000-000007000000}"/>
            </a:ext>
          </a:extLst>
        </xdr:cNvPr>
        <xdr:cNvSpPr txBox="1"/>
      </xdr:nvSpPr>
      <xdr:spPr>
        <a:xfrm>
          <a:off x="826770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80" name="TextBox 79">
          <a:extLst>
            <a:ext uri="{FF2B5EF4-FFF2-40B4-BE49-F238E27FC236}">
              <a16:creationId xmlns:a16="http://schemas.microsoft.com/office/drawing/2014/main" id="{00000000-0008-0000-0000-000007000000}"/>
            </a:ext>
          </a:extLst>
        </xdr:cNvPr>
        <xdr:cNvSpPr txBox="1"/>
      </xdr:nvSpPr>
      <xdr:spPr>
        <a:xfrm>
          <a:off x="826770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81" name="TextBox 80">
          <a:extLst>
            <a:ext uri="{FF2B5EF4-FFF2-40B4-BE49-F238E27FC236}">
              <a16:creationId xmlns:a16="http://schemas.microsoft.com/office/drawing/2014/main" id="{00000000-0008-0000-0000-000007000000}"/>
            </a:ext>
          </a:extLst>
        </xdr:cNvPr>
        <xdr:cNvSpPr txBox="1"/>
      </xdr:nvSpPr>
      <xdr:spPr>
        <a:xfrm>
          <a:off x="826770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82" name="TextBox 81">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83" name="TextBox 82">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84" name="TextBox 83">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85" name="TextBox 84">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86" name="TextBox 85">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87" name="TextBox 86">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88" name="TextBox 87">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89" name="TextBox 88">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90" name="TextBox 89">
          <a:extLst>
            <a:ext uri="{FF2B5EF4-FFF2-40B4-BE49-F238E27FC236}">
              <a16:creationId xmlns:a16="http://schemas.microsoft.com/office/drawing/2014/main" id="{00000000-0008-0000-0000-000007000000}"/>
            </a:ext>
          </a:extLst>
        </xdr:cNvPr>
        <xdr:cNvSpPr txBox="1"/>
      </xdr:nvSpPr>
      <xdr:spPr>
        <a:xfrm>
          <a:off x="8267700" y="33291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91" name="TextBox 90">
          <a:extLst>
            <a:ext uri="{FF2B5EF4-FFF2-40B4-BE49-F238E27FC236}">
              <a16:creationId xmlns:a16="http://schemas.microsoft.com/office/drawing/2014/main" id="{00000000-0008-0000-0000-000007000000}"/>
            </a:ext>
          </a:extLst>
        </xdr:cNvPr>
        <xdr:cNvSpPr txBox="1"/>
      </xdr:nvSpPr>
      <xdr:spPr>
        <a:xfrm>
          <a:off x="8267700" y="33291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92" name="TextBox 91">
          <a:extLst>
            <a:ext uri="{FF2B5EF4-FFF2-40B4-BE49-F238E27FC236}">
              <a16:creationId xmlns:a16="http://schemas.microsoft.com/office/drawing/2014/main" id="{00000000-0008-0000-0000-000007000000}"/>
            </a:ext>
          </a:extLst>
        </xdr:cNvPr>
        <xdr:cNvSpPr txBox="1"/>
      </xdr:nvSpPr>
      <xdr:spPr>
        <a:xfrm>
          <a:off x="8267700" y="33291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93" name="TextBox 92">
          <a:extLst>
            <a:ext uri="{FF2B5EF4-FFF2-40B4-BE49-F238E27FC236}">
              <a16:creationId xmlns:a16="http://schemas.microsoft.com/office/drawing/2014/main" id="{00000000-0008-0000-0000-000007000000}"/>
            </a:ext>
          </a:extLst>
        </xdr:cNvPr>
        <xdr:cNvSpPr txBox="1"/>
      </xdr:nvSpPr>
      <xdr:spPr>
        <a:xfrm>
          <a:off x="8267700" y="33291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94" name="TextBox 93">
          <a:extLst>
            <a:ext uri="{FF2B5EF4-FFF2-40B4-BE49-F238E27FC236}">
              <a16:creationId xmlns:a16="http://schemas.microsoft.com/office/drawing/2014/main" id="{00000000-0008-0000-0000-000007000000}"/>
            </a:ext>
          </a:extLst>
        </xdr:cNvPr>
        <xdr:cNvSpPr txBox="1"/>
      </xdr:nvSpPr>
      <xdr:spPr>
        <a:xfrm>
          <a:off x="826770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95" name="TextBox 94">
          <a:extLst>
            <a:ext uri="{FF2B5EF4-FFF2-40B4-BE49-F238E27FC236}">
              <a16:creationId xmlns:a16="http://schemas.microsoft.com/office/drawing/2014/main" id="{00000000-0008-0000-0000-000007000000}"/>
            </a:ext>
          </a:extLst>
        </xdr:cNvPr>
        <xdr:cNvSpPr txBox="1"/>
      </xdr:nvSpPr>
      <xdr:spPr>
        <a:xfrm>
          <a:off x="826770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96" name="TextBox 95">
          <a:extLst>
            <a:ext uri="{FF2B5EF4-FFF2-40B4-BE49-F238E27FC236}">
              <a16:creationId xmlns:a16="http://schemas.microsoft.com/office/drawing/2014/main" id="{00000000-0008-0000-0000-000007000000}"/>
            </a:ext>
          </a:extLst>
        </xdr:cNvPr>
        <xdr:cNvSpPr txBox="1"/>
      </xdr:nvSpPr>
      <xdr:spPr>
        <a:xfrm>
          <a:off x="826770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97" name="TextBox 96">
          <a:extLst>
            <a:ext uri="{FF2B5EF4-FFF2-40B4-BE49-F238E27FC236}">
              <a16:creationId xmlns:a16="http://schemas.microsoft.com/office/drawing/2014/main" id="{00000000-0008-0000-0000-000007000000}"/>
            </a:ext>
          </a:extLst>
        </xdr:cNvPr>
        <xdr:cNvSpPr txBox="1"/>
      </xdr:nvSpPr>
      <xdr:spPr>
        <a:xfrm>
          <a:off x="826770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98" name="TextBox 97">
          <a:extLst>
            <a:ext uri="{FF2B5EF4-FFF2-40B4-BE49-F238E27FC236}">
              <a16:creationId xmlns:a16="http://schemas.microsoft.com/office/drawing/2014/main" id="{00000000-0008-0000-0000-000007000000}"/>
            </a:ext>
          </a:extLst>
        </xdr:cNvPr>
        <xdr:cNvSpPr txBox="1"/>
      </xdr:nvSpPr>
      <xdr:spPr>
        <a:xfrm>
          <a:off x="826770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99" name="TextBox 98">
          <a:extLst>
            <a:ext uri="{FF2B5EF4-FFF2-40B4-BE49-F238E27FC236}">
              <a16:creationId xmlns:a16="http://schemas.microsoft.com/office/drawing/2014/main" id="{00000000-0008-0000-0000-000007000000}"/>
            </a:ext>
          </a:extLst>
        </xdr:cNvPr>
        <xdr:cNvSpPr txBox="1"/>
      </xdr:nvSpPr>
      <xdr:spPr>
        <a:xfrm>
          <a:off x="826770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100" name="TextBox 99">
          <a:extLst>
            <a:ext uri="{FF2B5EF4-FFF2-40B4-BE49-F238E27FC236}">
              <a16:creationId xmlns:a16="http://schemas.microsoft.com/office/drawing/2014/main" id="{00000000-0008-0000-0000-000007000000}"/>
            </a:ext>
          </a:extLst>
        </xdr:cNvPr>
        <xdr:cNvSpPr txBox="1"/>
      </xdr:nvSpPr>
      <xdr:spPr>
        <a:xfrm>
          <a:off x="826770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101" name="TextBox 100">
          <a:extLst>
            <a:ext uri="{FF2B5EF4-FFF2-40B4-BE49-F238E27FC236}">
              <a16:creationId xmlns:a16="http://schemas.microsoft.com/office/drawing/2014/main" id="{00000000-0008-0000-0000-000007000000}"/>
            </a:ext>
          </a:extLst>
        </xdr:cNvPr>
        <xdr:cNvSpPr txBox="1"/>
      </xdr:nvSpPr>
      <xdr:spPr>
        <a:xfrm>
          <a:off x="826770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102" name="TextBox 101">
          <a:extLst>
            <a:ext uri="{FF2B5EF4-FFF2-40B4-BE49-F238E27FC236}">
              <a16:creationId xmlns:a16="http://schemas.microsoft.com/office/drawing/2014/main" id="{00000000-0008-0000-0000-000007000000}"/>
            </a:ext>
          </a:extLst>
        </xdr:cNvPr>
        <xdr:cNvSpPr txBox="1"/>
      </xdr:nvSpPr>
      <xdr:spPr>
        <a:xfrm>
          <a:off x="826770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103" name="TextBox 102">
          <a:extLst>
            <a:ext uri="{FF2B5EF4-FFF2-40B4-BE49-F238E27FC236}">
              <a16:creationId xmlns:a16="http://schemas.microsoft.com/office/drawing/2014/main" id="{00000000-0008-0000-0000-000007000000}"/>
            </a:ext>
          </a:extLst>
        </xdr:cNvPr>
        <xdr:cNvSpPr txBox="1"/>
      </xdr:nvSpPr>
      <xdr:spPr>
        <a:xfrm>
          <a:off x="826770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104" name="TextBox 103">
          <a:extLst>
            <a:ext uri="{FF2B5EF4-FFF2-40B4-BE49-F238E27FC236}">
              <a16:creationId xmlns:a16="http://schemas.microsoft.com/office/drawing/2014/main" id="{00000000-0008-0000-0000-000007000000}"/>
            </a:ext>
          </a:extLst>
        </xdr:cNvPr>
        <xdr:cNvSpPr txBox="1"/>
      </xdr:nvSpPr>
      <xdr:spPr>
        <a:xfrm>
          <a:off x="826770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105" name="TextBox 104">
          <a:extLst>
            <a:ext uri="{FF2B5EF4-FFF2-40B4-BE49-F238E27FC236}">
              <a16:creationId xmlns:a16="http://schemas.microsoft.com/office/drawing/2014/main" id="{00000000-0008-0000-0000-000007000000}"/>
            </a:ext>
          </a:extLst>
        </xdr:cNvPr>
        <xdr:cNvSpPr txBox="1"/>
      </xdr:nvSpPr>
      <xdr:spPr>
        <a:xfrm>
          <a:off x="826770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106" name="TextBox 105">
          <a:extLst>
            <a:ext uri="{FF2B5EF4-FFF2-40B4-BE49-F238E27FC236}">
              <a16:creationId xmlns:a16="http://schemas.microsoft.com/office/drawing/2014/main" id="{00000000-0008-0000-0000-000007000000}"/>
            </a:ext>
          </a:extLst>
        </xdr:cNvPr>
        <xdr:cNvSpPr txBox="1"/>
      </xdr:nvSpPr>
      <xdr:spPr>
        <a:xfrm>
          <a:off x="826770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107" name="TextBox 106">
          <a:extLst>
            <a:ext uri="{FF2B5EF4-FFF2-40B4-BE49-F238E27FC236}">
              <a16:creationId xmlns:a16="http://schemas.microsoft.com/office/drawing/2014/main" id="{00000000-0008-0000-0000-000007000000}"/>
            </a:ext>
          </a:extLst>
        </xdr:cNvPr>
        <xdr:cNvSpPr txBox="1"/>
      </xdr:nvSpPr>
      <xdr:spPr>
        <a:xfrm>
          <a:off x="826770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108" name="TextBox 107">
          <a:extLst>
            <a:ext uri="{FF2B5EF4-FFF2-40B4-BE49-F238E27FC236}">
              <a16:creationId xmlns:a16="http://schemas.microsoft.com/office/drawing/2014/main" id="{00000000-0008-0000-0000-000007000000}"/>
            </a:ext>
          </a:extLst>
        </xdr:cNvPr>
        <xdr:cNvSpPr txBox="1"/>
      </xdr:nvSpPr>
      <xdr:spPr>
        <a:xfrm>
          <a:off x="826770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109" name="TextBox 108">
          <a:extLst>
            <a:ext uri="{FF2B5EF4-FFF2-40B4-BE49-F238E27FC236}">
              <a16:creationId xmlns:a16="http://schemas.microsoft.com/office/drawing/2014/main" id="{00000000-0008-0000-0000-000007000000}"/>
            </a:ext>
          </a:extLst>
        </xdr:cNvPr>
        <xdr:cNvSpPr txBox="1"/>
      </xdr:nvSpPr>
      <xdr:spPr>
        <a:xfrm>
          <a:off x="826770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110" name="TextBox 109">
          <a:extLst>
            <a:ext uri="{FF2B5EF4-FFF2-40B4-BE49-F238E27FC236}">
              <a16:creationId xmlns:a16="http://schemas.microsoft.com/office/drawing/2014/main" id="{00000000-0008-0000-0000-000007000000}"/>
            </a:ext>
          </a:extLst>
        </xdr:cNvPr>
        <xdr:cNvSpPr txBox="1"/>
      </xdr:nvSpPr>
      <xdr:spPr>
        <a:xfrm>
          <a:off x="1213866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111" name="TextBox 110">
          <a:extLst>
            <a:ext uri="{FF2B5EF4-FFF2-40B4-BE49-F238E27FC236}">
              <a16:creationId xmlns:a16="http://schemas.microsoft.com/office/drawing/2014/main" id="{00000000-0008-0000-0000-000007000000}"/>
            </a:ext>
          </a:extLst>
        </xdr:cNvPr>
        <xdr:cNvSpPr txBox="1"/>
      </xdr:nvSpPr>
      <xdr:spPr>
        <a:xfrm>
          <a:off x="1213866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112" name="TextBox 111">
          <a:extLst>
            <a:ext uri="{FF2B5EF4-FFF2-40B4-BE49-F238E27FC236}">
              <a16:creationId xmlns:a16="http://schemas.microsoft.com/office/drawing/2014/main" id="{00000000-0008-0000-0000-000007000000}"/>
            </a:ext>
          </a:extLst>
        </xdr:cNvPr>
        <xdr:cNvSpPr txBox="1"/>
      </xdr:nvSpPr>
      <xdr:spPr>
        <a:xfrm>
          <a:off x="1213866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113" name="TextBox 112">
          <a:extLst>
            <a:ext uri="{FF2B5EF4-FFF2-40B4-BE49-F238E27FC236}">
              <a16:creationId xmlns:a16="http://schemas.microsoft.com/office/drawing/2014/main" id="{00000000-0008-0000-0000-000007000000}"/>
            </a:ext>
          </a:extLst>
        </xdr:cNvPr>
        <xdr:cNvSpPr txBox="1"/>
      </xdr:nvSpPr>
      <xdr:spPr>
        <a:xfrm>
          <a:off x="1213866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114" name="TextBox 113">
          <a:extLst>
            <a:ext uri="{FF2B5EF4-FFF2-40B4-BE49-F238E27FC236}">
              <a16:creationId xmlns:a16="http://schemas.microsoft.com/office/drawing/2014/main" id="{00000000-0008-0000-0000-000007000000}"/>
            </a:ext>
          </a:extLst>
        </xdr:cNvPr>
        <xdr:cNvSpPr txBox="1"/>
      </xdr:nvSpPr>
      <xdr:spPr>
        <a:xfrm>
          <a:off x="1213866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115" name="TextBox 114">
          <a:extLst>
            <a:ext uri="{FF2B5EF4-FFF2-40B4-BE49-F238E27FC236}">
              <a16:creationId xmlns:a16="http://schemas.microsoft.com/office/drawing/2014/main" id="{00000000-0008-0000-0000-000007000000}"/>
            </a:ext>
          </a:extLst>
        </xdr:cNvPr>
        <xdr:cNvSpPr txBox="1"/>
      </xdr:nvSpPr>
      <xdr:spPr>
        <a:xfrm>
          <a:off x="1213866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116" name="TextBox 115">
          <a:extLst>
            <a:ext uri="{FF2B5EF4-FFF2-40B4-BE49-F238E27FC236}">
              <a16:creationId xmlns:a16="http://schemas.microsoft.com/office/drawing/2014/main" id="{00000000-0008-0000-0000-000007000000}"/>
            </a:ext>
          </a:extLst>
        </xdr:cNvPr>
        <xdr:cNvSpPr txBox="1"/>
      </xdr:nvSpPr>
      <xdr:spPr>
        <a:xfrm>
          <a:off x="1213866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117" name="TextBox 116">
          <a:extLst>
            <a:ext uri="{FF2B5EF4-FFF2-40B4-BE49-F238E27FC236}">
              <a16:creationId xmlns:a16="http://schemas.microsoft.com/office/drawing/2014/main" id="{00000000-0008-0000-0000-000007000000}"/>
            </a:ext>
          </a:extLst>
        </xdr:cNvPr>
        <xdr:cNvSpPr txBox="1"/>
      </xdr:nvSpPr>
      <xdr:spPr>
        <a:xfrm>
          <a:off x="1213866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118" name="TextBox 117">
          <a:extLst>
            <a:ext uri="{FF2B5EF4-FFF2-40B4-BE49-F238E27FC236}">
              <a16:creationId xmlns:a16="http://schemas.microsoft.com/office/drawing/2014/main" id="{00000000-0008-0000-0000-000007000000}"/>
            </a:ext>
          </a:extLst>
        </xdr:cNvPr>
        <xdr:cNvSpPr txBox="1"/>
      </xdr:nvSpPr>
      <xdr:spPr>
        <a:xfrm>
          <a:off x="8267700" y="33291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119" name="TextBox 118">
          <a:extLst>
            <a:ext uri="{FF2B5EF4-FFF2-40B4-BE49-F238E27FC236}">
              <a16:creationId xmlns:a16="http://schemas.microsoft.com/office/drawing/2014/main" id="{00000000-0008-0000-0000-000007000000}"/>
            </a:ext>
          </a:extLst>
        </xdr:cNvPr>
        <xdr:cNvSpPr txBox="1"/>
      </xdr:nvSpPr>
      <xdr:spPr>
        <a:xfrm>
          <a:off x="8267700" y="33291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120" name="TextBox 119">
          <a:extLst>
            <a:ext uri="{FF2B5EF4-FFF2-40B4-BE49-F238E27FC236}">
              <a16:creationId xmlns:a16="http://schemas.microsoft.com/office/drawing/2014/main" id="{00000000-0008-0000-0000-000007000000}"/>
            </a:ext>
          </a:extLst>
        </xdr:cNvPr>
        <xdr:cNvSpPr txBox="1"/>
      </xdr:nvSpPr>
      <xdr:spPr>
        <a:xfrm>
          <a:off x="8267700" y="33291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121" name="TextBox 120">
          <a:extLst>
            <a:ext uri="{FF2B5EF4-FFF2-40B4-BE49-F238E27FC236}">
              <a16:creationId xmlns:a16="http://schemas.microsoft.com/office/drawing/2014/main" id="{00000000-0008-0000-0000-000007000000}"/>
            </a:ext>
          </a:extLst>
        </xdr:cNvPr>
        <xdr:cNvSpPr txBox="1"/>
      </xdr:nvSpPr>
      <xdr:spPr>
        <a:xfrm>
          <a:off x="8267700" y="33291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122" name="TextBox 121">
          <a:extLst>
            <a:ext uri="{FF2B5EF4-FFF2-40B4-BE49-F238E27FC236}">
              <a16:creationId xmlns:a16="http://schemas.microsoft.com/office/drawing/2014/main" id="{00000000-0008-0000-0000-000007000000}"/>
            </a:ext>
          </a:extLst>
        </xdr:cNvPr>
        <xdr:cNvSpPr txBox="1"/>
      </xdr:nvSpPr>
      <xdr:spPr>
        <a:xfrm>
          <a:off x="826770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123" name="TextBox 122">
          <a:extLst>
            <a:ext uri="{FF2B5EF4-FFF2-40B4-BE49-F238E27FC236}">
              <a16:creationId xmlns:a16="http://schemas.microsoft.com/office/drawing/2014/main" id="{00000000-0008-0000-0000-000007000000}"/>
            </a:ext>
          </a:extLst>
        </xdr:cNvPr>
        <xdr:cNvSpPr txBox="1"/>
      </xdr:nvSpPr>
      <xdr:spPr>
        <a:xfrm>
          <a:off x="826770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124" name="TextBox 123">
          <a:extLst>
            <a:ext uri="{FF2B5EF4-FFF2-40B4-BE49-F238E27FC236}">
              <a16:creationId xmlns:a16="http://schemas.microsoft.com/office/drawing/2014/main" id="{00000000-0008-0000-0000-000007000000}"/>
            </a:ext>
          </a:extLst>
        </xdr:cNvPr>
        <xdr:cNvSpPr txBox="1"/>
      </xdr:nvSpPr>
      <xdr:spPr>
        <a:xfrm>
          <a:off x="826770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125" name="TextBox 124">
          <a:extLst>
            <a:ext uri="{FF2B5EF4-FFF2-40B4-BE49-F238E27FC236}">
              <a16:creationId xmlns:a16="http://schemas.microsoft.com/office/drawing/2014/main" id="{00000000-0008-0000-0000-000007000000}"/>
            </a:ext>
          </a:extLst>
        </xdr:cNvPr>
        <xdr:cNvSpPr txBox="1"/>
      </xdr:nvSpPr>
      <xdr:spPr>
        <a:xfrm>
          <a:off x="826770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126" name="TextBox 125">
          <a:extLst>
            <a:ext uri="{FF2B5EF4-FFF2-40B4-BE49-F238E27FC236}">
              <a16:creationId xmlns:a16="http://schemas.microsoft.com/office/drawing/2014/main" id="{00000000-0008-0000-0000-000007000000}"/>
            </a:ext>
          </a:extLst>
        </xdr:cNvPr>
        <xdr:cNvSpPr txBox="1"/>
      </xdr:nvSpPr>
      <xdr:spPr>
        <a:xfrm>
          <a:off x="826770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127" name="TextBox 126">
          <a:extLst>
            <a:ext uri="{FF2B5EF4-FFF2-40B4-BE49-F238E27FC236}">
              <a16:creationId xmlns:a16="http://schemas.microsoft.com/office/drawing/2014/main" id="{00000000-0008-0000-0000-000007000000}"/>
            </a:ext>
          </a:extLst>
        </xdr:cNvPr>
        <xdr:cNvSpPr txBox="1"/>
      </xdr:nvSpPr>
      <xdr:spPr>
        <a:xfrm>
          <a:off x="826770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128" name="TextBox 127">
          <a:extLst>
            <a:ext uri="{FF2B5EF4-FFF2-40B4-BE49-F238E27FC236}">
              <a16:creationId xmlns:a16="http://schemas.microsoft.com/office/drawing/2014/main" id="{00000000-0008-0000-0000-000007000000}"/>
            </a:ext>
          </a:extLst>
        </xdr:cNvPr>
        <xdr:cNvSpPr txBox="1"/>
      </xdr:nvSpPr>
      <xdr:spPr>
        <a:xfrm>
          <a:off x="826770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129" name="TextBox 128">
          <a:extLst>
            <a:ext uri="{FF2B5EF4-FFF2-40B4-BE49-F238E27FC236}">
              <a16:creationId xmlns:a16="http://schemas.microsoft.com/office/drawing/2014/main" id="{00000000-0008-0000-0000-000007000000}"/>
            </a:ext>
          </a:extLst>
        </xdr:cNvPr>
        <xdr:cNvSpPr txBox="1"/>
      </xdr:nvSpPr>
      <xdr:spPr>
        <a:xfrm>
          <a:off x="826770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130" name="TextBox 129">
          <a:extLst>
            <a:ext uri="{FF2B5EF4-FFF2-40B4-BE49-F238E27FC236}">
              <a16:creationId xmlns:a16="http://schemas.microsoft.com/office/drawing/2014/main" id="{00000000-0008-0000-0000-000007000000}"/>
            </a:ext>
          </a:extLst>
        </xdr:cNvPr>
        <xdr:cNvSpPr txBox="1"/>
      </xdr:nvSpPr>
      <xdr:spPr>
        <a:xfrm>
          <a:off x="826770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131" name="TextBox 130">
          <a:extLst>
            <a:ext uri="{FF2B5EF4-FFF2-40B4-BE49-F238E27FC236}">
              <a16:creationId xmlns:a16="http://schemas.microsoft.com/office/drawing/2014/main" id="{00000000-0008-0000-0000-000007000000}"/>
            </a:ext>
          </a:extLst>
        </xdr:cNvPr>
        <xdr:cNvSpPr txBox="1"/>
      </xdr:nvSpPr>
      <xdr:spPr>
        <a:xfrm>
          <a:off x="826770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132" name="TextBox 131">
          <a:extLst>
            <a:ext uri="{FF2B5EF4-FFF2-40B4-BE49-F238E27FC236}">
              <a16:creationId xmlns:a16="http://schemas.microsoft.com/office/drawing/2014/main" id="{00000000-0008-0000-0000-000007000000}"/>
            </a:ext>
          </a:extLst>
        </xdr:cNvPr>
        <xdr:cNvSpPr txBox="1"/>
      </xdr:nvSpPr>
      <xdr:spPr>
        <a:xfrm>
          <a:off x="826770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133" name="TextBox 132">
          <a:extLst>
            <a:ext uri="{FF2B5EF4-FFF2-40B4-BE49-F238E27FC236}">
              <a16:creationId xmlns:a16="http://schemas.microsoft.com/office/drawing/2014/main" id="{00000000-0008-0000-0000-000007000000}"/>
            </a:ext>
          </a:extLst>
        </xdr:cNvPr>
        <xdr:cNvSpPr txBox="1"/>
      </xdr:nvSpPr>
      <xdr:spPr>
        <a:xfrm>
          <a:off x="826770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134" name="TextBox 133">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135" name="TextBox 134">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136" name="TextBox 135">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137" name="TextBox 136">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138" name="TextBox 137">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139" name="TextBox 138">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140" name="TextBox 139">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141" name="TextBox 140">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142" name="TextBox 141">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143" name="TextBox 142">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144" name="TextBox 143">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145" name="TextBox 144">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146" name="TextBox 145">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147" name="TextBox 146">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148" name="TextBox 147">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149" name="TextBox 148">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150" name="TextBox 149">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151" name="TextBox 150">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152" name="TextBox 151">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153" name="TextBox 152">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154" name="TextBox 153">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155" name="TextBox 154">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156" name="TextBox 155">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157" name="TextBox 156">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158" name="TextBox 157">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159" name="TextBox 158">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160" name="TextBox 159">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161" name="TextBox 160">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162" name="TextBox 161">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163" name="TextBox 162">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164" name="TextBox 163">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165" name="TextBox 164">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166" name="TextBox 165">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167" name="TextBox 166">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168" name="TextBox 167">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169" name="TextBox 168">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170" name="TextBox 169">
          <a:extLst>
            <a:ext uri="{FF2B5EF4-FFF2-40B4-BE49-F238E27FC236}">
              <a16:creationId xmlns:a16="http://schemas.microsoft.com/office/drawing/2014/main" id="{00000000-0008-0000-0000-000007000000}"/>
            </a:ext>
          </a:extLst>
        </xdr:cNvPr>
        <xdr:cNvSpPr txBox="1"/>
      </xdr:nvSpPr>
      <xdr:spPr>
        <a:xfrm>
          <a:off x="1213866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171" name="TextBox 170">
          <a:extLst>
            <a:ext uri="{FF2B5EF4-FFF2-40B4-BE49-F238E27FC236}">
              <a16:creationId xmlns:a16="http://schemas.microsoft.com/office/drawing/2014/main" id="{00000000-0008-0000-0000-000007000000}"/>
            </a:ext>
          </a:extLst>
        </xdr:cNvPr>
        <xdr:cNvSpPr txBox="1"/>
      </xdr:nvSpPr>
      <xdr:spPr>
        <a:xfrm>
          <a:off x="1213866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172" name="TextBox 171">
          <a:extLst>
            <a:ext uri="{FF2B5EF4-FFF2-40B4-BE49-F238E27FC236}">
              <a16:creationId xmlns:a16="http://schemas.microsoft.com/office/drawing/2014/main" id="{00000000-0008-0000-0000-000007000000}"/>
            </a:ext>
          </a:extLst>
        </xdr:cNvPr>
        <xdr:cNvSpPr txBox="1"/>
      </xdr:nvSpPr>
      <xdr:spPr>
        <a:xfrm>
          <a:off x="1213866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173" name="TextBox 172">
          <a:extLst>
            <a:ext uri="{FF2B5EF4-FFF2-40B4-BE49-F238E27FC236}">
              <a16:creationId xmlns:a16="http://schemas.microsoft.com/office/drawing/2014/main" id="{00000000-0008-0000-0000-000007000000}"/>
            </a:ext>
          </a:extLst>
        </xdr:cNvPr>
        <xdr:cNvSpPr txBox="1"/>
      </xdr:nvSpPr>
      <xdr:spPr>
        <a:xfrm>
          <a:off x="1213866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174" name="TextBox 173">
          <a:extLst>
            <a:ext uri="{FF2B5EF4-FFF2-40B4-BE49-F238E27FC236}">
              <a16:creationId xmlns:a16="http://schemas.microsoft.com/office/drawing/2014/main" id="{00000000-0008-0000-0000-000007000000}"/>
            </a:ext>
          </a:extLst>
        </xdr:cNvPr>
        <xdr:cNvSpPr txBox="1"/>
      </xdr:nvSpPr>
      <xdr:spPr>
        <a:xfrm>
          <a:off x="1213866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175" name="TextBox 174">
          <a:extLst>
            <a:ext uri="{FF2B5EF4-FFF2-40B4-BE49-F238E27FC236}">
              <a16:creationId xmlns:a16="http://schemas.microsoft.com/office/drawing/2014/main" id="{00000000-0008-0000-0000-000007000000}"/>
            </a:ext>
          </a:extLst>
        </xdr:cNvPr>
        <xdr:cNvSpPr txBox="1"/>
      </xdr:nvSpPr>
      <xdr:spPr>
        <a:xfrm>
          <a:off x="1213866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176" name="TextBox 175">
          <a:extLst>
            <a:ext uri="{FF2B5EF4-FFF2-40B4-BE49-F238E27FC236}">
              <a16:creationId xmlns:a16="http://schemas.microsoft.com/office/drawing/2014/main" id="{00000000-0008-0000-0000-000007000000}"/>
            </a:ext>
          </a:extLst>
        </xdr:cNvPr>
        <xdr:cNvSpPr txBox="1"/>
      </xdr:nvSpPr>
      <xdr:spPr>
        <a:xfrm>
          <a:off x="1213866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177" name="TextBox 176">
          <a:extLst>
            <a:ext uri="{FF2B5EF4-FFF2-40B4-BE49-F238E27FC236}">
              <a16:creationId xmlns:a16="http://schemas.microsoft.com/office/drawing/2014/main" id="{00000000-0008-0000-0000-000007000000}"/>
            </a:ext>
          </a:extLst>
        </xdr:cNvPr>
        <xdr:cNvSpPr txBox="1"/>
      </xdr:nvSpPr>
      <xdr:spPr>
        <a:xfrm>
          <a:off x="1213866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178" name="TextBox 177">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179" name="TextBox 178">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180" name="TextBox 179">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181" name="TextBox 180">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182" name="TextBox 181">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183" name="TextBox 182">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184" name="TextBox 183">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185" name="TextBox 184">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186" name="TextBox 185">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187" name="TextBox 186">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188" name="TextBox 187">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189" name="TextBox 188">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190" name="TextBox 189">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191" name="TextBox 190">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192" name="TextBox 191">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193" name="TextBox 192">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194" name="TextBox 193">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195" name="TextBox 194">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196" name="TextBox 195">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197" name="TextBox 196">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198" name="TextBox 197">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199" name="TextBox 198">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200" name="TextBox 199">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201" name="TextBox 200">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202" name="TextBox 201">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203" name="TextBox 202">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204" name="TextBox 203">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205" name="TextBox 204">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206" name="TextBox 205">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207" name="TextBox 206">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208" name="TextBox 207">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209" name="TextBox 208">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210" name="TextBox 209">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211" name="TextBox 210">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212" name="TextBox 211">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213" name="TextBox 212">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214" name="TextBox 213">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215" name="TextBox 214">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216" name="TextBox 215">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217" name="TextBox 216">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218" name="TextBox 217">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219" name="TextBox 218">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220" name="TextBox 219">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221" name="TextBox 220">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222" name="TextBox 221">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223" name="TextBox 222">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224" name="TextBox 223">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225" name="TextBox 224">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226" name="TextBox 225">
          <a:extLst>
            <a:ext uri="{FF2B5EF4-FFF2-40B4-BE49-F238E27FC236}">
              <a16:creationId xmlns:a16="http://schemas.microsoft.com/office/drawing/2014/main" id="{00000000-0008-0000-0000-000007000000}"/>
            </a:ext>
          </a:extLst>
        </xdr:cNvPr>
        <xdr:cNvSpPr txBox="1"/>
      </xdr:nvSpPr>
      <xdr:spPr>
        <a:xfrm>
          <a:off x="1213866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227" name="TextBox 226">
          <a:extLst>
            <a:ext uri="{FF2B5EF4-FFF2-40B4-BE49-F238E27FC236}">
              <a16:creationId xmlns:a16="http://schemas.microsoft.com/office/drawing/2014/main" id="{00000000-0008-0000-0000-000007000000}"/>
            </a:ext>
          </a:extLst>
        </xdr:cNvPr>
        <xdr:cNvSpPr txBox="1"/>
      </xdr:nvSpPr>
      <xdr:spPr>
        <a:xfrm>
          <a:off x="1213866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228" name="TextBox 227">
          <a:extLst>
            <a:ext uri="{FF2B5EF4-FFF2-40B4-BE49-F238E27FC236}">
              <a16:creationId xmlns:a16="http://schemas.microsoft.com/office/drawing/2014/main" id="{00000000-0008-0000-0000-000007000000}"/>
            </a:ext>
          </a:extLst>
        </xdr:cNvPr>
        <xdr:cNvSpPr txBox="1"/>
      </xdr:nvSpPr>
      <xdr:spPr>
        <a:xfrm>
          <a:off x="1213866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229" name="TextBox 228">
          <a:extLst>
            <a:ext uri="{FF2B5EF4-FFF2-40B4-BE49-F238E27FC236}">
              <a16:creationId xmlns:a16="http://schemas.microsoft.com/office/drawing/2014/main" id="{00000000-0008-0000-0000-000007000000}"/>
            </a:ext>
          </a:extLst>
        </xdr:cNvPr>
        <xdr:cNvSpPr txBox="1"/>
      </xdr:nvSpPr>
      <xdr:spPr>
        <a:xfrm>
          <a:off x="1213866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230" name="TextBox 229">
          <a:extLst>
            <a:ext uri="{FF2B5EF4-FFF2-40B4-BE49-F238E27FC236}">
              <a16:creationId xmlns:a16="http://schemas.microsoft.com/office/drawing/2014/main" id="{00000000-0008-0000-0000-000007000000}"/>
            </a:ext>
          </a:extLst>
        </xdr:cNvPr>
        <xdr:cNvSpPr txBox="1"/>
      </xdr:nvSpPr>
      <xdr:spPr>
        <a:xfrm>
          <a:off x="1213866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231" name="TextBox 230">
          <a:extLst>
            <a:ext uri="{FF2B5EF4-FFF2-40B4-BE49-F238E27FC236}">
              <a16:creationId xmlns:a16="http://schemas.microsoft.com/office/drawing/2014/main" id="{00000000-0008-0000-0000-000007000000}"/>
            </a:ext>
          </a:extLst>
        </xdr:cNvPr>
        <xdr:cNvSpPr txBox="1"/>
      </xdr:nvSpPr>
      <xdr:spPr>
        <a:xfrm>
          <a:off x="1213866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232" name="TextBox 231">
          <a:extLst>
            <a:ext uri="{FF2B5EF4-FFF2-40B4-BE49-F238E27FC236}">
              <a16:creationId xmlns:a16="http://schemas.microsoft.com/office/drawing/2014/main" id="{00000000-0008-0000-0000-000007000000}"/>
            </a:ext>
          </a:extLst>
        </xdr:cNvPr>
        <xdr:cNvSpPr txBox="1"/>
      </xdr:nvSpPr>
      <xdr:spPr>
        <a:xfrm>
          <a:off x="1213866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233" name="TextBox 232">
          <a:extLst>
            <a:ext uri="{FF2B5EF4-FFF2-40B4-BE49-F238E27FC236}">
              <a16:creationId xmlns:a16="http://schemas.microsoft.com/office/drawing/2014/main" id="{00000000-0008-0000-0000-000007000000}"/>
            </a:ext>
          </a:extLst>
        </xdr:cNvPr>
        <xdr:cNvSpPr txBox="1"/>
      </xdr:nvSpPr>
      <xdr:spPr>
        <a:xfrm>
          <a:off x="1213866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234" name="TextBox 233">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235" name="TextBox 234">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236" name="TextBox 235">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237" name="TextBox 236">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238" name="TextBox 237">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239" name="TextBox 238">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240" name="TextBox 239">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241" name="TextBox 240">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242" name="TextBox 241">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243" name="TextBox 242">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244" name="TextBox 243">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245" name="TextBox 244">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246" name="TextBox 245">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247" name="TextBox 246">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248" name="TextBox 247">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249" name="TextBox 248">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250" name="TextBox 249">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251" name="TextBox 250">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252" name="TextBox 251">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253" name="TextBox 252">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254" name="TextBox 253">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255" name="TextBox 254">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256" name="TextBox 255">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257" name="TextBox 256">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258" name="TextBox 257">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259" name="TextBox 258">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260" name="TextBox 259">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261" name="TextBox 260">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262" name="TextBox 261">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263" name="TextBox 262">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264" name="TextBox 263">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265" name="TextBox 264">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266" name="TextBox 265">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267" name="TextBox 266">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268" name="TextBox 267">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269" name="TextBox 268">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270" name="TextBox 269">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271" name="TextBox 270">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272" name="TextBox 271">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273" name="TextBox 272">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274" name="TextBox 273">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275" name="TextBox 274">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276" name="TextBox 275">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277" name="TextBox 276">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278" name="TextBox 277">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279" name="TextBox 278">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280" name="TextBox 279">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281" name="TextBox 280">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282" name="TextBox 281">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283" name="TextBox 282">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284" name="TextBox 283">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285" name="TextBox 284">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286" name="TextBox 285">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287" name="TextBox 286">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288" name="TextBox 287">
          <a:extLst>
            <a:ext uri="{FF2B5EF4-FFF2-40B4-BE49-F238E27FC236}">
              <a16:creationId xmlns:a16="http://schemas.microsoft.com/office/drawing/2014/main" id="{00000000-0008-0000-0000-000007000000}"/>
            </a:ext>
          </a:extLst>
        </xdr:cNvPr>
        <xdr:cNvSpPr txBox="1"/>
      </xdr:nvSpPr>
      <xdr:spPr>
        <a:xfrm>
          <a:off x="1213866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289" name="TextBox 288">
          <a:extLst>
            <a:ext uri="{FF2B5EF4-FFF2-40B4-BE49-F238E27FC236}">
              <a16:creationId xmlns:a16="http://schemas.microsoft.com/office/drawing/2014/main" id="{00000000-0008-0000-0000-000007000000}"/>
            </a:ext>
          </a:extLst>
        </xdr:cNvPr>
        <xdr:cNvSpPr txBox="1"/>
      </xdr:nvSpPr>
      <xdr:spPr>
        <a:xfrm>
          <a:off x="1213866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290" name="TextBox 289">
          <a:extLst>
            <a:ext uri="{FF2B5EF4-FFF2-40B4-BE49-F238E27FC236}">
              <a16:creationId xmlns:a16="http://schemas.microsoft.com/office/drawing/2014/main" id="{00000000-0008-0000-0000-000007000000}"/>
            </a:ext>
          </a:extLst>
        </xdr:cNvPr>
        <xdr:cNvSpPr txBox="1"/>
      </xdr:nvSpPr>
      <xdr:spPr>
        <a:xfrm>
          <a:off x="1213866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291" name="TextBox 290">
          <a:extLst>
            <a:ext uri="{FF2B5EF4-FFF2-40B4-BE49-F238E27FC236}">
              <a16:creationId xmlns:a16="http://schemas.microsoft.com/office/drawing/2014/main" id="{00000000-0008-0000-0000-000007000000}"/>
            </a:ext>
          </a:extLst>
        </xdr:cNvPr>
        <xdr:cNvSpPr txBox="1"/>
      </xdr:nvSpPr>
      <xdr:spPr>
        <a:xfrm>
          <a:off x="1213866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292" name="TextBox 291">
          <a:extLst>
            <a:ext uri="{FF2B5EF4-FFF2-40B4-BE49-F238E27FC236}">
              <a16:creationId xmlns:a16="http://schemas.microsoft.com/office/drawing/2014/main" id="{00000000-0008-0000-0000-000007000000}"/>
            </a:ext>
          </a:extLst>
        </xdr:cNvPr>
        <xdr:cNvSpPr txBox="1"/>
      </xdr:nvSpPr>
      <xdr:spPr>
        <a:xfrm>
          <a:off x="1213866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293" name="TextBox 292">
          <a:extLst>
            <a:ext uri="{FF2B5EF4-FFF2-40B4-BE49-F238E27FC236}">
              <a16:creationId xmlns:a16="http://schemas.microsoft.com/office/drawing/2014/main" id="{00000000-0008-0000-0000-000007000000}"/>
            </a:ext>
          </a:extLst>
        </xdr:cNvPr>
        <xdr:cNvSpPr txBox="1"/>
      </xdr:nvSpPr>
      <xdr:spPr>
        <a:xfrm>
          <a:off x="1213866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294" name="TextBox 293">
          <a:extLst>
            <a:ext uri="{FF2B5EF4-FFF2-40B4-BE49-F238E27FC236}">
              <a16:creationId xmlns:a16="http://schemas.microsoft.com/office/drawing/2014/main" id="{00000000-0008-0000-0000-000007000000}"/>
            </a:ext>
          </a:extLst>
        </xdr:cNvPr>
        <xdr:cNvSpPr txBox="1"/>
      </xdr:nvSpPr>
      <xdr:spPr>
        <a:xfrm>
          <a:off x="1213866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295" name="TextBox 294">
          <a:extLst>
            <a:ext uri="{FF2B5EF4-FFF2-40B4-BE49-F238E27FC236}">
              <a16:creationId xmlns:a16="http://schemas.microsoft.com/office/drawing/2014/main" id="{00000000-0008-0000-0000-000007000000}"/>
            </a:ext>
          </a:extLst>
        </xdr:cNvPr>
        <xdr:cNvSpPr txBox="1"/>
      </xdr:nvSpPr>
      <xdr:spPr>
        <a:xfrm>
          <a:off x="1213866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296" name="TextBox 295">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297" name="TextBox 296">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298" name="TextBox 297">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299" name="TextBox 298">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300" name="TextBox 299">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301" name="TextBox 300">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302" name="TextBox 301">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303" name="TextBox 302">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304" name="TextBox 303">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305" name="TextBox 304">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306" name="TextBox 305">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307" name="TextBox 306">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308" name="TextBox 307">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309" name="TextBox 308">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310" name="TextBox 309">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311" name="TextBox 310">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312" name="TextBox 311">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313" name="TextBox 312">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314" name="TextBox 313">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315" name="TextBox 314">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316" name="TextBox 315">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317" name="TextBox 316">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318" name="TextBox 317">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319" name="TextBox 318">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320" name="TextBox 319">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321" name="TextBox 320">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322" name="TextBox 321">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323" name="TextBox 322">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324" name="TextBox 323">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325" name="TextBox 324">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326" name="TextBox 325">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327" name="TextBox 326">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328" name="TextBox 327">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329" name="TextBox 328">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330" name="TextBox 329">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331" name="TextBox 330">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332" name="TextBox 331">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333" name="TextBox 332">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334" name="TextBox 333">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335" name="TextBox 334">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336" name="TextBox 335">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337" name="TextBox 336">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338" name="TextBox 337">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339" name="TextBox 338">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340" name="TextBox 339">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341" name="TextBox 340">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342" name="TextBox 341">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343" name="TextBox 342">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344" name="TextBox 343">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345" name="TextBox 344">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346" name="TextBox 345">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347" name="TextBox 346">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348" name="TextBox 347">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349" name="TextBox 348">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350" name="TextBox 349">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351" name="TextBox 350">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352" name="TextBox 351">
          <a:extLst>
            <a:ext uri="{FF2B5EF4-FFF2-40B4-BE49-F238E27FC236}">
              <a16:creationId xmlns:a16="http://schemas.microsoft.com/office/drawing/2014/main" id="{00000000-0008-0000-0000-000007000000}"/>
            </a:ext>
          </a:extLst>
        </xdr:cNvPr>
        <xdr:cNvSpPr txBox="1"/>
      </xdr:nvSpPr>
      <xdr:spPr>
        <a:xfrm>
          <a:off x="1213866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353" name="TextBox 352">
          <a:extLst>
            <a:ext uri="{FF2B5EF4-FFF2-40B4-BE49-F238E27FC236}">
              <a16:creationId xmlns:a16="http://schemas.microsoft.com/office/drawing/2014/main" id="{00000000-0008-0000-0000-000007000000}"/>
            </a:ext>
          </a:extLst>
        </xdr:cNvPr>
        <xdr:cNvSpPr txBox="1"/>
      </xdr:nvSpPr>
      <xdr:spPr>
        <a:xfrm>
          <a:off x="1213866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354" name="TextBox 353">
          <a:extLst>
            <a:ext uri="{FF2B5EF4-FFF2-40B4-BE49-F238E27FC236}">
              <a16:creationId xmlns:a16="http://schemas.microsoft.com/office/drawing/2014/main" id="{00000000-0008-0000-0000-000007000000}"/>
            </a:ext>
          </a:extLst>
        </xdr:cNvPr>
        <xdr:cNvSpPr txBox="1"/>
      </xdr:nvSpPr>
      <xdr:spPr>
        <a:xfrm>
          <a:off x="1213866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355" name="TextBox 354">
          <a:extLst>
            <a:ext uri="{FF2B5EF4-FFF2-40B4-BE49-F238E27FC236}">
              <a16:creationId xmlns:a16="http://schemas.microsoft.com/office/drawing/2014/main" id="{00000000-0008-0000-0000-000007000000}"/>
            </a:ext>
          </a:extLst>
        </xdr:cNvPr>
        <xdr:cNvSpPr txBox="1"/>
      </xdr:nvSpPr>
      <xdr:spPr>
        <a:xfrm>
          <a:off x="1213866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356" name="TextBox 355">
          <a:extLst>
            <a:ext uri="{FF2B5EF4-FFF2-40B4-BE49-F238E27FC236}">
              <a16:creationId xmlns:a16="http://schemas.microsoft.com/office/drawing/2014/main" id="{00000000-0008-0000-0000-000007000000}"/>
            </a:ext>
          </a:extLst>
        </xdr:cNvPr>
        <xdr:cNvSpPr txBox="1"/>
      </xdr:nvSpPr>
      <xdr:spPr>
        <a:xfrm>
          <a:off x="1213866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357" name="TextBox 356">
          <a:extLst>
            <a:ext uri="{FF2B5EF4-FFF2-40B4-BE49-F238E27FC236}">
              <a16:creationId xmlns:a16="http://schemas.microsoft.com/office/drawing/2014/main" id="{00000000-0008-0000-0000-000007000000}"/>
            </a:ext>
          </a:extLst>
        </xdr:cNvPr>
        <xdr:cNvSpPr txBox="1"/>
      </xdr:nvSpPr>
      <xdr:spPr>
        <a:xfrm>
          <a:off x="1213866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358" name="TextBox 357">
          <a:extLst>
            <a:ext uri="{FF2B5EF4-FFF2-40B4-BE49-F238E27FC236}">
              <a16:creationId xmlns:a16="http://schemas.microsoft.com/office/drawing/2014/main" id="{00000000-0008-0000-0000-000007000000}"/>
            </a:ext>
          </a:extLst>
        </xdr:cNvPr>
        <xdr:cNvSpPr txBox="1"/>
      </xdr:nvSpPr>
      <xdr:spPr>
        <a:xfrm>
          <a:off x="1213866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359" name="TextBox 358">
          <a:extLst>
            <a:ext uri="{FF2B5EF4-FFF2-40B4-BE49-F238E27FC236}">
              <a16:creationId xmlns:a16="http://schemas.microsoft.com/office/drawing/2014/main" id="{00000000-0008-0000-0000-000007000000}"/>
            </a:ext>
          </a:extLst>
        </xdr:cNvPr>
        <xdr:cNvSpPr txBox="1"/>
      </xdr:nvSpPr>
      <xdr:spPr>
        <a:xfrm>
          <a:off x="1213866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360" name="TextBox 359">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361" name="TextBox 360">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362" name="TextBox 361">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363" name="TextBox 362">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364" name="TextBox 363">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365" name="TextBox 364">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366" name="TextBox 365">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367" name="TextBox 366">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368" name="TextBox 367">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369" name="TextBox 368">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370" name="TextBox 369">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371" name="TextBox 370">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372" name="TextBox 371">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373" name="TextBox 372">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374" name="TextBox 373">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375" name="TextBox 374">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376" name="TextBox 375">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377" name="TextBox 376">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378" name="TextBox 377">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379" name="TextBox 378">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380" name="TextBox 379">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381" name="TextBox 380">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382" name="TextBox 381">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383" name="TextBox 382">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384" name="TextBox 383">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385" name="TextBox 384">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386" name="TextBox 385">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387" name="TextBox 386">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388" name="TextBox 387">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389" name="TextBox 388">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390" name="TextBox 389">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391" name="TextBox 390">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392" name="TextBox 391">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393" name="TextBox 392">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394" name="TextBox 393">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395" name="TextBox 394">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396" name="TextBox 395">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397" name="TextBox 396">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398" name="TextBox 397">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399" name="TextBox 398">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400" name="TextBox 399">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401" name="TextBox 400">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402" name="TextBox 401">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403" name="TextBox 402">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404" name="TextBox 403">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405" name="TextBox 404">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406" name="TextBox 405">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407" name="TextBox 406">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408" name="TextBox 407">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409" name="TextBox 408">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410" name="TextBox 409">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411" name="TextBox 410">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412" name="TextBox 411">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413" name="TextBox 412">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414" name="TextBox 413">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415" name="TextBox 414">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416" name="TextBox 415">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417" name="TextBox 416">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418" name="TextBox 417">
          <a:extLst>
            <a:ext uri="{FF2B5EF4-FFF2-40B4-BE49-F238E27FC236}">
              <a16:creationId xmlns:a16="http://schemas.microsoft.com/office/drawing/2014/main" id="{00000000-0008-0000-0000-000007000000}"/>
            </a:ext>
          </a:extLst>
        </xdr:cNvPr>
        <xdr:cNvSpPr txBox="1"/>
      </xdr:nvSpPr>
      <xdr:spPr>
        <a:xfrm>
          <a:off x="1213866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419" name="TextBox 418">
          <a:extLst>
            <a:ext uri="{FF2B5EF4-FFF2-40B4-BE49-F238E27FC236}">
              <a16:creationId xmlns:a16="http://schemas.microsoft.com/office/drawing/2014/main" id="{00000000-0008-0000-0000-000007000000}"/>
            </a:ext>
          </a:extLst>
        </xdr:cNvPr>
        <xdr:cNvSpPr txBox="1"/>
      </xdr:nvSpPr>
      <xdr:spPr>
        <a:xfrm>
          <a:off x="1213866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420" name="TextBox 419">
          <a:extLst>
            <a:ext uri="{FF2B5EF4-FFF2-40B4-BE49-F238E27FC236}">
              <a16:creationId xmlns:a16="http://schemas.microsoft.com/office/drawing/2014/main" id="{00000000-0008-0000-0000-000007000000}"/>
            </a:ext>
          </a:extLst>
        </xdr:cNvPr>
        <xdr:cNvSpPr txBox="1"/>
      </xdr:nvSpPr>
      <xdr:spPr>
        <a:xfrm>
          <a:off x="1213866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421" name="TextBox 420">
          <a:extLst>
            <a:ext uri="{FF2B5EF4-FFF2-40B4-BE49-F238E27FC236}">
              <a16:creationId xmlns:a16="http://schemas.microsoft.com/office/drawing/2014/main" id="{00000000-0008-0000-0000-000007000000}"/>
            </a:ext>
          </a:extLst>
        </xdr:cNvPr>
        <xdr:cNvSpPr txBox="1"/>
      </xdr:nvSpPr>
      <xdr:spPr>
        <a:xfrm>
          <a:off x="1213866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422" name="TextBox 421">
          <a:extLst>
            <a:ext uri="{FF2B5EF4-FFF2-40B4-BE49-F238E27FC236}">
              <a16:creationId xmlns:a16="http://schemas.microsoft.com/office/drawing/2014/main" id="{00000000-0008-0000-0000-000007000000}"/>
            </a:ext>
          </a:extLst>
        </xdr:cNvPr>
        <xdr:cNvSpPr txBox="1"/>
      </xdr:nvSpPr>
      <xdr:spPr>
        <a:xfrm>
          <a:off x="1213866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423" name="TextBox 422">
          <a:extLst>
            <a:ext uri="{FF2B5EF4-FFF2-40B4-BE49-F238E27FC236}">
              <a16:creationId xmlns:a16="http://schemas.microsoft.com/office/drawing/2014/main" id="{00000000-0008-0000-0000-000007000000}"/>
            </a:ext>
          </a:extLst>
        </xdr:cNvPr>
        <xdr:cNvSpPr txBox="1"/>
      </xdr:nvSpPr>
      <xdr:spPr>
        <a:xfrm>
          <a:off x="1213866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424" name="TextBox 423">
          <a:extLst>
            <a:ext uri="{FF2B5EF4-FFF2-40B4-BE49-F238E27FC236}">
              <a16:creationId xmlns:a16="http://schemas.microsoft.com/office/drawing/2014/main" id="{00000000-0008-0000-0000-000007000000}"/>
            </a:ext>
          </a:extLst>
        </xdr:cNvPr>
        <xdr:cNvSpPr txBox="1"/>
      </xdr:nvSpPr>
      <xdr:spPr>
        <a:xfrm>
          <a:off x="1213866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425" name="TextBox 424">
          <a:extLst>
            <a:ext uri="{FF2B5EF4-FFF2-40B4-BE49-F238E27FC236}">
              <a16:creationId xmlns:a16="http://schemas.microsoft.com/office/drawing/2014/main" id="{00000000-0008-0000-0000-000007000000}"/>
            </a:ext>
          </a:extLst>
        </xdr:cNvPr>
        <xdr:cNvSpPr txBox="1"/>
      </xdr:nvSpPr>
      <xdr:spPr>
        <a:xfrm>
          <a:off x="1213866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426" name="TextBox 425">
          <a:extLst>
            <a:ext uri="{FF2B5EF4-FFF2-40B4-BE49-F238E27FC236}">
              <a16:creationId xmlns:a16="http://schemas.microsoft.com/office/drawing/2014/main" id="{00000000-0008-0000-0000-000007000000}"/>
            </a:ext>
          </a:extLst>
        </xdr:cNvPr>
        <xdr:cNvSpPr txBox="1"/>
      </xdr:nvSpPr>
      <xdr:spPr>
        <a:xfrm>
          <a:off x="8267700" y="33291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427" name="TextBox 426">
          <a:extLst>
            <a:ext uri="{FF2B5EF4-FFF2-40B4-BE49-F238E27FC236}">
              <a16:creationId xmlns:a16="http://schemas.microsoft.com/office/drawing/2014/main" id="{00000000-0008-0000-0000-000007000000}"/>
            </a:ext>
          </a:extLst>
        </xdr:cNvPr>
        <xdr:cNvSpPr txBox="1"/>
      </xdr:nvSpPr>
      <xdr:spPr>
        <a:xfrm>
          <a:off x="8267700" y="33291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428" name="TextBox 427">
          <a:extLst>
            <a:ext uri="{FF2B5EF4-FFF2-40B4-BE49-F238E27FC236}">
              <a16:creationId xmlns:a16="http://schemas.microsoft.com/office/drawing/2014/main" id="{00000000-0008-0000-0000-000007000000}"/>
            </a:ext>
          </a:extLst>
        </xdr:cNvPr>
        <xdr:cNvSpPr txBox="1"/>
      </xdr:nvSpPr>
      <xdr:spPr>
        <a:xfrm>
          <a:off x="1213866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429" name="TextBox 428">
          <a:extLst>
            <a:ext uri="{FF2B5EF4-FFF2-40B4-BE49-F238E27FC236}">
              <a16:creationId xmlns:a16="http://schemas.microsoft.com/office/drawing/2014/main" id="{00000000-0008-0000-0000-000007000000}"/>
            </a:ext>
          </a:extLst>
        </xdr:cNvPr>
        <xdr:cNvSpPr txBox="1"/>
      </xdr:nvSpPr>
      <xdr:spPr>
        <a:xfrm>
          <a:off x="1213866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430" name="TextBox 429">
          <a:extLst>
            <a:ext uri="{FF2B5EF4-FFF2-40B4-BE49-F238E27FC236}">
              <a16:creationId xmlns:a16="http://schemas.microsoft.com/office/drawing/2014/main" id="{00000000-0008-0000-0000-000007000000}"/>
            </a:ext>
          </a:extLst>
        </xdr:cNvPr>
        <xdr:cNvSpPr txBox="1"/>
      </xdr:nvSpPr>
      <xdr:spPr>
        <a:xfrm>
          <a:off x="1213866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431" name="TextBox 430">
          <a:extLst>
            <a:ext uri="{FF2B5EF4-FFF2-40B4-BE49-F238E27FC236}">
              <a16:creationId xmlns:a16="http://schemas.microsoft.com/office/drawing/2014/main" id="{00000000-0008-0000-0000-000007000000}"/>
            </a:ext>
          </a:extLst>
        </xdr:cNvPr>
        <xdr:cNvSpPr txBox="1"/>
      </xdr:nvSpPr>
      <xdr:spPr>
        <a:xfrm>
          <a:off x="1213866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432" name="TextBox 431">
          <a:extLst>
            <a:ext uri="{FF2B5EF4-FFF2-40B4-BE49-F238E27FC236}">
              <a16:creationId xmlns:a16="http://schemas.microsoft.com/office/drawing/2014/main" id="{00000000-0008-0000-0000-000007000000}"/>
            </a:ext>
          </a:extLst>
        </xdr:cNvPr>
        <xdr:cNvSpPr txBox="1"/>
      </xdr:nvSpPr>
      <xdr:spPr>
        <a:xfrm>
          <a:off x="1213866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433" name="TextBox 432">
          <a:extLst>
            <a:ext uri="{FF2B5EF4-FFF2-40B4-BE49-F238E27FC236}">
              <a16:creationId xmlns:a16="http://schemas.microsoft.com/office/drawing/2014/main" id="{00000000-0008-0000-0000-000007000000}"/>
            </a:ext>
          </a:extLst>
        </xdr:cNvPr>
        <xdr:cNvSpPr txBox="1"/>
      </xdr:nvSpPr>
      <xdr:spPr>
        <a:xfrm>
          <a:off x="1213866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434" name="TextBox 433">
          <a:extLst>
            <a:ext uri="{FF2B5EF4-FFF2-40B4-BE49-F238E27FC236}">
              <a16:creationId xmlns:a16="http://schemas.microsoft.com/office/drawing/2014/main" id="{00000000-0008-0000-0000-000007000000}"/>
            </a:ext>
          </a:extLst>
        </xdr:cNvPr>
        <xdr:cNvSpPr txBox="1"/>
      </xdr:nvSpPr>
      <xdr:spPr>
        <a:xfrm>
          <a:off x="1213866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435" name="TextBox 434">
          <a:extLst>
            <a:ext uri="{FF2B5EF4-FFF2-40B4-BE49-F238E27FC236}">
              <a16:creationId xmlns:a16="http://schemas.microsoft.com/office/drawing/2014/main" id="{00000000-0008-0000-0000-000007000000}"/>
            </a:ext>
          </a:extLst>
        </xdr:cNvPr>
        <xdr:cNvSpPr txBox="1"/>
      </xdr:nvSpPr>
      <xdr:spPr>
        <a:xfrm>
          <a:off x="1213866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436" name="TextBox 435">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437" name="TextBox 436">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438" name="TextBox 437">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439" name="TextBox 438">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440" name="TextBox 439">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441" name="TextBox 440">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442" name="TextBox 441">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443" name="TextBox 442">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444" name="TextBox 443">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445" name="TextBox 444">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446" name="TextBox 445">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447" name="TextBox 446">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448" name="TextBox 447">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449" name="TextBox 448">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450" name="TextBox 449">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451" name="TextBox 450">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452" name="TextBox 451">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453" name="TextBox 452">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454" name="TextBox 453">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455" name="TextBox 454">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456" name="TextBox 455">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457" name="TextBox 456">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458" name="TextBox 457">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459" name="TextBox 458">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460" name="TextBox 459">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461" name="TextBox 460">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462" name="TextBox 461">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463" name="TextBox 462">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464" name="TextBox 463">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465" name="TextBox 464">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466" name="TextBox 465">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467" name="TextBox 466">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468" name="TextBox 467">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469" name="TextBox 468">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470" name="TextBox 469">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471" name="TextBox 470">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472" name="TextBox 471">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473" name="TextBox 472">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474" name="TextBox 473">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475" name="TextBox 474">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476" name="TextBox 475">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477" name="TextBox 476">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478" name="TextBox 477">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479" name="TextBox 478">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480" name="TextBox 479">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481" name="TextBox 480">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482" name="TextBox 481">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483" name="TextBox 482">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484" name="TextBox 483">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485" name="TextBox 484">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486" name="TextBox 485">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487" name="TextBox 486">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488" name="TextBox 487">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489" name="TextBox 488">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490" name="TextBox 489">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491" name="TextBox 490">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492" name="TextBox 491">
          <a:extLst>
            <a:ext uri="{FF2B5EF4-FFF2-40B4-BE49-F238E27FC236}">
              <a16:creationId xmlns:a16="http://schemas.microsoft.com/office/drawing/2014/main" id="{00000000-0008-0000-0000-000007000000}"/>
            </a:ext>
          </a:extLst>
        </xdr:cNvPr>
        <xdr:cNvSpPr txBox="1"/>
      </xdr:nvSpPr>
      <xdr:spPr>
        <a:xfrm>
          <a:off x="1213866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493" name="TextBox 492">
          <a:extLst>
            <a:ext uri="{FF2B5EF4-FFF2-40B4-BE49-F238E27FC236}">
              <a16:creationId xmlns:a16="http://schemas.microsoft.com/office/drawing/2014/main" id="{00000000-0008-0000-0000-000007000000}"/>
            </a:ext>
          </a:extLst>
        </xdr:cNvPr>
        <xdr:cNvSpPr txBox="1"/>
      </xdr:nvSpPr>
      <xdr:spPr>
        <a:xfrm>
          <a:off x="1213866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494" name="TextBox 493">
          <a:extLst>
            <a:ext uri="{FF2B5EF4-FFF2-40B4-BE49-F238E27FC236}">
              <a16:creationId xmlns:a16="http://schemas.microsoft.com/office/drawing/2014/main" id="{00000000-0008-0000-0000-000007000000}"/>
            </a:ext>
          </a:extLst>
        </xdr:cNvPr>
        <xdr:cNvSpPr txBox="1"/>
      </xdr:nvSpPr>
      <xdr:spPr>
        <a:xfrm>
          <a:off x="1213866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495" name="TextBox 494">
          <a:extLst>
            <a:ext uri="{FF2B5EF4-FFF2-40B4-BE49-F238E27FC236}">
              <a16:creationId xmlns:a16="http://schemas.microsoft.com/office/drawing/2014/main" id="{00000000-0008-0000-0000-000007000000}"/>
            </a:ext>
          </a:extLst>
        </xdr:cNvPr>
        <xdr:cNvSpPr txBox="1"/>
      </xdr:nvSpPr>
      <xdr:spPr>
        <a:xfrm>
          <a:off x="1213866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496" name="TextBox 495">
          <a:extLst>
            <a:ext uri="{FF2B5EF4-FFF2-40B4-BE49-F238E27FC236}">
              <a16:creationId xmlns:a16="http://schemas.microsoft.com/office/drawing/2014/main" id="{00000000-0008-0000-0000-000007000000}"/>
            </a:ext>
          </a:extLst>
        </xdr:cNvPr>
        <xdr:cNvSpPr txBox="1"/>
      </xdr:nvSpPr>
      <xdr:spPr>
        <a:xfrm>
          <a:off x="1213866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497" name="TextBox 496">
          <a:extLst>
            <a:ext uri="{FF2B5EF4-FFF2-40B4-BE49-F238E27FC236}">
              <a16:creationId xmlns:a16="http://schemas.microsoft.com/office/drawing/2014/main" id="{00000000-0008-0000-0000-000007000000}"/>
            </a:ext>
          </a:extLst>
        </xdr:cNvPr>
        <xdr:cNvSpPr txBox="1"/>
      </xdr:nvSpPr>
      <xdr:spPr>
        <a:xfrm>
          <a:off x="1213866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498" name="TextBox 497">
          <a:extLst>
            <a:ext uri="{FF2B5EF4-FFF2-40B4-BE49-F238E27FC236}">
              <a16:creationId xmlns:a16="http://schemas.microsoft.com/office/drawing/2014/main" id="{00000000-0008-0000-0000-000007000000}"/>
            </a:ext>
          </a:extLst>
        </xdr:cNvPr>
        <xdr:cNvSpPr txBox="1"/>
      </xdr:nvSpPr>
      <xdr:spPr>
        <a:xfrm>
          <a:off x="1213866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499" name="TextBox 498">
          <a:extLst>
            <a:ext uri="{FF2B5EF4-FFF2-40B4-BE49-F238E27FC236}">
              <a16:creationId xmlns:a16="http://schemas.microsoft.com/office/drawing/2014/main" id="{00000000-0008-0000-0000-000007000000}"/>
            </a:ext>
          </a:extLst>
        </xdr:cNvPr>
        <xdr:cNvSpPr txBox="1"/>
      </xdr:nvSpPr>
      <xdr:spPr>
        <a:xfrm>
          <a:off x="1213866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164</xdr:row>
      <xdr:rowOff>0</xdr:rowOff>
    </xdr:from>
    <xdr:ext cx="65" cy="172227"/>
    <xdr:sp macro="" textlink="">
      <xdr:nvSpPr>
        <xdr:cNvPr id="502" name="TextBox 501">
          <a:extLst>
            <a:ext uri="{FF2B5EF4-FFF2-40B4-BE49-F238E27FC236}">
              <a16:creationId xmlns:a16="http://schemas.microsoft.com/office/drawing/2014/main" id="{00000000-0008-0000-0000-000007000000}"/>
            </a:ext>
          </a:extLst>
        </xdr:cNvPr>
        <xdr:cNvSpPr txBox="1"/>
      </xdr:nvSpPr>
      <xdr:spPr>
        <a:xfrm>
          <a:off x="8267700" y="332841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164</xdr:row>
      <xdr:rowOff>0</xdr:rowOff>
    </xdr:from>
    <xdr:ext cx="65" cy="172227"/>
    <xdr:sp macro="" textlink="">
      <xdr:nvSpPr>
        <xdr:cNvPr id="506" name="TextBox 505">
          <a:extLst>
            <a:ext uri="{FF2B5EF4-FFF2-40B4-BE49-F238E27FC236}">
              <a16:creationId xmlns:a16="http://schemas.microsoft.com/office/drawing/2014/main" id="{00000000-0008-0000-0000-00000B000000}"/>
            </a:ext>
          </a:extLst>
        </xdr:cNvPr>
        <xdr:cNvSpPr txBox="1"/>
      </xdr:nvSpPr>
      <xdr:spPr>
        <a:xfrm>
          <a:off x="8267700" y="332841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507" name="TextBox 506">
          <a:extLst>
            <a:ext uri="{FF2B5EF4-FFF2-40B4-BE49-F238E27FC236}">
              <a16:creationId xmlns:a16="http://schemas.microsoft.com/office/drawing/2014/main" id="{00000000-0008-0000-0000-00000C000000}"/>
            </a:ext>
          </a:extLst>
        </xdr:cNvPr>
        <xdr:cNvSpPr txBox="1"/>
      </xdr:nvSpPr>
      <xdr:spPr>
        <a:xfrm>
          <a:off x="8267700" y="334822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508" name="TextBox 507">
          <a:extLst>
            <a:ext uri="{FF2B5EF4-FFF2-40B4-BE49-F238E27FC236}">
              <a16:creationId xmlns:a16="http://schemas.microsoft.com/office/drawing/2014/main" id="{00000000-0008-0000-0000-00000D000000}"/>
            </a:ext>
          </a:extLst>
        </xdr:cNvPr>
        <xdr:cNvSpPr txBox="1"/>
      </xdr:nvSpPr>
      <xdr:spPr>
        <a:xfrm>
          <a:off x="8267700" y="334822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509" name="TextBox 508">
          <a:extLst>
            <a:ext uri="{FF2B5EF4-FFF2-40B4-BE49-F238E27FC236}">
              <a16:creationId xmlns:a16="http://schemas.microsoft.com/office/drawing/2014/main" id="{00000000-0008-0000-0000-00000E000000}"/>
            </a:ext>
          </a:extLst>
        </xdr:cNvPr>
        <xdr:cNvSpPr txBox="1"/>
      </xdr:nvSpPr>
      <xdr:spPr>
        <a:xfrm>
          <a:off x="826770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510" name="TextBox 509">
          <a:extLst>
            <a:ext uri="{FF2B5EF4-FFF2-40B4-BE49-F238E27FC236}">
              <a16:creationId xmlns:a16="http://schemas.microsoft.com/office/drawing/2014/main" id="{00000000-0008-0000-0000-00000F000000}"/>
            </a:ext>
          </a:extLst>
        </xdr:cNvPr>
        <xdr:cNvSpPr txBox="1"/>
      </xdr:nvSpPr>
      <xdr:spPr>
        <a:xfrm>
          <a:off x="826770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11" name="TextBox 510">
          <a:extLst>
            <a:ext uri="{FF2B5EF4-FFF2-40B4-BE49-F238E27FC236}">
              <a16:creationId xmlns:a16="http://schemas.microsoft.com/office/drawing/2014/main" id="{00000000-0008-0000-0000-000010000000}"/>
            </a:ext>
          </a:extLst>
        </xdr:cNvPr>
        <xdr:cNvSpPr txBox="1"/>
      </xdr:nvSpPr>
      <xdr:spPr>
        <a:xfrm>
          <a:off x="826770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12" name="TextBox 511">
          <a:extLst>
            <a:ext uri="{FF2B5EF4-FFF2-40B4-BE49-F238E27FC236}">
              <a16:creationId xmlns:a16="http://schemas.microsoft.com/office/drawing/2014/main" id="{00000000-0008-0000-0000-000011000000}"/>
            </a:ext>
          </a:extLst>
        </xdr:cNvPr>
        <xdr:cNvSpPr txBox="1"/>
      </xdr:nvSpPr>
      <xdr:spPr>
        <a:xfrm>
          <a:off x="826770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513" name="TextBox 512">
          <a:extLst>
            <a:ext uri="{FF2B5EF4-FFF2-40B4-BE49-F238E27FC236}">
              <a16:creationId xmlns:a16="http://schemas.microsoft.com/office/drawing/2014/main" id="{00000000-0008-0000-0000-000012000000}"/>
            </a:ext>
          </a:extLst>
        </xdr:cNvPr>
        <xdr:cNvSpPr txBox="1"/>
      </xdr:nvSpPr>
      <xdr:spPr>
        <a:xfrm>
          <a:off x="826770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514" name="TextBox 513">
          <a:extLst>
            <a:ext uri="{FF2B5EF4-FFF2-40B4-BE49-F238E27FC236}">
              <a16:creationId xmlns:a16="http://schemas.microsoft.com/office/drawing/2014/main" id="{00000000-0008-0000-0000-000013000000}"/>
            </a:ext>
          </a:extLst>
        </xdr:cNvPr>
        <xdr:cNvSpPr txBox="1"/>
      </xdr:nvSpPr>
      <xdr:spPr>
        <a:xfrm>
          <a:off x="826770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515" name="TextBox 514">
          <a:extLst>
            <a:ext uri="{FF2B5EF4-FFF2-40B4-BE49-F238E27FC236}">
              <a16:creationId xmlns:a16="http://schemas.microsoft.com/office/drawing/2014/main" id="{00000000-0008-0000-0000-000014000000}"/>
            </a:ext>
          </a:extLst>
        </xdr:cNvPr>
        <xdr:cNvSpPr txBox="1"/>
      </xdr:nvSpPr>
      <xdr:spPr>
        <a:xfrm>
          <a:off x="826770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516" name="TextBox 515">
          <a:extLst>
            <a:ext uri="{FF2B5EF4-FFF2-40B4-BE49-F238E27FC236}">
              <a16:creationId xmlns:a16="http://schemas.microsoft.com/office/drawing/2014/main" id="{00000000-0008-0000-0000-000015000000}"/>
            </a:ext>
          </a:extLst>
        </xdr:cNvPr>
        <xdr:cNvSpPr txBox="1"/>
      </xdr:nvSpPr>
      <xdr:spPr>
        <a:xfrm>
          <a:off x="826770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17" name="TextBox 516">
          <a:extLst>
            <a:ext uri="{FF2B5EF4-FFF2-40B4-BE49-F238E27FC236}">
              <a16:creationId xmlns:a16="http://schemas.microsoft.com/office/drawing/2014/main" id="{00000000-0008-0000-0000-00001600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18" name="TextBox 517">
          <a:extLst>
            <a:ext uri="{FF2B5EF4-FFF2-40B4-BE49-F238E27FC236}">
              <a16:creationId xmlns:a16="http://schemas.microsoft.com/office/drawing/2014/main" id="{00000000-0008-0000-0000-00001700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519" name="TextBox 518">
          <a:extLst>
            <a:ext uri="{FF2B5EF4-FFF2-40B4-BE49-F238E27FC236}">
              <a16:creationId xmlns:a16="http://schemas.microsoft.com/office/drawing/2014/main" id="{00000000-0008-0000-0000-000018000000}"/>
            </a:ext>
          </a:extLst>
        </xdr:cNvPr>
        <xdr:cNvSpPr txBox="1"/>
      </xdr:nvSpPr>
      <xdr:spPr>
        <a:xfrm>
          <a:off x="8267700" y="34671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520" name="TextBox 519">
          <a:extLst>
            <a:ext uri="{FF2B5EF4-FFF2-40B4-BE49-F238E27FC236}">
              <a16:creationId xmlns:a16="http://schemas.microsoft.com/office/drawing/2014/main" id="{00000000-0008-0000-0000-000019000000}"/>
            </a:ext>
          </a:extLst>
        </xdr:cNvPr>
        <xdr:cNvSpPr txBox="1"/>
      </xdr:nvSpPr>
      <xdr:spPr>
        <a:xfrm>
          <a:off x="8267700" y="34671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172</xdr:row>
      <xdr:rowOff>0</xdr:rowOff>
    </xdr:from>
    <xdr:ext cx="65" cy="172227"/>
    <xdr:sp macro="" textlink="">
      <xdr:nvSpPr>
        <xdr:cNvPr id="521" name="TextBox 520">
          <a:extLst>
            <a:ext uri="{FF2B5EF4-FFF2-40B4-BE49-F238E27FC236}">
              <a16:creationId xmlns:a16="http://schemas.microsoft.com/office/drawing/2014/main" id="{00000000-0008-0000-0000-00001A000000}"/>
            </a:ext>
          </a:extLst>
        </xdr:cNvPr>
        <xdr:cNvSpPr txBox="1"/>
      </xdr:nvSpPr>
      <xdr:spPr>
        <a:xfrm>
          <a:off x="8267700" y="34853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172</xdr:row>
      <xdr:rowOff>0</xdr:rowOff>
    </xdr:from>
    <xdr:ext cx="65" cy="172227"/>
    <xdr:sp macro="" textlink="">
      <xdr:nvSpPr>
        <xdr:cNvPr id="522" name="TextBox 521">
          <a:extLst>
            <a:ext uri="{FF2B5EF4-FFF2-40B4-BE49-F238E27FC236}">
              <a16:creationId xmlns:a16="http://schemas.microsoft.com/office/drawing/2014/main" id="{00000000-0008-0000-0000-00001B000000}"/>
            </a:ext>
          </a:extLst>
        </xdr:cNvPr>
        <xdr:cNvSpPr txBox="1"/>
      </xdr:nvSpPr>
      <xdr:spPr>
        <a:xfrm>
          <a:off x="8267700" y="34853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173</xdr:row>
      <xdr:rowOff>0</xdr:rowOff>
    </xdr:from>
    <xdr:ext cx="65" cy="172227"/>
    <xdr:sp macro="" textlink="">
      <xdr:nvSpPr>
        <xdr:cNvPr id="523" name="TextBox 522">
          <a:extLst>
            <a:ext uri="{FF2B5EF4-FFF2-40B4-BE49-F238E27FC236}">
              <a16:creationId xmlns:a16="http://schemas.microsoft.com/office/drawing/2014/main" id="{00000000-0008-0000-0000-00001C000000}"/>
            </a:ext>
          </a:extLst>
        </xdr:cNvPr>
        <xdr:cNvSpPr txBox="1"/>
      </xdr:nvSpPr>
      <xdr:spPr>
        <a:xfrm>
          <a:off x="8267700" y="35036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173</xdr:row>
      <xdr:rowOff>0</xdr:rowOff>
    </xdr:from>
    <xdr:ext cx="65" cy="172227"/>
    <xdr:sp macro="" textlink="">
      <xdr:nvSpPr>
        <xdr:cNvPr id="524" name="TextBox 523">
          <a:extLst>
            <a:ext uri="{FF2B5EF4-FFF2-40B4-BE49-F238E27FC236}">
              <a16:creationId xmlns:a16="http://schemas.microsoft.com/office/drawing/2014/main" id="{00000000-0008-0000-0000-00001D000000}"/>
            </a:ext>
          </a:extLst>
        </xdr:cNvPr>
        <xdr:cNvSpPr txBox="1"/>
      </xdr:nvSpPr>
      <xdr:spPr>
        <a:xfrm>
          <a:off x="8267700" y="35036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179</xdr:row>
      <xdr:rowOff>0</xdr:rowOff>
    </xdr:from>
    <xdr:ext cx="65" cy="172227"/>
    <xdr:sp macro="" textlink="">
      <xdr:nvSpPr>
        <xdr:cNvPr id="525" name="TextBox 524">
          <a:extLst>
            <a:ext uri="{FF2B5EF4-FFF2-40B4-BE49-F238E27FC236}">
              <a16:creationId xmlns:a16="http://schemas.microsoft.com/office/drawing/2014/main" id="{00000000-0008-0000-0000-00001E000000}"/>
            </a:ext>
          </a:extLst>
        </xdr:cNvPr>
        <xdr:cNvSpPr txBox="1"/>
      </xdr:nvSpPr>
      <xdr:spPr>
        <a:xfrm>
          <a:off x="8267700" y="361340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179</xdr:row>
      <xdr:rowOff>0</xdr:rowOff>
    </xdr:from>
    <xdr:ext cx="65" cy="172227"/>
    <xdr:sp macro="" textlink="">
      <xdr:nvSpPr>
        <xdr:cNvPr id="526" name="TextBox 525">
          <a:extLst>
            <a:ext uri="{FF2B5EF4-FFF2-40B4-BE49-F238E27FC236}">
              <a16:creationId xmlns:a16="http://schemas.microsoft.com/office/drawing/2014/main" id="{00000000-0008-0000-0000-00001F000000}"/>
            </a:ext>
          </a:extLst>
        </xdr:cNvPr>
        <xdr:cNvSpPr txBox="1"/>
      </xdr:nvSpPr>
      <xdr:spPr>
        <a:xfrm>
          <a:off x="8267700" y="361340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180</xdr:row>
      <xdr:rowOff>0</xdr:rowOff>
    </xdr:from>
    <xdr:ext cx="65" cy="172227"/>
    <xdr:sp macro="" textlink="">
      <xdr:nvSpPr>
        <xdr:cNvPr id="527" name="TextBox 526">
          <a:extLst>
            <a:ext uri="{FF2B5EF4-FFF2-40B4-BE49-F238E27FC236}">
              <a16:creationId xmlns:a16="http://schemas.microsoft.com/office/drawing/2014/main" id="{00000000-0008-0000-0000-000020000000}"/>
            </a:ext>
          </a:extLst>
        </xdr:cNvPr>
        <xdr:cNvSpPr txBox="1"/>
      </xdr:nvSpPr>
      <xdr:spPr>
        <a:xfrm>
          <a:off x="8267700" y="363169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180</xdr:row>
      <xdr:rowOff>0</xdr:rowOff>
    </xdr:from>
    <xdr:ext cx="65" cy="172227"/>
    <xdr:sp macro="" textlink="">
      <xdr:nvSpPr>
        <xdr:cNvPr id="528" name="TextBox 527">
          <a:extLst>
            <a:ext uri="{FF2B5EF4-FFF2-40B4-BE49-F238E27FC236}">
              <a16:creationId xmlns:a16="http://schemas.microsoft.com/office/drawing/2014/main" id="{00000000-0008-0000-0000-000021000000}"/>
            </a:ext>
          </a:extLst>
        </xdr:cNvPr>
        <xdr:cNvSpPr txBox="1"/>
      </xdr:nvSpPr>
      <xdr:spPr>
        <a:xfrm>
          <a:off x="8267700" y="363169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181</xdr:row>
      <xdr:rowOff>0</xdr:rowOff>
    </xdr:from>
    <xdr:ext cx="65" cy="172227"/>
    <xdr:sp macro="" textlink="">
      <xdr:nvSpPr>
        <xdr:cNvPr id="529" name="TextBox 528">
          <a:extLst>
            <a:ext uri="{FF2B5EF4-FFF2-40B4-BE49-F238E27FC236}">
              <a16:creationId xmlns:a16="http://schemas.microsoft.com/office/drawing/2014/main" id="{00000000-0008-0000-0000-000022000000}"/>
            </a:ext>
          </a:extLst>
        </xdr:cNvPr>
        <xdr:cNvSpPr txBox="1"/>
      </xdr:nvSpPr>
      <xdr:spPr>
        <a:xfrm>
          <a:off x="8267700" y="36499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181</xdr:row>
      <xdr:rowOff>0</xdr:rowOff>
    </xdr:from>
    <xdr:ext cx="65" cy="172227"/>
    <xdr:sp macro="" textlink="">
      <xdr:nvSpPr>
        <xdr:cNvPr id="530" name="TextBox 529">
          <a:extLst>
            <a:ext uri="{FF2B5EF4-FFF2-40B4-BE49-F238E27FC236}">
              <a16:creationId xmlns:a16="http://schemas.microsoft.com/office/drawing/2014/main" id="{00000000-0008-0000-0000-000023000000}"/>
            </a:ext>
          </a:extLst>
        </xdr:cNvPr>
        <xdr:cNvSpPr txBox="1"/>
      </xdr:nvSpPr>
      <xdr:spPr>
        <a:xfrm>
          <a:off x="8267700" y="36499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182</xdr:row>
      <xdr:rowOff>0</xdr:rowOff>
    </xdr:from>
    <xdr:ext cx="65" cy="172227"/>
    <xdr:sp macro="" textlink="">
      <xdr:nvSpPr>
        <xdr:cNvPr id="531" name="TextBox 530">
          <a:extLst>
            <a:ext uri="{FF2B5EF4-FFF2-40B4-BE49-F238E27FC236}">
              <a16:creationId xmlns:a16="http://schemas.microsoft.com/office/drawing/2014/main" id="{00000000-0008-0000-0000-000024000000}"/>
            </a:ext>
          </a:extLst>
        </xdr:cNvPr>
        <xdr:cNvSpPr txBox="1"/>
      </xdr:nvSpPr>
      <xdr:spPr>
        <a:xfrm>
          <a:off x="8267700" y="366826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182</xdr:row>
      <xdr:rowOff>0</xdr:rowOff>
    </xdr:from>
    <xdr:ext cx="65" cy="172227"/>
    <xdr:sp macro="" textlink="">
      <xdr:nvSpPr>
        <xdr:cNvPr id="532" name="TextBox 531">
          <a:extLst>
            <a:ext uri="{FF2B5EF4-FFF2-40B4-BE49-F238E27FC236}">
              <a16:creationId xmlns:a16="http://schemas.microsoft.com/office/drawing/2014/main" id="{00000000-0008-0000-0000-000025000000}"/>
            </a:ext>
          </a:extLst>
        </xdr:cNvPr>
        <xdr:cNvSpPr txBox="1"/>
      </xdr:nvSpPr>
      <xdr:spPr>
        <a:xfrm>
          <a:off x="8267700" y="366826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183</xdr:row>
      <xdr:rowOff>0</xdr:rowOff>
    </xdr:from>
    <xdr:ext cx="65" cy="172227"/>
    <xdr:sp macro="" textlink="">
      <xdr:nvSpPr>
        <xdr:cNvPr id="533" name="TextBox 532">
          <a:extLst>
            <a:ext uri="{FF2B5EF4-FFF2-40B4-BE49-F238E27FC236}">
              <a16:creationId xmlns:a16="http://schemas.microsoft.com/office/drawing/2014/main" id="{00000000-0008-0000-0000-000026000000}"/>
            </a:ext>
          </a:extLst>
        </xdr:cNvPr>
        <xdr:cNvSpPr txBox="1"/>
      </xdr:nvSpPr>
      <xdr:spPr>
        <a:xfrm>
          <a:off x="8267700" y="368655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183</xdr:row>
      <xdr:rowOff>0</xdr:rowOff>
    </xdr:from>
    <xdr:ext cx="65" cy="172227"/>
    <xdr:sp macro="" textlink="">
      <xdr:nvSpPr>
        <xdr:cNvPr id="534" name="TextBox 533">
          <a:extLst>
            <a:ext uri="{FF2B5EF4-FFF2-40B4-BE49-F238E27FC236}">
              <a16:creationId xmlns:a16="http://schemas.microsoft.com/office/drawing/2014/main" id="{00000000-0008-0000-0000-000027000000}"/>
            </a:ext>
          </a:extLst>
        </xdr:cNvPr>
        <xdr:cNvSpPr txBox="1"/>
      </xdr:nvSpPr>
      <xdr:spPr>
        <a:xfrm>
          <a:off x="8267700" y="368655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189</xdr:row>
      <xdr:rowOff>0</xdr:rowOff>
    </xdr:from>
    <xdr:ext cx="65" cy="172227"/>
    <xdr:sp macro="" textlink="">
      <xdr:nvSpPr>
        <xdr:cNvPr id="535" name="TextBox 534">
          <a:extLst>
            <a:ext uri="{FF2B5EF4-FFF2-40B4-BE49-F238E27FC236}">
              <a16:creationId xmlns:a16="http://schemas.microsoft.com/office/drawing/2014/main" id="{00000000-0008-0000-0000-000028000000}"/>
            </a:ext>
          </a:extLst>
        </xdr:cNvPr>
        <xdr:cNvSpPr txBox="1"/>
      </xdr:nvSpPr>
      <xdr:spPr>
        <a:xfrm>
          <a:off x="8267700" y="379628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189</xdr:row>
      <xdr:rowOff>0</xdr:rowOff>
    </xdr:from>
    <xdr:ext cx="65" cy="172227"/>
    <xdr:sp macro="" textlink="">
      <xdr:nvSpPr>
        <xdr:cNvPr id="536" name="TextBox 535">
          <a:extLst>
            <a:ext uri="{FF2B5EF4-FFF2-40B4-BE49-F238E27FC236}">
              <a16:creationId xmlns:a16="http://schemas.microsoft.com/office/drawing/2014/main" id="{00000000-0008-0000-0000-000029000000}"/>
            </a:ext>
          </a:extLst>
        </xdr:cNvPr>
        <xdr:cNvSpPr txBox="1"/>
      </xdr:nvSpPr>
      <xdr:spPr>
        <a:xfrm>
          <a:off x="8267700" y="379628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190</xdr:row>
      <xdr:rowOff>0</xdr:rowOff>
    </xdr:from>
    <xdr:ext cx="65" cy="172227"/>
    <xdr:sp macro="" textlink="">
      <xdr:nvSpPr>
        <xdr:cNvPr id="537" name="TextBox 536">
          <a:extLst>
            <a:ext uri="{FF2B5EF4-FFF2-40B4-BE49-F238E27FC236}">
              <a16:creationId xmlns:a16="http://schemas.microsoft.com/office/drawing/2014/main" id="{00000000-0008-0000-0000-00002A000000}"/>
            </a:ext>
          </a:extLst>
        </xdr:cNvPr>
        <xdr:cNvSpPr txBox="1"/>
      </xdr:nvSpPr>
      <xdr:spPr>
        <a:xfrm>
          <a:off x="8267700" y="381457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190</xdr:row>
      <xdr:rowOff>0</xdr:rowOff>
    </xdr:from>
    <xdr:ext cx="65" cy="172227"/>
    <xdr:sp macro="" textlink="">
      <xdr:nvSpPr>
        <xdr:cNvPr id="538" name="TextBox 537">
          <a:extLst>
            <a:ext uri="{FF2B5EF4-FFF2-40B4-BE49-F238E27FC236}">
              <a16:creationId xmlns:a16="http://schemas.microsoft.com/office/drawing/2014/main" id="{00000000-0008-0000-0000-00002B000000}"/>
            </a:ext>
          </a:extLst>
        </xdr:cNvPr>
        <xdr:cNvSpPr txBox="1"/>
      </xdr:nvSpPr>
      <xdr:spPr>
        <a:xfrm>
          <a:off x="8267700" y="381457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191</xdr:row>
      <xdr:rowOff>0</xdr:rowOff>
    </xdr:from>
    <xdr:ext cx="65" cy="172227"/>
    <xdr:sp macro="" textlink="">
      <xdr:nvSpPr>
        <xdr:cNvPr id="539" name="TextBox 538">
          <a:extLst>
            <a:ext uri="{FF2B5EF4-FFF2-40B4-BE49-F238E27FC236}">
              <a16:creationId xmlns:a16="http://schemas.microsoft.com/office/drawing/2014/main" id="{00000000-0008-0000-0000-00002C000000}"/>
            </a:ext>
          </a:extLst>
        </xdr:cNvPr>
        <xdr:cNvSpPr txBox="1"/>
      </xdr:nvSpPr>
      <xdr:spPr>
        <a:xfrm>
          <a:off x="8267700" y="38328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191</xdr:row>
      <xdr:rowOff>0</xdr:rowOff>
    </xdr:from>
    <xdr:ext cx="65" cy="172227"/>
    <xdr:sp macro="" textlink="">
      <xdr:nvSpPr>
        <xdr:cNvPr id="540" name="TextBox 539">
          <a:extLst>
            <a:ext uri="{FF2B5EF4-FFF2-40B4-BE49-F238E27FC236}">
              <a16:creationId xmlns:a16="http://schemas.microsoft.com/office/drawing/2014/main" id="{00000000-0008-0000-0000-00002D000000}"/>
            </a:ext>
          </a:extLst>
        </xdr:cNvPr>
        <xdr:cNvSpPr txBox="1"/>
      </xdr:nvSpPr>
      <xdr:spPr>
        <a:xfrm>
          <a:off x="8267700" y="38328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192</xdr:row>
      <xdr:rowOff>0</xdr:rowOff>
    </xdr:from>
    <xdr:ext cx="65" cy="172227"/>
    <xdr:sp macro="" textlink="">
      <xdr:nvSpPr>
        <xdr:cNvPr id="541" name="TextBox 540">
          <a:extLst>
            <a:ext uri="{FF2B5EF4-FFF2-40B4-BE49-F238E27FC236}">
              <a16:creationId xmlns:a16="http://schemas.microsoft.com/office/drawing/2014/main" id="{00000000-0008-0000-0000-00002E000000}"/>
            </a:ext>
          </a:extLst>
        </xdr:cNvPr>
        <xdr:cNvSpPr txBox="1"/>
      </xdr:nvSpPr>
      <xdr:spPr>
        <a:xfrm>
          <a:off x="8267700" y="385114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192</xdr:row>
      <xdr:rowOff>0</xdr:rowOff>
    </xdr:from>
    <xdr:ext cx="65" cy="172227"/>
    <xdr:sp macro="" textlink="">
      <xdr:nvSpPr>
        <xdr:cNvPr id="542" name="TextBox 541">
          <a:extLst>
            <a:ext uri="{FF2B5EF4-FFF2-40B4-BE49-F238E27FC236}">
              <a16:creationId xmlns:a16="http://schemas.microsoft.com/office/drawing/2014/main" id="{00000000-0008-0000-0000-00002F000000}"/>
            </a:ext>
          </a:extLst>
        </xdr:cNvPr>
        <xdr:cNvSpPr txBox="1"/>
      </xdr:nvSpPr>
      <xdr:spPr>
        <a:xfrm>
          <a:off x="8267700" y="385114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193</xdr:row>
      <xdr:rowOff>0</xdr:rowOff>
    </xdr:from>
    <xdr:ext cx="65" cy="172227"/>
    <xdr:sp macro="" textlink="">
      <xdr:nvSpPr>
        <xdr:cNvPr id="543" name="TextBox 542">
          <a:extLst>
            <a:ext uri="{FF2B5EF4-FFF2-40B4-BE49-F238E27FC236}">
              <a16:creationId xmlns:a16="http://schemas.microsoft.com/office/drawing/2014/main" id="{00000000-0008-0000-0000-000030000000}"/>
            </a:ext>
          </a:extLst>
        </xdr:cNvPr>
        <xdr:cNvSpPr txBox="1"/>
      </xdr:nvSpPr>
      <xdr:spPr>
        <a:xfrm>
          <a:off x="8267700" y="386943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193</xdr:row>
      <xdr:rowOff>0</xdr:rowOff>
    </xdr:from>
    <xdr:ext cx="65" cy="172227"/>
    <xdr:sp macro="" textlink="">
      <xdr:nvSpPr>
        <xdr:cNvPr id="544" name="TextBox 543">
          <a:extLst>
            <a:ext uri="{FF2B5EF4-FFF2-40B4-BE49-F238E27FC236}">
              <a16:creationId xmlns:a16="http://schemas.microsoft.com/office/drawing/2014/main" id="{00000000-0008-0000-0000-000031000000}"/>
            </a:ext>
          </a:extLst>
        </xdr:cNvPr>
        <xdr:cNvSpPr txBox="1"/>
      </xdr:nvSpPr>
      <xdr:spPr>
        <a:xfrm>
          <a:off x="8267700" y="386943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545" name="TextBox 544">
          <a:extLst>
            <a:ext uri="{FF2B5EF4-FFF2-40B4-BE49-F238E27FC236}">
              <a16:creationId xmlns:a16="http://schemas.microsoft.com/office/drawing/2014/main" id="{00000000-0008-0000-0000-000032000000}"/>
            </a:ext>
          </a:extLst>
        </xdr:cNvPr>
        <xdr:cNvSpPr txBox="1"/>
      </xdr:nvSpPr>
      <xdr:spPr>
        <a:xfrm>
          <a:off x="8267700" y="39425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546" name="TextBox 545">
          <a:extLst>
            <a:ext uri="{FF2B5EF4-FFF2-40B4-BE49-F238E27FC236}">
              <a16:creationId xmlns:a16="http://schemas.microsoft.com/office/drawing/2014/main" id="{00000000-0008-0000-0000-000033000000}"/>
            </a:ext>
          </a:extLst>
        </xdr:cNvPr>
        <xdr:cNvSpPr txBox="1"/>
      </xdr:nvSpPr>
      <xdr:spPr>
        <a:xfrm>
          <a:off x="8267700" y="39425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547" name="TextBox 546">
          <a:extLst>
            <a:ext uri="{FF2B5EF4-FFF2-40B4-BE49-F238E27FC236}">
              <a16:creationId xmlns:a16="http://schemas.microsoft.com/office/drawing/2014/main" id="{00000000-0008-0000-0000-000034000000}"/>
            </a:ext>
          </a:extLst>
        </xdr:cNvPr>
        <xdr:cNvSpPr txBox="1"/>
      </xdr:nvSpPr>
      <xdr:spPr>
        <a:xfrm>
          <a:off x="8267700" y="39425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548" name="TextBox 547">
          <a:extLst>
            <a:ext uri="{FF2B5EF4-FFF2-40B4-BE49-F238E27FC236}">
              <a16:creationId xmlns:a16="http://schemas.microsoft.com/office/drawing/2014/main" id="{00000000-0008-0000-0000-000035000000}"/>
            </a:ext>
          </a:extLst>
        </xdr:cNvPr>
        <xdr:cNvSpPr txBox="1"/>
      </xdr:nvSpPr>
      <xdr:spPr>
        <a:xfrm>
          <a:off x="8267700" y="39425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549" name="TextBox 548">
          <a:extLst>
            <a:ext uri="{FF2B5EF4-FFF2-40B4-BE49-F238E27FC236}">
              <a16:creationId xmlns:a16="http://schemas.microsoft.com/office/drawing/2014/main" id="{00000000-0008-0000-0000-000036000000}"/>
            </a:ext>
          </a:extLst>
        </xdr:cNvPr>
        <xdr:cNvSpPr txBox="1"/>
      </xdr:nvSpPr>
      <xdr:spPr>
        <a:xfrm>
          <a:off x="8267700" y="39425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550" name="TextBox 549">
          <a:extLst>
            <a:ext uri="{FF2B5EF4-FFF2-40B4-BE49-F238E27FC236}">
              <a16:creationId xmlns:a16="http://schemas.microsoft.com/office/drawing/2014/main" id="{00000000-0008-0000-0000-000037000000}"/>
            </a:ext>
          </a:extLst>
        </xdr:cNvPr>
        <xdr:cNvSpPr txBox="1"/>
      </xdr:nvSpPr>
      <xdr:spPr>
        <a:xfrm>
          <a:off x="8267700" y="39425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551" name="TextBox 550">
          <a:extLst>
            <a:ext uri="{FF2B5EF4-FFF2-40B4-BE49-F238E27FC236}">
              <a16:creationId xmlns:a16="http://schemas.microsoft.com/office/drawing/2014/main" id="{00000000-0008-0000-0000-000038000000}"/>
            </a:ext>
          </a:extLst>
        </xdr:cNvPr>
        <xdr:cNvSpPr txBox="1"/>
      </xdr:nvSpPr>
      <xdr:spPr>
        <a:xfrm>
          <a:off x="8267700" y="39425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552" name="TextBox 551">
          <a:extLst>
            <a:ext uri="{FF2B5EF4-FFF2-40B4-BE49-F238E27FC236}">
              <a16:creationId xmlns:a16="http://schemas.microsoft.com/office/drawing/2014/main" id="{00000000-0008-0000-0000-000039000000}"/>
            </a:ext>
          </a:extLst>
        </xdr:cNvPr>
        <xdr:cNvSpPr txBox="1"/>
      </xdr:nvSpPr>
      <xdr:spPr>
        <a:xfrm>
          <a:off x="8267700" y="39425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553" name="TextBox 552">
          <a:extLst>
            <a:ext uri="{FF2B5EF4-FFF2-40B4-BE49-F238E27FC236}">
              <a16:creationId xmlns:a16="http://schemas.microsoft.com/office/drawing/2014/main" id="{00000000-0008-0000-0000-00003A000000}"/>
            </a:ext>
          </a:extLst>
        </xdr:cNvPr>
        <xdr:cNvSpPr txBox="1"/>
      </xdr:nvSpPr>
      <xdr:spPr>
        <a:xfrm>
          <a:off x="8267700" y="39425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554" name="TextBox 553">
          <a:extLst>
            <a:ext uri="{FF2B5EF4-FFF2-40B4-BE49-F238E27FC236}">
              <a16:creationId xmlns:a16="http://schemas.microsoft.com/office/drawing/2014/main" id="{00000000-0008-0000-0000-00003B000000}"/>
            </a:ext>
          </a:extLst>
        </xdr:cNvPr>
        <xdr:cNvSpPr txBox="1"/>
      </xdr:nvSpPr>
      <xdr:spPr>
        <a:xfrm>
          <a:off x="8267700" y="39425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555" name="TextBox 554">
          <a:extLst>
            <a:ext uri="{FF2B5EF4-FFF2-40B4-BE49-F238E27FC236}">
              <a16:creationId xmlns:a16="http://schemas.microsoft.com/office/drawing/2014/main" id="{00000000-0008-0000-0000-00003C000000}"/>
            </a:ext>
          </a:extLst>
        </xdr:cNvPr>
        <xdr:cNvSpPr txBox="1"/>
      </xdr:nvSpPr>
      <xdr:spPr>
        <a:xfrm>
          <a:off x="8267700" y="39425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556" name="TextBox 555">
          <a:extLst>
            <a:ext uri="{FF2B5EF4-FFF2-40B4-BE49-F238E27FC236}">
              <a16:creationId xmlns:a16="http://schemas.microsoft.com/office/drawing/2014/main" id="{00000000-0008-0000-0000-00003D000000}"/>
            </a:ext>
          </a:extLst>
        </xdr:cNvPr>
        <xdr:cNvSpPr txBox="1"/>
      </xdr:nvSpPr>
      <xdr:spPr>
        <a:xfrm>
          <a:off x="8267700" y="39425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557" name="TextBox 556">
          <a:extLst>
            <a:ext uri="{FF2B5EF4-FFF2-40B4-BE49-F238E27FC236}">
              <a16:creationId xmlns:a16="http://schemas.microsoft.com/office/drawing/2014/main" id="{00000000-0008-0000-0000-00003E000000}"/>
            </a:ext>
          </a:extLst>
        </xdr:cNvPr>
        <xdr:cNvSpPr txBox="1"/>
      </xdr:nvSpPr>
      <xdr:spPr>
        <a:xfrm>
          <a:off x="8267700" y="39425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558" name="TextBox 557">
          <a:extLst>
            <a:ext uri="{FF2B5EF4-FFF2-40B4-BE49-F238E27FC236}">
              <a16:creationId xmlns:a16="http://schemas.microsoft.com/office/drawing/2014/main" id="{00000000-0008-0000-0000-00003F000000}"/>
            </a:ext>
          </a:extLst>
        </xdr:cNvPr>
        <xdr:cNvSpPr txBox="1"/>
      </xdr:nvSpPr>
      <xdr:spPr>
        <a:xfrm>
          <a:off x="8267700" y="39425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559" name="TextBox 558">
          <a:extLst>
            <a:ext uri="{FF2B5EF4-FFF2-40B4-BE49-F238E27FC236}">
              <a16:creationId xmlns:a16="http://schemas.microsoft.com/office/drawing/2014/main" id="{00000000-0008-0000-0000-000040000000}"/>
            </a:ext>
          </a:extLst>
        </xdr:cNvPr>
        <xdr:cNvSpPr txBox="1"/>
      </xdr:nvSpPr>
      <xdr:spPr>
        <a:xfrm>
          <a:off x="8267700" y="39425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560" name="TextBox 559">
          <a:extLst>
            <a:ext uri="{FF2B5EF4-FFF2-40B4-BE49-F238E27FC236}">
              <a16:creationId xmlns:a16="http://schemas.microsoft.com/office/drawing/2014/main" id="{00000000-0008-0000-0000-000041000000}"/>
            </a:ext>
          </a:extLst>
        </xdr:cNvPr>
        <xdr:cNvSpPr txBox="1"/>
      </xdr:nvSpPr>
      <xdr:spPr>
        <a:xfrm>
          <a:off x="8267700" y="39425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561" name="TextBox 560">
          <a:extLst>
            <a:ext uri="{FF2B5EF4-FFF2-40B4-BE49-F238E27FC236}">
              <a16:creationId xmlns:a16="http://schemas.microsoft.com/office/drawing/2014/main" id="{00000000-0008-0000-0000-000042000000}"/>
            </a:ext>
          </a:extLst>
        </xdr:cNvPr>
        <xdr:cNvSpPr txBox="1"/>
      </xdr:nvSpPr>
      <xdr:spPr>
        <a:xfrm>
          <a:off x="8267700" y="39425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562" name="TextBox 561">
          <a:extLst>
            <a:ext uri="{FF2B5EF4-FFF2-40B4-BE49-F238E27FC236}">
              <a16:creationId xmlns:a16="http://schemas.microsoft.com/office/drawing/2014/main" id="{00000000-0008-0000-0000-000043000000}"/>
            </a:ext>
          </a:extLst>
        </xdr:cNvPr>
        <xdr:cNvSpPr txBox="1"/>
      </xdr:nvSpPr>
      <xdr:spPr>
        <a:xfrm>
          <a:off x="8267700" y="39425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563" name="TextBox 562">
          <a:extLst>
            <a:ext uri="{FF2B5EF4-FFF2-40B4-BE49-F238E27FC236}">
              <a16:creationId xmlns:a16="http://schemas.microsoft.com/office/drawing/2014/main" id="{00000000-0008-0000-0000-000044000000}"/>
            </a:ext>
          </a:extLst>
        </xdr:cNvPr>
        <xdr:cNvSpPr txBox="1"/>
      </xdr:nvSpPr>
      <xdr:spPr>
        <a:xfrm>
          <a:off x="8267700" y="39425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564" name="TextBox 563">
          <a:extLst>
            <a:ext uri="{FF2B5EF4-FFF2-40B4-BE49-F238E27FC236}">
              <a16:creationId xmlns:a16="http://schemas.microsoft.com/office/drawing/2014/main" id="{00000000-0008-0000-0000-000045000000}"/>
            </a:ext>
          </a:extLst>
        </xdr:cNvPr>
        <xdr:cNvSpPr txBox="1"/>
      </xdr:nvSpPr>
      <xdr:spPr>
        <a:xfrm>
          <a:off x="8267700" y="39425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565" name="TextBox 564">
          <a:extLst>
            <a:ext uri="{FF2B5EF4-FFF2-40B4-BE49-F238E27FC236}">
              <a16:creationId xmlns:a16="http://schemas.microsoft.com/office/drawing/2014/main" id="{00000000-0008-0000-0000-000048000000}"/>
            </a:ext>
          </a:extLst>
        </xdr:cNvPr>
        <xdr:cNvSpPr txBox="1"/>
      </xdr:nvSpPr>
      <xdr:spPr>
        <a:xfrm>
          <a:off x="826770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566" name="TextBox 565">
          <a:extLst>
            <a:ext uri="{FF2B5EF4-FFF2-40B4-BE49-F238E27FC236}">
              <a16:creationId xmlns:a16="http://schemas.microsoft.com/office/drawing/2014/main" id="{00000000-0008-0000-0000-000049000000}"/>
            </a:ext>
          </a:extLst>
        </xdr:cNvPr>
        <xdr:cNvSpPr txBox="1"/>
      </xdr:nvSpPr>
      <xdr:spPr>
        <a:xfrm>
          <a:off x="826770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67" name="TextBox 566">
          <a:extLst>
            <a:ext uri="{FF2B5EF4-FFF2-40B4-BE49-F238E27FC236}">
              <a16:creationId xmlns:a16="http://schemas.microsoft.com/office/drawing/2014/main" id="{00000000-0008-0000-0000-00004C000000}"/>
            </a:ext>
          </a:extLst>
        </xdr:cNvPr>
        <xdr:cNvSpPr txBox="1"/>
      </xdr:nvSpPr>
      <xdr:spPr>
        <a:xfrm>
          <a:off x="826770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68" name="TextBox 567">
          <a:extLst>
            <a:ext uri="{FF2B5EF4-FFF2-40B4-BE49-F238E27FC236}">
              <a16:creationId xmlns:a16="http://schemas.microsoft.com/office/drawing/2014/main" id="{00000000-0008-0000-0000-00004D000000}"/>
            </a:ext>
          </a:extLst>
        </xdr:cNvPr>
        <xdr:cNvSpPr txBox="1"/>
      </xdr:nvSpPr>
      <xdr:spPr>
        <a:xfrm>
          <a:off x="826770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569" name="TextBox 568">
          <a:extLst>
            <a:ext uri="{FF2B5EF4-FFF2-40B4-BE49-F238E27FC236}">
              <a16:creationId xmlns:a16="http://schemas.microsoft.com/office/drawing/2014/main" id="{00000000-0008-0000-0000-00004E000000}"/>
            </a:ext>
          </a:extLst>
        </xdr:cNvPr>
        <xdr:cNvSpPr txBox="1"/>
      </xdr:nvSpPr>
      <xdr:spPr>
        <a:xfrm>
          <a:off x="826770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570" name="TextBox 569">
          <a:extLst>
            <a:ext uri="{FF2B5EF4-FFF2-40B4-BE49-F238E27FC236}">
              <a16:creationId xmlns:a16="http://schemas.microsoft.com/office/drawing/2014/main" id="{00000000-0008-0000-0000-00004F000000}"/>
            </a:ext>
          </a:extLst>
        </xdr:cNvPr>
        <xdr:cNvSpPr txBox="1"/>
      </xdr:nvSpPr>
      <xdr:spPr>
        <a:xfrm>
          <a:off x="826770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571" name="TextBox 570">
          <a:extLst>
            <a:ext uri="{FF2B5EF4-FFF2-40B4-BE49-F238E27FC236}">
              <a16:creationId xmlns:a16="http://schemas.microsoft.com/office/drawing/2014/main" id="{00000000-0008-0000-0000-000050000000}"/>
            </a:ext>
          </a:extLst>
        </xdr:cNvPr>
        <xdr:cNvSpPr txBox="1"/>
      </xdr:nvSpPr>
      <xdr:spPr>
        <a:xfrm>
          <a:off x="826770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572" name="TextBox 571">
          <a:extLst>
            <a:ext uri="{FF2B5EF4-FFF2-40B4-BE49-F238E27FC236}">
              <a16:creationId xmlns:a16="http://schemas.microsoft.com/office/drawing/2014/main" id="{00000000-0008-0000-0000-000051000000}"/>
            </a:ext>
          </a:extLst>
        </xdr:cNvPr>
        <xdr:cNvSpPr txBox="1"/>
      </xdr:nvSpPr>
      <xdr:spPr>
        <a:xfrm>
          <a:off x="826770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573" name="TextBox 572">
          <a:extLst>
            <a:ext uri="{FF2B5EF4-FFF2-40B4-BE49-F238E27FC236}">
              <a16:creationId xmlns:a16="http://schemas.microsoft.com/office/drawing/2014/main" id="{00000000-0008-0000-0000-000052000000}"/>
            </a:ext>
          </a:extLst>
        </xdr:cNvPr>
        <xdr:cNvSpPr txBox="1"/>
      </xdr:nvSpPr>
      <xdr:spPr>
        <a:xfrm>
          <a:off x="8267700" y="334822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574" name="TextBox 573">
          <a:extLst>
            <a:ext uri="{FF2B5EF4-FFF2-40B4-BE49-F238E27FC236}">
              <a16:creationId xmlns:a16="http://schemas.microsoft.com/office/drawing/2014/main" id="{00000000-0008-0000-0000-000053000000}"/>
            </a:ext>
          </a:extLst>
        </xdr:cNvPr>
        <xdr:cNvSpPr txBox="1"/>
      </xdr:nvSpPr>
      <xdr:spPr>
        <a:xfrm>
          <a:off x="8267700" y="334822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575" name="TextBox 574">
          <a:extLst>
            <a:ext uri="{FF2B5EF4-FFF2-40B4-BE49-F238E27FC236}">
              <a16:creationId xmlns:a16="http://schemas.microsoft.com/office/drawing/2014/main" id="{00000000-0008-0000-0000-000054000000}"/>
            </a:ext>
          </a:extLst>
        </xdr:cNvPr>
        <xdr:cNvSpPr txBox="1"/>
      </xdr:nvSpPr>
      <xdr:spPr>
        <a:xfrm>
          <a:off x="826770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576" name="TextBox 575">
          <a:extLst>
            <a:ext uri="{FF2B5EF4-FFF2-40B4-BE49-F238E27FC236}">
              <a16:creationId xmlns:a16="http://schemas.microsoft.com/office/drawing/2014/main" id="{00000000-0008-0000-0000-000055000000}"/>
            </a:ext>
          </a:extLst>
        </xdr:cNvPr>
        <xdr:cNvSpPr txBox="1"/>
      </xdr:nvSpPr>
      <xdr:spPr>
        <a:xfrm>
          <a:off x="826770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577" name="TextBox 576">
          <a:extLst>
            <a:ext uri="{FF2B5EF4-FFF2-40B4-BE49-F238E27FC236}">
              <a16:creationId xmlns:a16="http://schemas.microsoft.com/office/drawing/2014/main" id="{00000000-0008-0000-0000-000056000000}"/>
            </a:ext>
          </a:extLst>
        </xdr:cNvPr>
        <xdr:cNvSpPr txBox="1"/>
      </xdr:nvSpPr>
      <xdr:spPr>
        <a:xfrm>
          <a:off x="826770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578" name="TextBox 577">
          <a:extLst>
            <a:ext uri="{FF2B5EF4-FFF2-40B4-BE49-F238E27FC236}">
              <a16:creationId xmlns:a16="http://schemas.microsoft.com/office/drawing/2014/main" id="{00000000-0008-0000-0000-000057000000}"/>
            </a:ext>
          </a:extLst>
        </xdr:cNvPr>
        <xdr:cNvSpPr txBox="1"/>
      </xdr:nvSpPr>
      <xdr:spPr>
        <a:xfrm>
          <a:off x="826770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79" name="TextBox 578">
          <a:extLst>
            <a:ext uri="{FF2B5EF4-FFF2-40B4-BE49-F238E27FC236}">
              <a16:creationId xmlns:a16="http://schemas.microsoft.com/office/drawing/2014/main" id="{00000000-0008-0000-0000-000058000000}"/>
            </a:ext>
          </a:extLst>
        </xdr:cNvPr>
        <xdr:cNvSpPr txBox="1"/>
      </xdr:nvSpPr>
      <xdr:spPr>
        <a:xfrm>
          <a:off x="826770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80" name="TextBox 579">
          <a:extLst>
            <a:ext uri="{FF2B5EF4-FFF2-40B4-BE49-F238E27FC236}">
              <a16:creationId xmlns:a16="http://schemas.microsoft.com/office/drawing/2014/main" id="{00000000-0008-0000-0000-000059000000}"/>
            </a:ext>
          </a:extLst>
        </xdr:cNvPr>
        <xdr:cNvSpPr txBox="1"/>
      </xdr:nvSpPr>
      <xdr:spPr>
        <a:xfrm>
          <a:off x="826770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81" name="TextBox 580">
          <a:extLst>
            <a:ext uri="{FF2B5EF4-FFF2-40B4-BE49-F238E27FC236}">
              <a16:creationId xmlns:a16="http://schemas.microsoft.com/office/drawing/2014/main" id="{00000000-0008-0000-0000-00005A000000}"/>
            </a:ext>
          </a:extLst>
        </xdr:cNvPr>
        <xdr:cNvSpPr txBox="1"/>
      </xdr:nvSpPr>
      <xdr:spPr>
        <a:xfrm>
          <a:off x="826770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82" name="TextBox 581">
          <a:extLst>
            <a:ext uri="{FF2B5EF4-FFF2-40B4-BE49-F238E27FC236}">
              <a16:creationId xmlns:a16="http://schemas.microsoft.com/office/drawing/2014/main" id="{00000000-0008-0000-0000-00005B000000}"/>
            </a:ext>
          </a:extLst>
        </xdr:cNvPr>
        <xdr:cNvSpPr txBox="1"/>
      </xdr:nvSpPr>
      <xdr:spPr>
        <a:xfrm>
          <a:off x="826770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83" name="TextBox 582">
          <a:extLst>
            <a:ext uri="{FF2B5EF4-FFF2-40B4-BE49-F238E27FC236}">
              <a16:creationId xmlns:a16="http://schemas.microsoft.com/office/drawing/2014/main" id="{00000000-0008-0000-0000-00005C000000}"/>
            </a:ext>
          </a:extLst>
        </xdr:cNvPr>
        <xdr:cNvSpPr txBox="1"/>
      </xdr:nvSpPr>
      <xdr:spPr>
        <a:xfrm>
          <a:off x="826770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84" name="TextBox 583">
          <a:extLst>
            <a:ext uri="{FF2B5EF4-FFF2-40B4-BE49-F238E27FC236}">
              <a16:creationId xmlns:a16="http://schemas.microsoft.com/office/drawing/2014/main" id="{00000000-0008-0000-0000-00005D000000}"/>
            </a:ext>
          </a:extLst>
        </xdr:cNvPr>
        <xdr:cNvSpPr txBox="1"/>
      </xdr:nvSpPr>
      <xdr:spPr>
        <a:xfrm>
          <a:off x="826770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85" name="TextBox 584">
          <a:extLst>
            <a:ext uri="{FF2B5EF4-FFF2-40B4-BE49-F238E27FC236}">
              <a16:creationId xmlns:a16="http://schemas.microsoft.com/office/drawing/2014/main" id="{00000000-0008-0000-0000-00005E000000}"/>
            </a:ext>
          </a:extLst>
        </xdr:cNvPr>
        <xdr:cNvSpPr txBox="1"/>
      </xdr:nvSpPr>
      <xdr:spPr>
        <a:xfrm>
          <a:off x="826770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86" name="TextBox 585">
          <a:extLst>
            <a:ext uri="{FF2B5EF4-FFF2-40B4-BE49-F238E27FC236}">
              <a16:creationId xmlns:a16="http://schemas.microsoft.com/office/drawing/2014/main" id="{00000000-0008-0000-0000-00005F000000}"/>
            </a:ext>
          </a:extLst>
        </xdr:cNvPr>
        <xdr:cNvSpPr txBox="1"/>
      </xdr:nvSpPr>
      <xdr:spPr>
        <a:xfrm>
          <a:off x="826770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587" name="TextBox 586">
          <a:extLst>
            <a:ext uri="{FF2B5EF4-FFF2-40B4-BE49-F238E27FC236}">
              <a16:creationId xmlns:a16="http://schemas.microsoft.com/office/drawing/2014/main" id="{00000000-0008-0000-0000-000060000000}"/>
            </a:ext>
          </a:extLst>
        </xdr:cNvPr>
        <xdr:cNvSpPr txBox="1"/>
      </xdr:nvSpPr>
      <xdr:spPr>
        <a:xfrm>
          <a:off x="8267700" y="334822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588" name="TextBox 587">
          <a:extLst>
            <a:ext uri="{FF2B5EF4-FFF2-40B4-BE49-F238E27FC236}">
              <a16:creationId xmlns:a16="http://schemas.microsoft.com/office/drawing/2014/main" id="{00000000-0008-0000-0000-000061000000}"/>
            </a:ext>
          </a:extLst>
        </xdr:cNvPr>
        <xdr:cNvSpPr txBox="1"/>
      </xdr:nvSpPr>
      <xdr:spPr>
        <a:xfrm>
          <a:off x="8267700" y="334822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589" name="TextBox 588">
          <a:extLst>
            <a:ext uri="{FF2B5EF4-FFF2-40B4-BE49-F238E27FC236}">
              <a16:creationId xmlns:a16="http://schemas.microsoft.com/office/drawing/2014/main" id="{00000000-0008-0000-0000-000062000000}"/>
            </a:ext>
          </a:extLst>
        </xdr:cNvPr>
        <xdr:cNvSpPr txBox="1"/>
      </xdr:nvSpPr>
      <xdr:spPr>
        <a:xfrm>
          <a:off x="8267700" y="334822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590" name="TextBox 589">
          <a:extLst>
            <a:ext uri="{FF2B5EF4-FFF2-40B4-BE49-F238E27FC236}">
              <a16:creationId xmlns:a16="http://schemas.microsoft.com/office/drawing/2014/main" id="{00000000-0008-0000-0000-000063000000}"/>
            </a:ext>
          </a:extLst>
        </xdr:cNvPr>
        <xdr:cNvSpPr txBox="1"/>
      </xdr:nvSpPr>
      <xdr:spPr>
        <a:xfrm>
          <a:off x="8267700" y="334822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591" name="TextBox 590">
          <a:extLst>
            <a:ext uri="{FF2B5EF4-FFF2-40B4-BE49-F238E27FC236}">
              <a16:creationId xmlns:a16="http://schemas.microsoft.com/office/drawing/2014/main" id="{00000000-0008-0000-0000-000064000000}"/>
            </a:ext>
          </a:extLst>
        </xdr:cNvPr>
        <xdr:cNvSpPr txBox="1"/>
      </xdr:nvSpPr>
      <xdr:spPr>
        <a:xfrm>
          <a:off x="826770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592" name="TextBox 591">
          <a:extLst>
            <a:ext uri="{FF2B5EF4-FFF2-40B4-BE49-F238E27FC236}">
              <a16:creationId xmlns:a16="http://schemas.microsoft.com/office/drawing/2014/main" id="{00000000-0008-0000-0000-000065000000}"/>
            </a:ext>
          </a:extLst>
        </xdr:cNvPr>
        <xdr:cNvSpPr txBox="1"/>
      </xdr:nvSpPr>
      <xdr:spPr>
        <a:xfrm>
          <a:off x="826770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593" name="TextBox 592">
          <a:extLst>
            <a:ext uri="{FF2B5EF4-FFF2-40B4-BE49-F238E27FC236}">
              <a16:creationId xmlns:a16="http://schemas.microsoft.com/office/drawing/2014/main" id="{00000000-0008-0000-0000-000066000000}"/>
            </a:ext>
          </a:extLst>
        </xdr:cNvPr>
        <xdr:cNvSpPr txBox="1"/>
      </xdr:nvSpPr>
      <xdr:spPr>
        <a:xfrm>
          <a:off x="826770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594" name="TextBox 593">
          <a:extLst>
            <a:ext uri="{FF2B5EF4-FFF2-40B4-BE49-F238E27FC236}">
              <a16:creationId xmlns:a16="http://schemas.microsoft.com/office/drawing/2014/main" id="{00000000-0008-0000-0000-000067000000}"/>
            </a:ext>
          </a:extLst>
        </xdr:cNvPr>
        <xdr:cNvSpPr txBox="1"/>
      </xdr:nvSpPr>
      <xdr:spPr>
        <a:xfrm>
          <a:off x="826770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595" name="TextBox 594">
          <a:extLst>
            <a:ext uri="{FF2B5EF4-FFF2-40B4-BE49-F238E27FC236}">
              <a16:creationId xmlns:a16="http://schemas.microsoft.com/office/drawing/2014/main" id="{00000000-0008-0000-0000-000068000000}"/>
            </a:ext>
          </a:extLst>
        </xdr:cNvPr>
        <xdr:cNvSpPr txBox="1"/>
      </xdr:nvSpPr>
      <xdr:spPr>
        <a:xfrm>
          <a:off x="826770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596" name="TextBox 595">
          <a:extLst>
            <a:ext uri="{FF2B5EF4-FFF2-40B4-BE49-F238E27FC236}">
              <a16:creationId xmlns:a16="http://schemas.microsoft.com/office/drawing/2014/main" id="{00000000-0008-0000-0000-000069000000}"/>
            </a:ext>
          </a:extLst>
        </xdr:cNvPr>
        <xdr:cNvSpPr txBox="1"/>
      </xdr:nvSpPr>
      <xdr:spPr>
        <a:xfrm>
          <a:off x="826770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597" name="TextBox 596">
          <a:extLst>
            <a:ext uri="{FF2B5EF4-FFF2-40B4-BE49-F238E27FC236}">
              <a16:creationId xmlns:a16="http://schemas.microsoft.com/office/drawing/2014/main" id="{00000000-0008-0000-0000-00006A000000}"/>
            </a:ext>
          </a:extLst>
        </xdr:cNvPr>
        <xdr:cNvSpPr txBox="1"/>
      </xdr:nvSpPr>
      <xdr:spPr>
        <a:xfrm>
          <a:off x="826770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598" name="TextBox 597">
          <a:extLst>
            <a:ext uri="{FF2B5EF4-FFF2-40B4-BE49-F238E27FC236}">
              <a16:creationId xmlns:a16="http://schemas.microsoft.com/office/drawing/2014/main" id="{00000000-0008-0000-0000-00006B000000}"/>
            </a:ext>
          </a:extLst>
        </xdr:cNvPr>
        <xdr:cNvSpPr txBox="1"/>
      </xdr:nvSpPr>
      <xdr:spPr>
        <a:xfrm>
          <a:off x="826770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599" name="TextBox 598">
          <a:extLst>
            <a:ext uri="{FF2B5EF4-FFF2-40B4-BE49-F238E27FC236}">
              <a16:creationId xmlns:a16="http://schemas.microsoft.com/office/drawing/2014/main" id="{00000000-0008-0000-0000-00006C000000}"/>
            </a:ext>
          </a:extLst>
        </xdr:cNvPr>
        <xdr:cNvSpPr txBox="1"/>
      </xdr:nvSpPr>
      <xdr:spPr>
        <a:xfrm>
          <a:off x="826770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00" name="TextBox 599">
          <a:extLst>
            <a:ext uri="{FF2B5EF4-FFF2-40B4-BE49-F238E27FC236}">
              <a16:creationId xmlns:a16="http://schemas.microsoft.com/office/drawing/2014/main" id="{00000000-0008-0000-0000-00006D000000}"/>
            </a:ext>
          </a:extLst>
        </xdr:cNvPr>
        <xdr:cNvSpPr txBox="1"/>
      </xdr:nvSpPr>
      <xdr:spPr>
        <a:xfrm>
          <a:off x="826770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01" name="TextBox 600">
          <a:extLst>
            <a:ext uri="{FF2B5EF4-FFF2-40B4-BE49-F238E27FC236}">
              <a16:creationId xmlns:a16="http://schemas.microsoft.com/office/drawing/2014/main" id="{00000000-0008-0000-0000-00006E000000}"/>
            </a:ext>
          </a:extLst>
        </xdr:cNvPr>
        <xdr:cNvSpPr txBox="1"/>
      </xdr:nvSpPr>
      <xdr:spPr>
        <a:xfrm>
          <a:off x="826770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02" name="TextBox 601">
          <a:extLst>
            <a:ext uri="{FF2B5EF4-FFF2-40B4-BE49-F238E27FC236}">
              <a16:creationId xmlns:a16="http://schemas.microsoft.com/office/drawing/2014/main" id="{00000000-0008-0000-0000-00006F000000}"/>
            </a:ext>
          </a:extLst>
        </xdr:cNvPr>
        <xdr:cNvSpPr txBox="1"/>
      </xdr:nvSpPr>
      <xdr:spPr>
        <a:xfrm>
          <a:off x="826770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03" name="TextBox 602">
          <a:extLst>
            <a:ext uri="{FF2B5EF4-FFF2-40B4-BE49-F238E27FC236}">
              <a16:creationId xmlns:a16="http://schemas.microsoft.com/office/drawing/2014/main" id="{00000000-0008-0000-0000-000070000000}"/>
            </a:ext>
          </a:extLst>
        </xdr:cNvPr>
        <xdr:cNvSpPr txBox="1"/>
      </xdr:nvSpPr>
      <xdr:spPr>
        <a:xfrm>
          <a:off x="826770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04" name="TextBox 603">
          <a:extLst>
            <a:ext uri="{FF2B5EF4-FFF2-40B4-BE49-F238E27FC236}">
              <a16:creationId xmlns:a16="http://schemas.microsoft.com/office/drawing/2014/main" id="{00000000-0008-0000-0000-000071000000}"/>
            </a:ext>
          </a:extLst>
        </xdr:cNvPr>
        <xdr:cNvSpPr txBox="1"/>
      </xdr:nvSpPr>
      <xdr:spPr>
        <a:xfrm>
          <a:off x="826770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05" name="TextBox 604">
          <a:extLst>
            <a:ext uri="{FF2B5EF4-FFF2-40B4-BE49-F238E27FC236}">
              <a16:creationId xmlns:a16="http://schemas.microsoft.com/office/drawing/2014/main" id="{00000000-0008-0000-0000-000072000000}"/>
            </a:ext>
          </a:extLst>
        </xdr:cNvPr>
        <xdr:cNvSpPr txBox="1"/>
      </xdr:nvSpPr>
      <xdr:spPr>
        <a:xfrm>
          <a:off x="826770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06" name="TextBox 605">
          <a:extLst>
            <a:ext uri="{FF2B5EF4-FFF2-40B4-BE49-F238E27FC236}">
              <a16:creationId xmlns:a16="http://schemas.microsoft.com/office/drawing/2014/main" id="{00000000-0008-0000-0000-000073000000}"/>
            </a:ext>
          </a:extLst>
        </xdr:cNvPr>
        <xdr:cNvSpPr txBox="1"/>
      </xdr:nvSpPr>
      <xdr:spPr>
        <a:xfrm>
          <a:off x="826770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07" name="TextBox 606">
          <a:extLst>
            <a:ext uri="{FF2B5EF4-FFF2-40B4-BE49-F238E27FC236}">
              <a16:creationId xmlns:a16="http://schemas.microsoft.com/office/drawing/2014/main" id="{00000000-0008-0000-0000-000074000000}"/>
            </a:ext>
          </a:extLst>
        </xdr:cNvPr>
        <xdr:cNvSpPr txBox="1"/>
      </xdr:nvSpPr>
      <xdr:spPr>
        <a:xfrm>
          <a:off x="1258062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08" name="TextBox 607">
          <a:extLst>
            <a:ext uri="{FF2B5EF4-FFF2-40B4-BE49-F238E27FC236}">
              <a16:creationId xmlns:a16="http://schemas.microsoft.com/office/drawing/2014/main" id="{00000000-0008-0000-0000-000075000000}"/>
            </a:ext>
          </a:extLst>
        </xdr:cNvPr>
        <xdr:cNvSpPr txBox="1"/>
      </xdr:nvSpPr>
      <xdr:spPr>
        <a:xfrm>
          <a:off x="1258062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09" name="TextBox 608">
          <a:extLst>
            <a:ext uri="{FF2B5EF4-FFF2-40B4-BE49-F238E27FC236}">
              <a16:creationId xmlns:a16="http://schemas.microsoft.com/office/drawing/2014/main" id="{00000000-0008-0000-0000-000076000000}"/>
            </a:ext>
          </a:extLst>
        </xdr:cNvPr>
        <xdr:cNvSpPr txBox="1"/>
      </xdr:nvSpPr>
      <xdr:spPr>
        <a:xfrm>
          <a:off x="1258062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10" name="TextBox 609">
          <a:extLst>
            <a:ext uri="{FF2B5EF4-FFF2-40B4-BE49-F238E27FC236}">
              <a16:creationId xmlns:a16="http://schemas.microsoft.com/office/drawing/2014/main" id="{00000000-0008-0000-0000-000077000000}"/>
            </a:ext>
          </a:extLst>
        </xdr:cNvPr>
        <xdr:cNvSpPr txBox="1"/>
      </xdr:nvSpPr>
      <xdr:spPr>
        <a:xfrm>
          <a:off x="1258062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11" name="TextBox 610">
          <a:extLst>
            <a:ext uri="{FF2B5EF4-FFF2-40B4-BE49-F238E27FC236}">
              <a16:creationId xmlns:a16="http://schemas.microsoft.com/office/drawing/2014/main" id="{00000000-0008-0000-0000-000078000000}"/>
            </a:ext>
          </a:extLst>
        </xdr:cNvPr>
        <xdr:cNvSpPr txBox="1"/>
      </xdr:nvSpPr>
      <xdr:spPr>
        <a:xfrm>
          <a:off x="1258062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12" name="TextBox 611">
          <a:extLst>
            <a:ext uri="{FF2B5EF4-FFF2-40B4-BE49-F238E27FC236}">
              <a16:creationId xmlns:a16="http://schemas.microsoft.com/office/drawing/2014/main" id="{00000000-0008-0000-0000-000079000000}"/>
            </a:ext>
          </a:extLst>
        </xdr:cNvPr>
        <xdr:cNvSpPr txBox="1"/>
      </xdr:nvSpPr>
      <xdr:spPr>
        <a:xfrm>
          <a:off x="1258062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13" name="TextBox 612">
          <a:extLst>
            <a:ext uri="{FF2B5EF4-FFF2-40B4-BE49-F238E27FC236}">
              <a16:creationId xmlns:a16="http://schemas.microsoft.com/office/drawing/2014/main" id="{00000000-0008-0000-0000-00007A000000}"/>
            </a:ext>
          </a:extLst>
        </xdr:cNvPr>
        <xdr:cNvSpPr txBox="1"/>
      </xdr:nvSpPr>
      <xdr:spPr>
        <a:xfrm>
          <a:off x="1258062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14" name="TextBox 613">
          <a:extLst>
            <a:ext uri="{FF2B5EF4-FFF2-40B4-BE49-F238E27FC236}">
              <a16:creationId xmlns:a16="http://schemas.microsoft.com/office/drawing/2014/main" id="{00000000-0008-0000-0000-00007B000000}"/>
            </a:ext>
          </a:extLst>
        </xdr:cNvPr>
        <xdr:cNvSpPr txBox="1"/>
      </xdr:nvSpPr>
      <xdr:spPr>
        <a:xfrm>
          <a:off x="1258062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615" name="TextBox 614">
          <a:extLst>
            <a:ext uri="{FF2B5EF4-FFF2-40B4-BE49-F238E27FC236}">
              <a16:creationId xmlns:a16="http://schemas.microsoft.com/office/drawing/2014/main" id="{00000000-0008-0000-0000-00007C000000}"/>
            </a:ext>
          </a:extLst>
        </xdr:cNvPr>
        <xdr:cNvSpPr txBox="1"/>
      </xdr:nvSpPr>
      <xdr:spPr>
        <a:xfrm>
          <a:off x="8267700" y="334822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616" name="TextBox 615">
          <a:extLst>
            <a:ext uri="{FF2B5EF4-FFF2-40B4-BE49-F238E27FC236}">
              <a16:creationId xmlns:a16="http://schemas.microsoft.com/office/drawing/2014/main" id="{00000000-0008-0000-0000-00007D000000}"/>
            </a:ext>
          </a:extLst>
        </xdr:cNvPr>
        <xdr:cNvSpPr txBox="1"/>
      </xdr:nvSpPr>
      <xdr:spPr>
        <a:xfrm>
          <a:off x="8267700" y="334822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617" name="TextBox 616">
          <a:extLst>
            <a:ext uri="{FF2B5EF4-FFF2-40B4-BE49-F238E27FC236}">
              <a16:creationId xmlns:a16="http://schemas.microsoft.com/office/drawing/2014/main" id="{00000000-0008-0000-0000-00007E000000}"/>
            </a:ext>
          </a:extLst>
        </xdr:cNvPr>
        <xdr:cNvSpPr txBox="1"/>
      </xdr:nvSpPr>
      <xdr:spPr>
        <a:xfrm>
          <a:off x="8267700" y="334822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618" name="TextBox 617">
          <a:extLst>
            <a:ext uri="{FF2B5EF4-FFF2-40B4-BE49-F238E27FC236}">
              <a16:creationId xmlns:a16="http://schemas.microsoft.com/office/drawing/2014/main" id="{00000000-0008-0000-0000-00007F000000}"/>
            </a:ext>
          </a:extLst>
        </xdr:cNvPr>
        <xdr:cNvSpPr txBox="1"/>
      </xdr:nvSpPr>
      <xdr:spPr>
        <a:xfrm>
          <a:off x="8267700" y="334822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19" name="TextBox 618">
          <a:extLst>
            <a:ext uri="{FF2B5EF4-FFF2-40B4-BE49-F238E27FC236}">
              <a16:creationId xmlns:a16="http://schemas.microsoft.com/office/drawing/2014/main" id="{00000000-0008-0000-0000-000080000000}"/>
            </a:ext>
          </a:extLst>
        </xdr:cNvPr>
        <xdr:cNvSpPr txBox="1"/>
      </xdr:nvSpPr>
      <xdr:spPr>
        <a:xfrm>
          <a:off x="826770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20" name="TextBox 619">
          <a:extLst>
            <a:ext uri="{FF2B5EF4-FFF2-40B4-BE49-F238E27FC236}">
              <a16:creationId xmlns:a16="http://schemas.microsoft.com/office/drawing/2014/main" id="{00000000-0008-0000-0000-000081000000}"/>
            </a:ext>
          </a:extLst>
        </xdr:cNvPr>
        <xdr:cNvSpPr txBox="1"/>
      </xdr:nvSpPr>
      <xdr:spPr>
        <a:xfrm>
          <a:off x="826770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21" name="TextBox 620">
          <a:extLst>
            <a:ext uri="{FF2B5EF4-FFF2-40B4-BE49-F238E27FC236}">
              <a16:creationId xmlns:a16="http://schemas.microsoft.com/office/drawing/2014/main" id="{00000000-0008-0000-0000-000082000000}"/>
            </a:ext>
          </a:extLst>
        </xdr:cNvPr>
        <xdr:cNvSpPr txBox="1"/>
      </xdr:nvSpPr>
      <xdr:spPr>
        <a:xfrm>
          <a:off x="826770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22" name="TextBox 621">
          <a:extLst>
            <a:ext uri="{FF2B5EF4-FFF2-40B4-BE49-F238E27FC236}">
              <a16:creationId xmlns:a16="http://schemas.microsoft.com/office/drawing/2014/main" id="{00000000-0008-0000-0000-000083000000}"/>
            </a:ext>
          </a:extLst>
        </xdr:cNvPr>
        <xdr:cNvSpPr txBox="1"/>
      </xdr:nvSpPr>
      <xdr:spPr>
        <a:xfrm>
          <a:off x="826770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23" name="TextBox 622">
          <a:extLst>
            <a:ext uri="{FF2B5EF4-FFF2-40B4-BE49-F238E27FC236}">
              <a16:creationId xmlns:a16="http://schemas.microsoft.com/office/drawing/2014/main" id="{00000000-0008-0000-0000-000084000000}"/>
            </a:ext>
          </a:extLst>
        </xdr:cNvPr>
        <xdr:cNvSpPr txBox="1"/>
      </xdr:nvSpPr>
      <xdr:spPr>
        <a:xfrm>
          <a:off x="826770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24" name="TextBox 623">
          <a:extLst>
            <a:ext uri="{FF2B5EF4-FFF2-40B4-BE49-F238E27FC236}">
              <a16:creationId xmlns:a16="http://schemas.microsoft.com/office/drawing/2014/main" id="{00000000-0008-0000-0000-000085000000}"/>
            </a:ext>
          </a:extLst>
        </xdr:cNvPr>
        <xdr:cNvSpPr txBox="1"/>
      </xdr:nvSpPr>
      <xdr:spPr>
        <a:xfrm>
          <a:off x="826770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25" name="TextBox 624">
          <a:extLst>
            <a:ext uri="{FF2B5EF4-FFF2-40B4-BE49-F238E27FC236}">
              <a16:creationId xmlns:a16="http://schemas.microsoft.com/office/drawing/2014/main" id="{00000000-0008-0000-0000-000086000000}"/>
            </a:ext>
          </a:extLst>
        </xdr:cNvPr>
        <xdr:cNvSpPr txBox="1"/>
      </xdr:nvSpPr>
      <xdr:spPr>
        <a:xfrm>
          <a:off x="826770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26" name="TextBox 625">
          <a:extLst>
            <a:ext uri="{FF2B5EF4-FFF2-40B4-BE49-F238E27FC236}">
              <a16:creationId xmlns:a16="http://schemas.microsoft.com/office/drawing/2014/main" id="{00000000-0008-0000-0000-000087000000}"/>
            </a:ext>
          </a:extLst>
        </xdr:cNvPr>
        <xdr:cNvSpPr txBox="1"/>
      </xdr:nvSpPr>
      <xdr:spPr>
        <a:xfrm>
          <a:off x="826770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27" name="TextBox 626">
          <a:extLst>
            <a:ext uri="{FF2B5EF4-FFF2-40B4-BE49-F238E27FC236}">
              <a16:creationId xmlns:a16="http://schemas.microsoft.com/office/drawing/2014/main" id="{00000000-0008-0000-0000-000088000000}"/>
            </a:ext>
          </a:extLst>
        </xdr:cNvPr>
        <xdr:cNvSpPr txBox="1"/>
      </xdr:nvSpPr>
      <xdr:spPr>
        <a:xfrm>
          <a:off x="826770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28" name="TextBox 627">
          <a:extLst>
            <a:ext uri="{FF2B5EF4-FFF2-40B4-BE49-F238E27FC236}">
              <a16:creationId xmlns:a16="http://schemas.microsoft.com/office/drawing/2014/main" id="{00000000-0008-0000-0000-000089000000}"/>
            </a:ext>
          </a:extLst>
        </xdr:cNvPr>
        <xdr:cNvSpPr txBox="1"/>
      </xdr:nvSpPr>
      <xdr:spPr>
        <a:xfrm>
          <a:off x="826770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29" name="TextBox 628">
          <a:extLst>
            <a:ext uri="{FF2B5EF4-FFF2-40B4-BE49-F238E27FC236}">
              <a16:creationId xmlns:a16="http://schemas.microsoft.com/office/drawing/2014/main" id="{00000000-0008-0000-0000-00008A000000}"/>
            </a:ext>
          </a:extLst>
        </xdr:cNvPr>
        <xdr:cNvSpPr txBox="1"/>
      </xdr:nvSpPr>
      <xdr:spPr>
        <a:xfrm>
          <a:off x="826770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30" name="TextBox 629">
          <a:extLst>
            <a:ext uri="{FF2B5EF4-FFF2-40B4-BE49-F238E27FC236}">
              <a16:creationId xmlns:a16="http://schemas.microsoft.com/office/drawing/2014/main" id="{00000000-0008-0000-0000-00008B000000}"/>
            </a:ext>
          </a:extLst>
        </xdr:cNvPr>
        <xdr:cNvSpPr txBox="1"/>
      </xdr:nvSpPr>
      <xdr:spPr>
        <a:xfrm>
          <a:off x="826770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31" name="TextBox 630">
          <a:extLst>
            <a:ext uri="{FF2B5EF4-FFF2-40B4-BE49-F238E27FC236}">
              <a16:creationId xmlns:a16="http://schemas.microsoft.com/office/drawing/2014/main" id="{00000000-0008-0000-0000-00008C000000}"/>
            </a:ext>
          </a:extLst>
        </xdr:cNvPr>
        <xdr:cNvSpPr txBox="1"/>
      </xdr:nvSpPr>
      <xdr:spPr>
        <a:xfrm>
          <a:off x="826770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32" name="TextBox 631">
          <a:extLst>
            <a:ext uri="{FF2B5EF4-FFF2-40B4-BE49-F238E27FC236}">
              <a16:creationId xmlns:a16="http://schemas.microsoft.com/office/drawing/2014/main" id="{00000000-0008-0000-0000-00008D000000}"/>
            </a:ext>
          </a:extLst>
        </xdr:cNvPr>
        <xdr:cNvSpPr txBox="1"/>
      </xdr:nvSpPr>
      <xdr:spPr>
        <a:xfrm>
          <a:off x="826770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33" name="TextBox 632">
          <a:extLst>
            <a:ext uri="{FF2B5EF4-FFF2-40B4-BE49-F238E27FC236}">
              <a16:creationId xmlns:a16="http://schemas.microsoft.com/office/drawing/2014/main" id="{00000000-0008-0000-0000-00008E000000}"/>
            </a:ext>
          </a:extLst>
        </xdr:cNvPr>
        <xdr:cNvSpPr txBox="1"/>
      </xdr:nvSpPr>
      <xdr:spPr>
        <a:xfrm>
          <a:off x="826770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34" name="TextBox 633">
          <a:extLst>
            <a:ext uri="{FF2B5EF4-FFF2-40B4-BE49-F238E27FC236}">
              <a16:creationId xmlns:a16="http://schemas.microsoft.com/office/drawing/2014/main" id="{00000000-0008-0000-0000-00008F000000}"/>
            </a:ext>
          </a:extLst>
        </xdr:cNvPr>
        <xdr:cNvSpPr txBox="1"/>
      </xdr:nvSpPr>
      <xdr:spPr>
        <a:xfrm>
          <a:off x="826770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35" name="TextBox 634">
          <a:extLst>
            <a:ext uri="{FF2B5EF4-FFF2-40B4-BE49-F238E27FC236}">
              <a16:creationId xmlns:a16="http://schemas.microsoft.com/office/drawing/2014/main" id="{00000000-0008-0000-0000-000090000000}"/>
            </a:ext>
          </a:extLst>
        </xdr:cNvPr>
        <xdr:cNvSpPr txBox="1"/>
      </xdr:nvSpPr>
      <xdr:spPr>
        <a:xfrm>
          <a:off x="826770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36" name="TextBox 635">
          <a:extLst>
            <a:ext uri="{FF2B5EF4-FFF2-40B4-BE49-F238E27FC236}">
              <a16:creationId xmlns:a16="http://schemas.microsoft.com/office/drawing/2014/main" id="{00000000-0008-0000-0000-000091000000}"/>
            </a:ext>
          </a:extLst>
        </xdr:cNvPr>
        <xdr:cNvSpPr txBox="1"/>
      </xdr:nvSpPr>
      <xdr:spPr>
        <a:xfrm>
          <a:off x="826770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37" name="TextBox 636">
          <a:extLst>
            <a:ext uri="{FF2B5EF4-FFF2-40B4-BE49-F238E27FC236}">
              <a16:creationId xmlns:a16="http://schemas.microsoft.com/office/drawing/2014/main" id="{00000000-0008-0000-0000-000092000000}"/>
            </a:ext>
          </a:extLst>
        </xdr:cNvPr>
        <xdr:cNvSpPr txBox="1"/>
      </xdr:nvSpPr>
      <xdr:spPr>
        <a:xfrm>
          <a:off x="826770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38" name="TextBox 637">
          <a:extLst>
            <a:ext uri="{FF2B5EF4-FFF2-40B4-BE49-F238E27FC236}">
              <a16:creationId xmlns:a16="http://schemas.microsoft.com/office/drawing/2014/main" id="{00000000-0008-0000-0000-000093000000}"/>
            </a:ext>
          </a:extLst>
        </xdr:cNvPr>
        <xdr:cNvSpPr txBox="1"/>
      </xdr:nvSpPr>
      <xdr:spPr>
        <a:xfrm>
          <a:off x="826770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39" name="TextBox 638">
          <a:extLst>
            <a:ext uri="{FF2B5EF4-FFF2-40B4-BE49-F238E27FC236}">
              <a16:creationId xmlns:a16="http://schemas.microsoft.com/office/drawing/2014/main" id="{00000000-0008-0000-0000-000094000000}"/>
            </a:ext>
          </a:extLst>
        </xdr:cNvPr>
        <xdr:cNvSpPr txBox="1"/>
      </xdr:nvSpPr>
      <xdr:spPr>
        <a:xfrm>
          <a:off x="826770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40" name="TextBox 639">
          <a:extLst>
            <a:ext uri="{FF2B5EF4-FFF2-40B4-BE49-F238E27FC236}">
              <a16:creationId xmlns:a16="http://schemas.microsoft.com/office/drawing/2014/main" id="{00000000-0008-0000-0000-000095000000}"/>
            </a:ext>
          </a:extLst>
        </xdr:cNvPr>
        <xdr:cNvSpPr txBox="1"/>
      </xdr:nvSpPr>
      <xdr:spPr>
        <a:xfrm>
          <a:off x="826770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41" name="TextBox 640">
          <a:extLst>
            <a:ext uri="{FF2B5EF4-FFF2-40B4-BE49-F238E27FC236}">
              <a16:creationId xmlns:a16="http://schemas.microsoft.com/office/drawing/2014/main" id="{00000000-0008-0000-0000-000096000000}"/>
            </a:ext>
          </a:extLst>
        </xdr:cNvPr>
        <xdr:cNvSpPr txBox="1"/>
      </xdr:nvSpPr>
      <xdr:spPr>
        <a:xfrm>
          <a:off x="826770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42" name="TextBox 641">
          <a:extLst>
            <a:ext uri="{FF2B5EF4-FFF2-40B4-BE49-F238E27FC236}">
              <a16:creationId xmlns:a16="http://schemas.microsoft.com/office/drawing/2014/main" id="{00000000-0008-0000-0000-000097000000}"/>
            </a:ext>
          </a:extLst>
        </xdr:cNvPr>
        <xdr:cNvSpPr txBox="1"/>
      </xdr:nvSpPr>
      <xdr:spPr>
        <a:xfrm>
          <a:off x="826770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43" name="TextBox 642">
          <a:extLst>
            <a:ext uri="{FF2B5EF4-FFF2-40B4-BE49-F238E27FC236}">
              <a16:creationId xmlns:a16="http://schemas.microsoft.com/office/drawing/2014/main" id="{00000000-0008-0000-0000-000098000000}"/>
            </a:ext>
          </a:extLst>
        </xdr:cNvPr>
        <xdr:cNvSpPr txBox="1"/>
      </xdr:nvSpPr>
      <xdr:spPr>
        <a:xfrm>
          <a:off x="826770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44" name="TextBox 643">
          <a:extLst>
            <a:ext uri="{FF2B5EF4-FFF2-40B4-BE49-F238E27FC236}">
              <a16:creationId xmlns:a16="http://schemas.microsoft.com/office/drawing/2014/main" id="{00000000-0008-0000-0000-000099000000}"/>
            </a:ext>
          </a:extLst>
        </xdr:cNvPr>
        <xdr:cNvSpPr txBox="1"/>
      </xdr:nvSpPr>
      <xdr:spPr>
        <a:xfrm>
          <a:off x="826770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45" name="TextBox 644">
          <a:extLst>
            <a:ext uri="{FF2B5EF4-FFF2-40B4-BE49-F238E27FC236}">
              <a16:creationId xmlns:a16="http://schemas.microsoft.com/office/drawing/2014/main" id="{00000000-0008-0000-0000-00009A000000}"/>
            </a:ext>
          </a:extLst>
        </xdr:cNvPr>
        <xdr:cNvSpPr txBox="1"/>
      </xdr:nvSpPr>
      <xdr:spPr>
        <a:xfrm>
          <a:off x="826770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46" name="TextBox 645">
          <a:extLst>
            <a:ext uri="{FF2B5EF4-FFF2-40B4-BE49-F238E27FC236}">
              <a16:creationId xmlns:a16="http://schemas.microsoft.com/office/drawing/2014/main" id="{00000000-0008-0000-0000-00009B000000}"/>
            </a:ext>
          </a:extLst>
        </xdr:cNvPr>
        <xdr:cNvSpPr txBox="1"/>
      </xdr:nvSpPr>
      <xdr:spPr>
        <a:xfrm>
          <a:off x="826770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47" name="TextBox 646">
          <a:extLst>
            <a:ext uri="{FF2B5EF4-FFF2-40B4-BE49-F238E27FC236}">
              <a16:creationId xmlns:a16="http://schemas.microsoft.com/office/drawing/2014/main" id="{00000000-0008-0000-0000-00009C000000}"/>
            </a:ext>
          </a:extLst>
        </xdr:cNvPr>
        <xdr:cNvSpPr txBox="1"/>
      </xdr:nvSpPr>
      <xdr:spPr>
        <a:xfrm>
          <a:off x="826770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48" name="TextBox 647">
          <a:extLst>
            <a:ext uri="{FF2B5EF4-FFF2-40B4-BE49-F238E27FC236}">
              <a16:creationId xmlns:a16="http://schemas.microsoft.com/office/drawing/2014/main" id="{00000000-0008-0000-0000-00009D000000}"/>
            </a:ext>
          </a:extLst>
        </xdr:cNvPr>
        <xdr:cNvSpPr txBox="1"/>
      </xdr:nvSpPr>
      <xdr:spPr>
        <a:xfrm>
          <a:off x="826770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49" name="TextBox 648">
          <a:extLst>
            <a:ext uri="{FF2B5EF4-FFF2-40B4-BE49-F238E27FC236}">
              <a16:creationId xmlns:a16="http://schemas.microsoft.com/office/drawing/2014/main" id="{00000000-0008-0000-0000-00009E000000}"/>
            </a:ext>
          </a:extLst>
        </xdr:cNvPr>
        <xdr:cNvSpPr txBox="1"/>
      </xdr:nvSpPr>
      <xdr:spPr>
        <a:xfrm>
          <a:off x="826770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50" name="TextBox 649">
          <a:extLst>
            <a:ext uri="{FF2B5EF4-FFF2-40B4-BE49-F238E27FC236}">
              <a16:creationId xmlns:a16="http://schemas.microsoft.com/office/drawing/2014/main" id="{00000000-0008-0000-0000-00009F000000}"/>
            </a:ext>
          </a:extLst>
        </xdr:cNvPr>
        <xdr:cNvSpPr txBox="1"/>
      </xdr:nvSpPr>
      <xdr:spPr>
        <a:xfrm>
          <a:off x="826770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51" name="TextBox 650">
          <a:extLst>
            <a:ext uri="{FF2B5EF4-FFF2-40B4-BE49-F238E27FC236}">
              <a16:creationId xmlns:a16="http://schemas.microsoft.com/office/drawing/2014/main" id="{00000000-0008-0000-0000-0000A0000000}"/>
            </a:ext>
          </a:extLst>
        </xdr:cNvPr>
        <xdr:cNvSpPr txBox="1"/>
      </xdr:nvSpPr>
      <xdr:spPr>
        <a:xfrm>
          <a:off x="826770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52" name="TextBox 651">
          <a:extLst>
            <a:ext uri="{FF2B5EF4-FFF2-40B4-BE49-F238E27FC236}">
              <a16:creationId xmlns:a16="http://schemas.microsoft.com/office/drawing/2014/main" id="{00000000-0008-0000-0000-0000A1000000}"/>
            </a:ext>
          </a:extLst>
        </xdr:cNvPr>
        <xdr:cNvSpPr txBox="1"/>
      </xdr:nvSpPr>
      <xdr:spPr>
        <a:xfrm>
          <a:off x="826770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53" name="TextBox 652">
          <a:extLst>
            <a:ext uri="{FF2B5EF4-FFF2-40B4-BE49-F238E27FC236}">
              <a16:creationId xmlns:a16="http://schemas.microsoft.com/office/drawing/2014/main" id="{00000000-0008-0000-0000-0000A2000000}"/>
            </a:ext>
          </a:extLst>
        </xdr:cNvPr>
        <xdr:cNvSpPr txBox="1"/>
      </xdr:nvSpPr>
      <xdr:spPr>
        <a:xfrm>
          <a:off x="826770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54" name="TextBox 653">
          <a:extLst>
            <a:ext uri="{FF2B5EF4-FFF2-40B4-BE49-F238E27FC236}">
              <a16:creationId xmlns:a16="http://schemas.microsoft.com/office/drawing/2014/main" id="{00000000-0008-0000-0000-0000A3000000}"/>
            </a:ext>
          </a:extLst>
        </xdr:cNvPr>
        <xdr:cNvSpPr txBox="1"/>
      </xdr:nvSpPr>
      <xdr:spPr>
        <a:xfrm>
          <a:off x="826770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55" name="TextBox 654">
          <a:extLst>
            <a:ext uri="{FF2B5EF4-FFF2-40B4-BE49-F238E27FC236}">
              <a16:creationId xmlns:a16="http://schemas.microsoft.com/office/drawing/2014/main" id="{00000000-0008-0000-0000-0000A4000000}"/>
            </a:ext>
          </a:extLst>
        </xdr:cNvPr>
        <xdr:cNvSpPr txBox="1"/>
      </xdr:nvSpPr>
      <xdr:spPr>
        <a:xfrm>
          <a:off x="826770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56" name="TextBox 655">
          <a:extLst>
            <a:ext uri="{FF2B5EF4-FFF2-40B4-BE49-F238E27FC236}">
              <a16:creationId xmlns:a16="http://schemas.microsoft.com/office/drawing/2014/main" id="{00000000-0008-0000-0000-0000A5000000}"/>
            </a:ext>
          </a:extLst>
        </xdr:cNvPr>
        <xdr:cNvSpPr txBox="1"/>
      </xdr:nvSpPr>
      <xdr:spPr>
        <a:xfrm>
          <a:off x="826770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57" name="TextBox 656">
          <a:extLst>
            <a:ext uri="{FF2B5EF4-FFF2-40B4-BE49-F238E27FC236}">
              <a16:creationId xmlns:a16="http://schemas.microsoft.com/office/drawing/2014/main" id="{00000000-0008-0000-0000-0000A6000000}"/>
            </a:ext>
          </a:extLst>
        </xdr:cNvPr>
        <xdr:cNvSpPr txBox="1"/>
      </xdr:nvSpPr>
      <xdr:spPr>
        <a:xfrm>
          <a:off x="826770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58" name="TextBox 657">
          <a:extLst>
            <a:ext uri="{FF2B5EF4-FFF2-40B4-BE49-F238E27FC236}">
              <a16:creationId xmlns:a16="http://schemas.microsoft.com/office/drawing/2014/main" id="{00000000-0008-0000-0000-0000A7000000}"/>
            </a:ext>
          </a:extLst>
        </xdr:cNvPr>
        <xdr:cNvSpPr txBox="1"/>
      </xdr:nvSpPr>
      <xdr:spPr>
        <a:xfrm>
          <a:off x="826770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59" name="TextBox 658">
          <a:extLst>
            <a:ext uri="{FF2B5EF4-FFF2-40B4-BE49-F238E27FC236}">
              <a16:creationId xmlns:a16="http://schemas.microsoft.com/office/drawing/2014/main" id="{00000000-0008-0000-0000-0000A8000000}"/>
            </a:ext>
          </a:extLst>
        </xdr:cNvPr>
        <xdr:cNvSpPr txBox="1"/>
      </xdr:nvSpPr>
      <xdr:spPr>
        <a:xfrm>
          <a:off x="826770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60" name="TextBox 659">
          <a:extLst>
            <a:ext uri="{FF2B5EF4-FFF2-40B4-BE49-F238E27FC236}">
              <a16:creationId xmlns:a16="http://schemas.microsoft.com/office/drawing/2014/main" id="{00000000-0008-0000-0000-0000A9000000}"/>
            </a:ext>
          </a:extLst>
        </xdr:cNvPr>
        <xdr:cNvSpPr txBox="1"/>
      </xdr:nvSpPr>
      <xdr:spPr>
        <a:xfrm>
          <a:off x="826770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61" name="TextBox 660">
          <a:extLst>
            <a:ext uri="{FF2B5EF4-FFF2-40B4-BE49-F238E27FC236}">
              <a16:creationId xmlns:a16="http://schemas.microsoft.com/office/drawing/2014/main" id="{00000000-0008-0000-0000-0000AA000000}"/>
            </a:ext>
          </a:extLst>
        </xdr:cNvPr>
        <xdr:cNvSpPr txBox="1"/>
      </xdr:nvSpPr>
      <xdr:spPr>
        <a:xfrm>
          <a:off x="826770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62" name="TextBox 661">
          <a:extLst>
            <a:ext uri="{FF2B5EF4-FFF2-40B4-BE49-F238E27FC236}">
              <a16:creationId xmlns:a16="http://schemas.microsoft.com/office/drawing/2014/main" id="{00000000-0008-0000-0000-0000AB000000}"/>
            </a:ext>
          </a:extLst>
        </xdr:cNvPr>
        <xdr:cNvSpPr txBox="1"/>
      </xdr:nvSpPr>
      <xdr:spPr>
        <a:xfrm>
          <a:off x="826770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63" name="TextBox 662">
          <a:extLst>
            <a:ext uri="{FF2B5EF4-FFF2-40B4-BE49-F238E27FC236}">
              <a16:creationId xmlns:a16="http://schemas.microsoft.com/office/drawing/2014/main" id="{00000000-0008-0000-0000-0000AC000000}"/>
            </a:ext>
          </a:extLst>
        </xdr:cNvPr>
        <xdr:cNvSpPr txBox="1"/>
      </xdr:nvSpPr>
      <xdr:spPr>
        <a:xfrm>
          <a:off x="826770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64" name="TextBox 663">
          <a:extLst>
            <a:ext uri="{FF2B5EF4-FFF2-40B4-BE49-F238E27FC236}">
              <a16:creationId xmlns:a16="http://schemas.microsoft.com/office/drawing/2014/main" id="{00000000-0008-0000-0000-0000AD000000}"/>
            </a:ext>
          </a:extLst>
        </xdr:cNvPr>
        <xdr:cNvSpPr txBox="1"/>
      </xdr:nvSpPr>
      <xdr:spPr>
        <a:xfrm>
          <a:off x="826770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65" name="TextBox 664">
          <a:extLst>
            <a:ext uri="{FF2B5EF4-FFF2-40B4-BE49-F238E27FC236}">
              <a16:creationId xmlns:a16="http://schemas.microsoft.com/office/drawing/2014/main" id="{00000000-0008-0000-0000-0000AE000000}"/>
            </a:ext>
          </a:extLst>
        </xdr:cNvPr>
        <xdr:cNvSpPr txBox="1"/>
      </xdr:nvSpPr>
      <xdr:spPr>
        <a:xfrm>
          <a:off x="826770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66" name="TextBox 665">
          <a:extLst>
            <a:ext uri="{FF2B5EF4-FFF2-40B4-BE49-F238E27FC236}">
              <a16:creationId xmlns:a16="http://schemas.microsoft.com/office/drawing/2014/main" id="{00000000-0008-0000-0000-0000AF000000}"/>
            </a:ext>
          </a:extLst>
        </xdr:cNvPr>
        <xdr:cNvSpPr txBox="1"/>
      </xdr:nvSpPr>
      <xdr:spPr>
        <a:xfrm>
          <a:off x="826770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67" name="TextBox 666">
          <a:extLst>
            <a:ext uri="{FF2B5EF4-FFF2-40B4-BE49-F238E27FC236}">
              <a16:creationId xmlns:a16="http://schemas.microsoft.com/office/drawing/2014/main" id="{00000000-0008-0000-0000-0000B0000000}"/>
            </a:ext>
          </a:extLst>
        </xdr:cNvPr>
        <xdr:cNvSpPr txBox="1"/>
      </xdr:nvSpPr>
      <xdr:spPr>
        <a:xfrm>
          <a:off x="1258062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68" name="TextBox 667">
          <a:extLst>
            <a:ext uri="{FF2B5EF4-FFF2-40B4-BE49-F238E27FC236}">
              <a16:creationId xmlns:a16="http://schemas.microsoft.com/office/drawing/2014/main" id="{00000000-0008-0000-0000-0000B1000000}"/>
            </a:ext>
          </a:extLst>
        </xdr:cNvPr>
        <xdr:cNvSpPr txBox="1"/>
      </xdr:nvSpPr>
      <xdr:spPr>
        <a:xfrm>
          <a:off x="1258062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69" name="TextBox 668">
          <a:extLst>
            <a:ext uri="{FF2B5EF4-FFF2-40B4-BE49-F238E27FC236}">
              <a16:creationId xmlns:a16="http://schemas.microsoft.com/office/drawing/2014/main" id="{00000000-0008-0000-0000-0000B2000000}"/>
            </a:ext>
          </a:extLst>
        </xdr:cNvPr>
        <xdr:cNvSpPr txBox="1"/>
      </xdr:nvSpPr>
      <xdr:spPr>
        <a:xfrm>
          <a:off x="1258062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70" name="TextBox 669">
          <a:extLst>
            <a:ext uri="{FF2B5EF4-FFF2-40B4-BE49-F238E27FC236}">
              <a16:creationId xmlns:a16="http://schemas.microsoft.com/office/drawing/2014/main" id="{00000000-0008-0000-0000-0000B3000000}"/>
            </a:ext>
          </a:extLst>
        </xdr:cNvPr>
        <xdr:cNvSpPr txBox="1"/>
      </xdr:nvSpPr>
      <xdr:spPr>
        <a:xfrm>
          <a:off x="1258062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71" name="TextBox 670">
          <a:extLst>
            <a:ext uri="{FF2B5EF4-FFF2-40B4-BE49-F238E27FC236}">
              <a16:creationId xmlns:a16="http://schemas.microsoft.com/office/drawing/2014/main" id="{00000000-0008-0000-0000-0000B4000000}"/>
            </a:ext>
          </a:extLst>
        </xdr:cNvPr>
        <xdr:cNvSpPr txBox="1"/>
      </xdr:nvSpPr>
      <xdr:spPr>
        <a:xfrm>
          <a:off x="1258062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72" name="TextBox 671">
          <a:extLst>
            <a:ext uri="{FF2B5EF4-FFF2-40B4-BE49-F238E27FC236}">
              <a16:creationId xmlns:a16="http://schemas.microsoft.com/office/drawing/2014/main" id="{00000000-0008-0000-0000-0000B5000000}"/>
            </a:ext>
          </a:extLst>
        </xdr:cNvPr>
        <xdr:cNvSpPr txBox="1"/>
      </xdr:nvSpPr>
      <xdr:spPr>
        <a:xfrm>
          <a:off x="1258062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73" name="TextBox 672">
          <a:extLst>
            <a:ext uri="{FF2B5EF4-FFF2-40B4-BE49-F238E27FC236}">
              <a16:creationId xmlns:a16="http://schemas.microsoft.com/office/drawing/2014/main" id="{00000000-0008-0000-0000-0000B6000000}"/>
            </a:ext>
          </a:extLst>
        </xdr:cNvPr>
        <xdr:cNvSpPr txBox="1"/>
      </xdr:nvSpPr>
      <xdr:spPr>
        <a:xfrm>
          <a:off x="1258062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74" name="TextBox 673">
          <a:extLst>
            <a:ext uri="{FF2B5EF4-FFF2-40B4-BE49-F238E27FC236}">
              <a16:creationId xmlns:a16="http://schemas.microsoft.com/office/drawing/2014/main" id="{00000000-0008-0000-0000-0000B7000000}"/>
            </a:ext>
          </a:extLst>
        </xdr:cNvPr>
        <xdr:cNvSpPr txBox="1"/>
      </xdr:nvSpPr>
      <xdr:spPr>
        <a:xfrm>
          <a:off x="1258062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75" name="TextBox 674">
          <a:extLst>
            <a:ext uri="{FF2B5EF4-FFF2-40B4-BE49-F238E27FC236}">
              <a16:creationId xmlns:a16="http://schemas.microsoft.com/office/drawing/2014/main" id="{00000000-0008-0000-0000-0000B8000000}"/>
            </a:ext>
          </a:extLst>
        </xdr:cNvPr>
        <xdr:cNvSpPr txBox="1"/>
      </xdr:nvSpPr>
      <xdr:spPr>
        <a:xfrm>
          <a:off x="826770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76" name="TextBox 675">
          <a:extLst>
            <a:ext uri="{FF2B5EF4-FFF2-40B4-BE49-F238E27FC236}">
              <a16:creationId xmlns:a16="http://schemas.microsoft.com/office/drawing/2014/main" id="{00000000-0008-0000-0000-0000B9000000}"/>
            </a:ext>
          </a:extLst>
        </xdr:cNvPr>
        <xdr:cNvSpPr txBox="1"/>
      </xdr:nvSpPr>
      <xdr:spPr>
        <a:xfrm>
          <a:off x="826770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77" name="TextBox 676">
          <a:extLst>
            <a:ext uri="{FF2B5EF4-FFF2-40B4-BE49-F238E27FC236}">
              <a16:creationId xmlns:a16="http://schemas.microsoft.com/office/drawing/2014/main" id="{00000000-0008-0000-0000-0000BA000000}"/>
            </a:ext>
          </a:extLst>
        </xdr:cNvPr>
        <xdr:cNvSpPr txBox="1"/>
      </xdr:nvSpPr>
      <xdr:spPr>
        <a:xfrm>
          <a:off x="826770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78" name="TextBox 677">
          <a:extLst>
            <a:ext uri="{FF2B5EF4-FFF2-40B4-BE49-F238E27FC236}">
              <a16:creationId xmlns:a16="http://schemas.microsoft.com/office/drawing/2014/main" id="{00000000-0008-0000-0000-0000BB000000}"/>
            </a:ext>
          </a:extLst>
        </xdr:cNvPr>
        <xdr:cNvSpPr txBox="1"/>
      </xdr:nvSpPr>
      <xdr:spPr>
        <a:xfrm>
          <a:off x="826770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79" name="TextBox 678">
          <a:extLst>
            <a:ext uri="{FF2B5EF4-FFF2-40B4-BE49-F238E27FC236}">
              <a16:creationId xmlns:a16="http://schemas.microsoft.com/office/drawing/2014/main" id="{00000000-0008-0000-0000-0000BC000000}"/>
            </a:ext>
          </a:extLst>
        </xdr:cNvPr>
        <xdr:cNvSpPr txBox="1"/>
      </xdr:nvSpPr>
      <xdr:spPr>
        <a:xfrm>
          <a:off x="826770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80" name="TextBox 679">
          <a:extLst>
            <a:ext uri="{FF2B5EF4-FFF2-40B4-BE49-F238E27FC236}">
              <a16:creationId xmlns:a16="http://schemas.microsoft.com/office/drawing/2014/main" id="{00000000-0008-0000-0000-0000BD000000}"/>
            </a:ext>
          </a:extLst>
        </xdr:cNvPr>
        <xdr:cNvSpPr txBox="1"/>
      </xdr:nvSpPr>
      <xdr:spPr>
        <a:xfrm>
          <a:off x="826770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81" name="TextBox 680">
          <a:extLst>
            <a:ext uri="{FF2B5EF4-FFF2-40B4-BE49-F238E27FC236}">
              <a16:creationId xmlns:a16="http://schemas.microsoft.com/office/drawing/2014/main" id="{00000000-0008-0000-0000-0000BE000000}"/>
            </a:ext>
          </a:extLst>
        </xdr:cNvPr>
        <xdr:cNvSpPr txBox="1"/>
      </xdr:nvSpPr>
      <xdr:spPr>
        <a:xfrm>
          <a:off x="826770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82" name="TextBox 681">
          <a:extLst>
            <a:ext uri="{FF2B5EF4-FFF2-40B4-BE49-F238E27FC236}">
              <a16:creationId xmlns:a16="http://schemas.microsoft.com/office/drawing/2014/main" id="{00000000-0008-0000-0000-0000BF000000}"/>
            </a:ext>
          </a:extLst>
        </xdr:cNvPr>
        <xdr:cNvSpPr txBox="1"/>
      </xdr:nvSpPr>
      <xdr:spPr>
        <a:xfrm>
          <a:off x="826770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83" name="TextBox 682">
          <a:extLst>
            <a:ext uri="{FF2B5EF4-FFF2-40B4-BE49-F238E27FC236}">
              <a16:creationId xmlns:a16="http://schemas.microsoft.com/office/drawing/2014/main" id="{00000000-0008-0000-0000-0000C0000000}"/>
            </a:ext>
          </a:extLst>
        </xdr:cNvPr>
        <xdr:cNvSpPr txBox="1"/>
      </xdr:nvSpPr>
      <xdr:spPr>
        <a:xfrm>
          <a:off x="826770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84" name="TextBox 683">
          <a:extLst>
            <a:ext uri="{FF2B5EF4-FFF2-40B4-BE49-F238E27FC236}">
              <a16:creationId xmlns:a16="http://schemas.microsoft.com/office/drawing/2014/main" id="{00000000-0008-0000-0000-0000C1000000}"/>
            </a:ext>
          </a:extLst>
        </xdr:cNvPr>
        <xdr:cNvSpPr txBox="1"/>
      </xdr:nvSpPr>
      <xdr:spPr>
        <a:xfrm>
          <a:off x="826770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85" name="TextBox 684">
          <a:extLst>
            <a:ext uri="{FF2B5EF4-FFF2-40B4-BE49-F238E27FC236}">
              <a16:creationId xmlns:a16="http://schemas.microsoft.com/office/drawing/2014/main" id="{00000000-0008-0000-0000-0000C2000000}"/>
            </a:ext>
          </a:extLst>
        </xdr:cNvPr>
        <xdr:cNvSpPr txBox="1"/>
      </xdr:nvSpPr>
      <xdr:spPr>
        <a:xfrm>
          <a:off x="826770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86" name="TextBox 685">
          <a:extLst>
            <a:ext uri="{FF2B5EF4-FFF2-40B4-BE49-F238E27FC236}">
              <a16:creationId xmlns:a16="http://schemas.microsoft.com/office/drawing/2014/main" id="{00000000-0008-0000-0000-0000C3000000}"/>
            </a:ext>
          </a:extLst>
        </xdr:cNvPr>
        <xdr:cNvSpPr txBox="1"/>
      </xdr:nvSpPr>
      <xdr:spPr>
        <a:xfrm>
          <a:off x="826770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87" name="TextBox 686">
          <a:extLst>
            <a:ext uri="{FF2B5EF4-FFF2-40B4-BE49-F238E27FC236}">
              <a16:creationId xmlns:a16="http://schemas.microsoft.com/office/drawing/2014/main" id="{00000000-0008-0000-0000-0000C4000000}"/>
            </a:ext>
          </a:extLst>
        </xdr:cNvPr>
        <xdr:cNvSpPr txBox="1"/>
      </xdr:nvSpPr>
      <xdr:spPr>
        <a:xfrm>
          <a:off x="826770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88" name="TextBox 687">
          <a:extLst>
            <a:ext uri="{FF2B5EF4-FFF2-40B4-BE49-F238E27FC236}">
              <a16:creationId xmlns:a16="http://schemas.microsoft.com/office/drawing/2014/main" id="{00000000-0008-0000-0000-0000C5000000}"/>
            </a:ext>
          </a:extLst>
        </xdr:cNvPr>
        <xdr:cNvSpPr txBox="1"/>
      </xdr:nvSpPr>
      <xdr:spPr>
        <a:xfrm>
          <a:off x="826770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89" name="TextBox 688">
          <a:extLst>
            <a:ext uri="{FF2B5EF4-FFF2-40B4-BE49-F238E27FC236}">
              <a16:creationId xmlns:a16="http://schemas.microsoft.com/office/drawing/2014/main" id="{00000000-0008-0000-0000-0000C6000000}"/>
            </a:ext>
          </a:extLst>
        </xdr:cNvPr>
        <xdr:cNvSpPr txBox="1"/>
      </xdr:nvSpPr>
      <xdr:spPr>
        <a:xfrm>
          <a:off x="826770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90" name="TextBox 689">
          <a:extLst>
            <a:ext uri="{FF2B5EF4-FFF2-40B4-BE49-F238E27FC236}">
              <a16:creationId xmlns:a16="http://schemas.microsoft.com/office/drawing/2014/main" id="{00000000-0008-0000-0000-0000C7000000}"/>
            </a:ext>
          </a:extLst>
        </xdr:cNvPr>
        <xdr:cNvSpPr txBox="1"/>
      </xdr:nvSpPr>
      <xdr:spPr>
        <a:xfrm>
          <a:off x="826770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91" name="TextBox 690">
          <a:extLst>
            <a:ext uri="{FF2B5EF4-FFF2-40B4-BE49-F238E27FC236}">
              <a16:creationId xmlns:a16="http://schemas.microsoft.com/office/drawing/2014/main" id="{00000000-0008-0000-0000-0000C8000000}"/>
            </a:ext>
          </a:extLst>
        </xdr:cNvPr>
        <xdr:cNvSpPr txBox="1"/>
      </xdr:nvSpPr>
      <xdr:spPr>
        <a:xfrm>
          <a:off x="826770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92" name="TextBox 691">
          <a:extLst>
            <a:ext uri="{FF2B5EF4-FFF2-40B4-BE49-F238E27FC236}">
              <a16:creationId xmlns:a16="http://schemas.microsoft.com/office/drawing/2014/main" id="{00000000-0008-0000-0000-0000C9000000}"/>
            </a:ext>
          </a:extLst>
        </xdr:cNvPr>
        <xdr:cNvSpPr txBox="1"/>
      </xdr:nvSpPr>
      <xdr:spPr>
        <a:xfrm>
          <a:off x="826770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93" name="TextBox 692">
          <a:extLst>
            <a:ext uri="{FF2B5EF4-FFF2-40B4-BE49-F238E27FC236}">
              <a16:creationId xmlns:a16="http://schemas.microsoft.com/office/drawing/2014/main" id="{00000000-0008-0000-0000-0000CA000000}"/>
            </a:ext>
          </a:extLst>
        </xdr:cNvPr>
        <xdr:cNvSpPr txBox="1"/>
      </xdr:nvSpPr>
      <xdr:spPr>
        <a:xfrm>
          <a:off x="826770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94" name="TextBox 693">
          <a:extLst>
            <a:ext uri="{FF2B5EF4-FFF2-40B4-BE49-F238E27FC236}">
              <a16:creationId xmlns:a16="http://schemas.microsoft.com/office/drawing/2014/main" id="{00000000-0008-0000-0000-0000CB000000}"/>
            </a:ext>
          </a:extLst>
        </xdr:cNvPr>
        <xdr:cNvSpPr txBox="1"/>
      </xdr:nvSpPr>
      <xdr:spPr>
        <a:xfrm>
          <a:off x="826770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95" name="TextBox 694">
          <a:extLst>
            <a:ext uri="{FF2B5EF4-FFF2-40B4-BE49-F238E27FC236}">
              <a16:creationId xmlns:a16="http://schemas.microsoft.com/office/drawing/2014/main" id="{00000000-0008-0000-0000-0000CC000000}"/>
            </a:ext>
          </a:extLst>
        </xdr:cNvPr>
        <xdr:cNvSpPr txBox="1"/>
      </xdr:nvSpPr>
      <xdr:spPr>
        <a:xfrm>
          <a:off x="826770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96" name="TextBox 695">
          <a:extLst>
            <a:ext uri="{FF2B5EF4-FFF2-40B4-BE49-F238E27FC236}">
              <a16:creationId xmlns:a16="http://schemas.microsoft.com/office/drawing/2014/main" id="{00000000-0008-0000-0000-0000CD000000}"/>
            </a:ext>
          </a:extLst>
        </xdr:cNvPr>
        <xdr:cNvSpPr txBox="1"/>
      </xdr:nvSpPr>
      <xdr:spPr>
        <a:xfrm>
          <a:off x="826770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97" name="TextBox 696">
          <a:extLst>
            <a:ext uri="{FF2B5EF4-FFF2-40B4-BE49-F238E27FC236}">
              <a16:creationId xmlns:a16="http://schemas.microsoft.com/office/drawing/2014/main" id="{00000000-0008-0000-0000-0000CE000000}"/>
            </a:ext>
          </a:extLst>
        </xdr:cNvPr>
        <xdr:cNvSpPr txBox="1"/>
      </xdr:nvSpPr>
      <xdr:spPr>
        <a:xfrm>
          <a:off x="826770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98" name="TextBox 697">
          <a:extLst>
            <a:ext uri="{FF2B5EF4-FFF2-40B4-BE49-F238E27FC236}">
              <a16:creationId xmlns:a16="http://schemas.microsoft.com/office/drawing/2014/main" id="{00000000-0008-0000-0000-0000CF000000}"/>
            </a:ext>
          </a:extLst>
        </xdr:cNvPr>
        <xdr:cNvSpPr txBox="1"/>
      </xdr:nvSpPr>
      <xdr:spPr>
        <a:xfrm>
          <a:off x="826770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99" name="TextBox 698">
          <a:extLst>
            <a:ext uri="{FF2B5EF4-FFF2-40B4-BE49-F238E27FC236}">
              <a16:creationId xmlns:a16="http://schemas.microsoft.com/office/drawing/2014/main" id="{00000000-0008-0000-0000-0000D0000000}"/>
            </a:ext>
          </a:extLst>
        </xdr:cNvPr>
        <xdr:cNvSpPr txBox="1"/>
      </xdr:nvSpPr>
      <xdr:spPr>
        <a:xfrm>
          <a:off x="826770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700" name="TextBox 699">
          <a:extLst>
            <a:ext uri="{FF2B5EF4-FFF2-40B4-BE49-F238E27FC236}">
              <a16:creationId xmlns:a16="http://schemas.microsoft.com/office/drawing/2014/main" id="{00000000-0008-0000-0000-0000D1000000}"/>
            </a:ext>
          </a:extLst>
        </xdr:cNvPr>
        <xdr:cNvSpPr txBox="1"/>
      </xdr:nvSpPr>
      <xdr:spPr>
        <a:xfrm>
          <a:off x="826770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701" name="TextBox 700">
          <a:extLst>
            <a:ext uri="{FF2B5EF4-FFF2-40B4-BE49-F238E27FC236}">
              <a16:creationId xmlns:a16="http://schemas.microsoft.com/office/drawing/2014/main" id="{00000000-0008-0000-0000-0000D2000000}"/>
            </a:ext>
          </a:extLst>
        </xdr:cNvPr>
        <xdr:cNvSpPr txBox="1"/>
      </xdr:nvSpPr>
      <xdr:spPr>
        <a:xfrm>
          <a:off x="826770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702" name="TextBox 701">
          <a:extLst>
            <a:ext uri="{FF2B5EF4-FFF2-40B4-BE49-F238E27FC236}">
              <a16:creationId xmlns:a16="http://schemas.microsoft.com/office/drawing/2014/main" id="{00000000-0008-0000-0000-0000D3000000}"/>
            </a:ext>
          </a:extLst>
        </xdr:cNvPr>
        <xdr:cNvSpPr txBox="1"/>
      </xdr:nvSpPr>
      <xdr:spPr>
        <a:xfrm>
          <a:off x="826770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703" name="TextBox 702">
          <a:extLst>
            <a:ext uri="{FF2B5EF4-FFF2-40B4-BE49-F238E27FC236}">
              <a16:creationId xmlns:a16="http://schemas.microsoft.com/office/drawing/2014/main" id="{00000000-0008-0000-0000-0000D4000000}"/>
            </a:ext>
          </a:extLst>
        </xdr:cNvPr>
        <xdr:cNvSpPr txBox="1"/>
      </xdr:nvSpPr>
      <xdr:spPr>
        <a:xfrm>
          <a:off x="826770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704" name="TextBox 703">
          <a:extLst>
            <a:ext uri="{FF2B5EF4-FFF2-40B4-BE49-F238E27FC236}">
              <a16:creationId xmlns:a16="http://schemas.microsoft.com/office/drawing/2014/main" id="{00000000-0008-0000-0000-0000D5000000}"/>
            </a:ext>
          </a:extLst>
        </xdr:cNvPr>
        <xdr:cNvSpPr txBox="1"/>
      </xdr:nvSpPr>
      <xdr:spPr>
        <a:xfrm>
          <a:off x="826770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705" name="TextBox 704">
          <a:extLst>
            <a:ext uri="{FF2B5EF4-FFF2-40B4-BE49-F238E27FC236}">
              <a16:creationId xmlns:a16="http://schemas.microsoft.com/office/drawing/2014/main" id="{00000000-0008-0000-0000-0000D6000000}"/>
            </a:ext>
          </a:extLst>
        </xdr:cNvPr>
        <xdr:cNvSpPr txBox="1"/>
      </xdr:nvSpPr>
      <xdr:spPr>
        <a:xfrm>
          <a:off x="826770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706" name="TextBox 705">
          <a:extLst>
            <a:ext uri="{FF2B5EF4-FFF2-40B4-BE49-F238E27FC236}">
              <a16:creationId xmlns:a16="http://schemas.microsoft.com/office/drawing/2014/main" id="{00000000-0008-0000-0000-0000D7000000}"/>
            </a:ext>
          </a:extLst>
        </xdr:cNvPr>
        <xdr:cNvSpPr txBox="1"/>
      </xdr:nvSpPr>
      <xdr:spPr>
        <a:xfrm>
          <a:off x="826770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707" name="TextBox 706">
          <a:extLst>
            <a:ext uri="{FF2B5EF4-FFF2-40B4-BE49-F238E27FC236}">
              <a16:creationId xmlns:a16="http://schemas.microsoft.com/office/drawing/2014/main" id="{00000000-0008-0000-0000-0000D8000000}"/>
            </a:ext>
          </a:extLst>
        </xdr:cNvPr>
        <xdr:cNvSpPr txBox="1"/>
      </xdr:nvSpPr>
      <xdr:spPr>
        <a:xfrm>
          <a:off x="826770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708" name="TextBox 707">
          <a:extLst>
            <a:ext uri="{FF2B5EF4-FFF2-40B4-BE49-F238E27FC236}">
              <a16:creationId xmlns:a16="http://schemas.microsoft.com/office/drawing/2014/main" id="{00000000-0008-0000-0000-0000D9000000}"/>
            </a:ext>
          </a:extLst>
        </xdr:cNvPr>
        <xdr:cNvSpPr txBox="1"/>
      </xdr:nvSpPr>
      <xdr:spPr>
        <a:xfrm>
          <a:off x="826770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709" name="TextBox 708">
          <a:extLst>
            <a:ext uri="{FF2B5EF4-FFF2-40B4-BE49-F238E27FC236}">
              <a16:creationId xmlns:a16="http://schemas.microsoft.com/office/drawing/2014/main" id="{00000000-0008-0000-0000-0000DA000000}"/>
            </a:ext>
          </a:extLst>
        </xdr:cNvPr>
        <xdr:cNvSpPr txBox="1"/>
      </xdr:nvSpPr>
      <xdr:spPr>
        <a:xfrm>
          <a:off x="826770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710" name="TextBox 709">
          <a:extLst>
            <a:ext uri="{FF2B5EF4-FFF2-40B4-BE49-F238E27FC236}">
              <a16:creationId xmlns:a16="http://schemas.microsoft.com/office/drawing/2014/main" id="{00000000-0008-0000-0000-0000DB000000}"/>
            </a:ext>
          </a:extLst>
        </xdr:cNvPr>
        <xdr:cNvSpPr txBox="1"/>
      </xdr:nvSpPr>
      <xdr:spPr>
        <a:xfrm>
          <a:off x="826770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711" name="TextBox 710">
          <a:extLst>
            <a:ext uri="{FF2B5EF4-FFF2-40B4-BE49-F238E27FC236}">
              <a16:creationId xmlns:a16="http://schemas.microsoft.com/office/drawing/2014/main" id="{00000000-0008-0000-0000-0000DC000000}"/>
            </a:ext>
          </a:extLst>
        </xdr:cNvPr>
        <xdr:cNvSpPr txBox="1"/>
      </xdr:nvSpPr>
      <xdr:spPr>
        <a:xfrm>
          <a:off x="826770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712" name="TextBox 711">
          <a:extLst>
            <a:ext uri="{FF2B5EF4-FFF2-40B4-BE49-F238E27FC236}">
              <a16:creationId xmlns:a16="http://schemas.microsoft.com/office/drawing/2014/main" id="{00000000-0008-0000-0000-0000DD000000}"/>
            </a:ext>
          </a:extLst>
        </xdr:cNvPr>
        <xdr:cNvSpPr txBox="1"/>
      </xdr:nvSpPr>
      <xdr:spPr>
        <a:xfrm>
          <a:off x="826770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713" name="TextBox 712">
          <a:extLst>
            <a:ext uri="{FF2B5EF4-FFF2-40B4-BE49-F238E27FC236}">
              <a16:creationId xmlns:a16="http://schemas.microsoft.com/office/drawing/2014/main" id="{00000000-0008-0000-0000-0000DE000000}"/>
            </a:ext>
          </a:extLst>
        </xdr:cNvPr>
        <xdr:cNvSpPr txBox="1"/>
      </xdr:nvSpPr>
      <xdr:spPr>
        <a:xfrm>
          <a:off x="826770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714" name="TextBox 713">
          <a:extLst>
            <a:ext uri="{FF2B5EF4-FFF2-40B4-BE49-F238E27FC236}">
              <a16:creationId xmlns:a16="http://schemas.microsoft.com/office/drawing/2014/main" id="{00000000-0008-0000-0000-0000DF000000}"/>
            </a:ext>
          </a:extLst>
        </xdr:cNvPr>
        <xdr:cNvSpPr txBox="1"/>
      </xdr:nvSpPr>
      <xdr:spPr>
        <a:xfrm>
          <a:off x="826770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715" name="TextBox 714">
          <a:extLst>
            <a:ext uri="{FF2B5EF4-FFF2-40B4-BE49-F238E27FC236}">
              <a16:creationId xmlns:a16="http://schemas.microsoft.com/office/drawing/2014/main" id="{00000000-0008-0000-0000-0000E0000000}"/>
            </a:ext>
          </a:extLst>
        </xdr:cNvPr>
        <xdr:cNvSpPr txBox="1"/>
      </xdr:nvSpPr>
      <xdr:spPr>
        <a:xfrm>
          <a:off x="826770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716" name="TextBox 715">
          <a:extLst>
            <a:ext uri="{FF2B5EF4-FFF2-40B4-BE49-F238E27FC236}">
              <a16:creationId xmlns:a16="http://schemas.microsoft.com/office/drawing/2014/main" id="{00000000-0008-0000-0000-0000E1000000}"/>
            </a:ext>
          </a:extLst>
        </xdr:cNvPr>
        <xdr:cNvSpPr txBox="1"/>
      </xdr:nvSpPr>
      <xdr:spPr>
        <a:xfrm>
          <a:off x="826770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717" name="TextBox 716">
          <a:extLst>
            <a:ext uri="{FF2B5EF4-FFF2-40B4-BE49-F238E27FC236}">
              <a16:creationId xmlns:a16="http://schemas.microsoft.com/office/drawing/2014/main" id="{00000000-0008-0000-0000-0000E2000000}"/>
            </a:ext>
          </a:extLst>
        </xdr:cNvPr>
        <xdr:cNvSpPr txBox="1"/>
      </xdr:nvSpPr>
      <xdr:spPr>
        <a:xfrm>
          <a:off x="826770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718" name="TextBox 717">
          <a:extLst>
            <a:ext uri="{FF2B5EF4-FFF2-40B4-BE49-F238E27FC236}">
              <a16:creationId xmlns:a16="http://schemas.microsoft.com/office/drawing/2014/main" id="{00000000-0008-0000-0000-0000E3000000}"/>
            </a:ext>
          </a:extLst>
        </xdr:cNvPr>
        <xdr:cNvSpPr txBox="1"/>
      </xdr:nvSpPr>
      <xdr:spPr>
        <a:xfrm>
          <a:off x="826770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719" name="TextBox 718">
          <a:extLst>
            <a:ext uri="{FF2B5EF4-FFF2-40B4-BE49-F238E27FC236}">
              <a16:creationId xmlns:a16="http://schemas.microsoft.com/office/drawing/2014/main" id="{00000000-0008-0000-0000-0000E4000000}"/>
            </a:ext>
          </a:extLst>
        </xdr:cNvPr>
        <xdr:cNvSpPr txBox="1"/>
      </xdr:nvSpPr>
      <xdr:spPr>
        <a:xfrm>
          <a:off x="826770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720" name="TextBox 719">
          <a:extLst>
            <a:ext uri="{FF2B5EF4-FFF2-40B4-BE49-F238E27FC236}">
              <a16:creationId xmlns:a16="http://schemas.microsoft.com/office/drawing/2014/main" id="{00000000-0008-0000-0000-0000E5000000}"/>
            </a:ext>
          </a:extLst>
        </xdr:cNvPr>
        <xdr:cNvSpPr txBox="1"/>
      </xdr:nvSpPr>
      <xdr:spPr>
        <a:xfrm>
          <a:off x="826770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721" name="TextBox 720">
          <a:extLst>
            <a:ext uri="{FF2B5EF4-FFF2-40B4-BE49-F238E27FC236}">
              <a16:creationId xmlns:a16="http://schemas.microsoft.com/office/drawing/2014/main" id="{00000000-0008-0000-0000-0000E6000000}"/>
            </a:ext>
          </a:extLst>
        </xdr:cNvPr>
        <xdr:cNvSpPr txBox="1"/>
      </xdr:nvSpPr>
      <xdr:spPr>
        <a:xfrm>
          <a:off x="826770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722" name="TextBox 721">
          <a:extLst>
            <a:ext uri="{FF2B5EF4-FFF2-40B4-BE49-F238E27FC236}">
              <a16:creationId xmlns:a16="http://schemas.microsoft.com/office/drawing/2014/main" id="{00000000-0008-0000-0000-0000E7000000}"/>
            </a:ext>
          </a:extLst>
        </xdr:cNvPr>
        <xdr:cNvSpPr txBox="1"/>
      </xdr:nvSpPr>
      <xdr:spPr>
        <a:xfrm>
          <a:off x="826770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723" name="TextBox 722">
          <a:extLst>
            <a:ext uri="{FF2B5EF4-FFF2-40B4-BE49-F238E27FC236}">
              <a16:creationId xmlns:a16="http://schemas.microsoft.com/office/drawing/2014/main" id="{00000000-0008-0000-0000-0000E8000000}"/>
            </a:ext>
          </a:extLst>
        </xdr:cNvPr>
        <xdr:cNvSpPr txBox="1"/>
      </xdr:nvSpPr>
      <xdr:spPr>
        <a:xfrm>
          <a:off x="1258062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724" name="TextBox 723">
          <a:extLst>
            <a:ext uri="{FF2B5EF4-FFF2-40B4-BE49-F238E27FC236}">
              <a16:creationId xmlns:a16="http://schemas.microsoft.com/office/drawing/2014/main" id="{00000000-0008-0000-0000-0000E9000000}"/>
            </a:ext>
          </a:extLst>
        </xdr:cNvPr>
        <xdr:cNvSpPr txBox="1"/>
      </xdr:nvSpPr>
      <xdr:spPr>
        <a:xfrm>
          <a:off x="1258062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725" name="TextBox 724">
          <a:extLst>
            <a:ext uri="{FF2B5EF4-FFF2-40B4-BE49-F238E27FC236}">
              <a16:creationId xmlns:a16="http://schemas.microsoft.com/office/drawing/2014/main" id="{00000000-0008-0000-0000-0000EA000000}"/>
            </a:ext>
          </a:extLst>
        </xdr:cNvPr>
        <xdr:cNvSpPr txBox="1"/>
      </xdr:nvSpPr>
      <xdr:spPr>
        <a:xfrm>
          <a:off x="1258062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726" name="TextBox 725">
          <a:extLst>
            <a:ext uri="{FF2B5EF4-FFF2-40B4-BE49-F238E27FC236}">
              <a16:creationId xmlns:a16="http://schemas.microsoft.com/office/drawing/2014/main" id="{00000000-0008-0000-0000-0000EB000000}"/>
            </a:ext>
          </a:extLst>
        </xdr:cNvPr>
        <xdr:cNvSpPr txBox="1"/>
      </xdr:nvSpPr>
      <xdr:spPr>
        <a:xfrm>
          <a:off x="1258062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727" name="TextBox 726">
          <a:extLst>
            <a:ext uri="{FF2B5EF4-FFF2-40B4-BE49-F238E27FC236}">
              <a16:creationId xmlns:a16="http://schemas.microsoft.com/office/drawing/2014/main" id="{00000000-0008-0000-0000-0000EC000000}"/>
            </a:ext>
          </a:extLst>
        </xdr:cNvPr>
        <xdr:cNvSpPr txBox="1"/>
      </xdr:nvSpPr>
      <xdr:spPr>
        <a:xfrm>
          <a:off x="1258062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728" name="TextBox 727">
          <a:extLst>
            <a:ext uri="{FF2B5EF4-FFF2-40B4-BE49-F238E27FC236}">
              <a16:creationId xmlns:a16="http://schemas.microsoft.com/office/drawing/2014/main" id="{00000000-0008-0000-0000-0000ED000000}"/>
            </a:ext>
          </a:extLst>
        </xdr:cNvPr>
        <xdr:cNvSpPr txBox="1"/>
      </xdr:nvSpPr>
      <xdr:spPr>
        <a:xfrm>
          <a:off x="1258062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729" name="TextBox 728">
          <a:extLst>
            <a:ext uri="{FF2B5EF4-FFF2-40B4-BE49-F238E27FC236}">
              <a16:creationId xmlns:a16="http://schemas.microsoft.com/office/drawing/2014/main" id="{00000000-0008-0000-0000-0000EE000000}"/>
            </a:ext>
          </a:extLst>
        </xdr:cNvPr>
        <xdr:cNvSpPr txBox="1"/>
      </xdr:nvSpPr>
      <xdr:spPr>
        <a:xfrm>
          <a:off x="1258062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730" name="TextBox 729">
          <a:extLst>
            <a:ext uri="{FF2B5EF4-FFF2-40B4-BE49-F238E27FC236}">
              <a16:creationId xmlns:a16="http://schemas.microsoft.com/office/drawing/2014/main" id="{00000000-0008-0000-0000-0000EF000000}"/>
            </a:ext>
          </a:extLst>
        </xdr:cNvPr>
        <xdr:cNvSpPr txBox="1"/>
      </xdr:nvSpPr>
      <xdr:spPr>
        <a:xfrm>
          <a:off x="1258062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31" name="TextBox 730">
          <a:extLst>
            <a:ext uri="{FF2B5EF4-FFF2-40B4-BE49-F238E27FC236}">
              <a16:creationId xmlns:a16="http://schemas.microsoft.com/office/drawing/2014/main" id="{00000000-0008-0000-0000-0000F0000000}"/>
            </a:ext>
          </a:extLst>
        </xdr:cNvPr>
        <xdr:cNvSpPr txBox="1"/>
      </xdr:nvSpPr>
      <xdr:spPr>
        <a:xfrm>
          <a:off x="826770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32" name="TextBox 731">
          <a:extLst>
            <a:ext uri="{FF2B5EF4-FFF2-40B4-BE49-F238E27FC236}">
              <a16:creationId xmlns:a16="http://schemas.microsoft.com/office/drawing/2014/main" id="{00000000-0008-0000-0000-0000F1000000}"/>
            </a:ext>
          </a:extLst>
        </xdr:cNvPr>
        <xdr:cNvSpPr txBox="1"/>
      </xdr:nvSpPr>
      <xdr:spPr>
        <a:xfrm>
          <a:off x="826770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33" name="TextBox 732">
          <a:extLst>
            <a:ext uri="{FF2B5EF4-FFF2-40B4-BE49-F238E27FC236}">
              <a16:creationId xmlns:a16="http://schemas.microsoft.com/office/drawing/2014/main" id="{00000000-0008-0000-0000-0000F2000000}"/>
            </a:ext>
          </a:extLst>
        </xdr:cNvPr>
        <xdr:cNvSpPr txBox="1"/>
      </xdr:nvSpPr>
      <xdr:spPr>
        <a:xfrm>
          <a:off x="826770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34" name="TextBox 733">
          <a:extLst>
            <a:ext uri="{FF2B5EF4-FFF2-40B4-BE49-F238E27FC236}">
              <a16:creationId xmlns:a16="http://schemas.microsoft.com/office/drawing/2014/main" id="{00000000-0008-0000-0000-0000F3000000}"/>
            </a:ext>
          </a:extLst>
        </xdr:cNvPr>
        <xdr:cNvSpPr txBox="1"/>
      </xdr:nvSpPr>
      <xdr:spPr>
        <a:xfrm>
          <a:off x="826770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35" name="TextBox 734">
          <a:extLst>
            <a:ext uri="{FF2B5EF4-FFF2-40B4-BE49-F238E27FC236}">
              <a16:creationId xmlns:a16="http://schemas.microsoft.com/office/drawing/2014/main" id="{00000000-0008-0000-0000-0000F4000000}"/>
            </a:ext>
          </a:extLst>
        </xdr:cNvPr>
        <xdr:cNvSpPr txBox="1"/>
      </xdr:nvSpPr>
      <xdr:spPr>
        <a:xfrm>
          <a:off x="826770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36" name="TextBox 735">
          <a:extLst>
            <a:ext uri="{FF2B5EF4-FFF2-40B4-BE49-F238E27FC236}">
              <a16:creationId xmlns:a16="http://schemas.microsoft.com/office/drawing/2014/main" id="{00000000-0008-0000-0000-0000F5000000}"/>
            </a:ext>
          </a:extLst>
        </xdr:cNvPr>
        <xdr:cNvSpPr txBox="1"/>
      </xdr:nvSpPr>
      <xdr:spPr>
        <a:xfrm>
          <a:off x="826770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37" name="TextBox 736">
          <a:extLst>
            <a:ext uri="{FF2B5EF4-FFF2-40B4-BE49-F238E27FC236}">
              <a16:creationId xmlns:a16="http://schemas.microsoft.com/office/drawing/2014/main" id="{00000000-0008-0000-0000-0000F6000000}"/>
            </a:ext>
          </a:extLst>
        </xdr:cNvPr>
        <xdr:cNvSpPr txBox="1"/>
      </xdr:nvSpPr>
      <xdr:spPr>
        <a:xfrm>
          <a:off x="826770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38" name="TextBox 737">
          <a:extLst>
            <a:ext uri="{FF2B5EF4-FFF2-40B4-BE49-F238E27FC236}">
              <a16:creationId xmlns:a16="http://schemas.microsoft.com/office/drawing/2014/main" id="{00000000-0008-0000-0000-0000F7000000}"/>
            </a:ext>
          </a:extLst>
        </xdr:cNvPr>
        <xdr:cNvSpPr txBox="1"/>
      </xdr:nvSpPr>
      <xdr:spPr>
        <a:xfrm>
          <a:off x="826770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39" name="TextBox 738">
          <a:extLst>
            <a:ext uri="{FF2B5EF4-FFF2-40B4-BE49-F238E27FC236}">
              <a16:creationId xmlns:a16="http://schemas.microsoft.com/office/drawing/2014/main" id="{00000000-0008-0000-0000-0000F8000000}"/>
            </a:ext>
          </a:extLst>
        </xdr:cNvPr>
        <xdr:cNvSpPr txBox="1"/>
      </xdr:nvSpPr>
      <xdr:spPr>
        <a:xfrm>
          <a:off x="826770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40" name="TextBox 739">
          <a:extLst>
            <a:ext uri="{FF2B5EF4-FFF2-40B4-BE49-F238E27FC236}">
              <a16:creationId xmlns:a16="http://schemas.microsoft.com/office/drawing/2014/main" id="{00000000-0008-0000-0000-0000F9000000}"/>
            </a:ext>
          </a:extLst>
        </xdr:cNvPr>
        <xdr:cNvSpPr txBox="1"/>
      </xdr:nvSpPr>
      <xdr:spPr>
        <a:xfrm>
          <a:off x="826770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41" name="TextBox 740">
          <a:extLst>
            <a:ext uri="{FF2B5EF4-FFF2-40B4-BE49-F238E27FC236}">
              <a16:creationId xmlns:a16="http://schemas.microsoft.com/office/drawing/2014/main" id="{00000000-0008-0000-0000-0000FA000000}"/>
            </a:ext>
          </a:extLst>
        </xdr:cNvPr>
        <xdr:cNvSpPr txBox="1"/>
      </xdr:nvSpPr>
      <xdr:spPr>
        <a:xfrm>
          <a:off x="826770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42" name="TextBox 741">
          <a:extLst>
            <a:ext uri="{FF2B5EF4-FFF2-40B4-BE49-F238E27FC236}">
              <a16:creationId xmlns:a16="http://schemas.microsoft.com/office/drawing/2014/main" id="{00000000-0008-0000-0000-0000FB000000}"/>
            </a:ext>
          </a:extLst>
        </xdr:cNvPr>
        <xdr:cNvSpPr txBox="1"/>
      </xdr:nvSpPr>
      <xdr:spPr>
        <a:xfrm>
          <a:off x="826770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43" name="TextBox 742">
          <a:extLst>
            <a:ext uri="{FF2B5EF4-FFF2-40B4-BE49-F238E27FC236}">
              <a16:creationId xmlns:a16="http://schemas.microsoft.com/office/drawing/2014/main" id="{00000000-0008-0000-0000-0000FC000000}"/>
            </a:ext>
          </a:extLst>
        </xdr:cNvPr>
        <xdr:cNvSpPr txBox="1"/>
      </xdr:nvSpPr>
      <xdr:spPr>
        <a:xfrm>
          <a:off x="826770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44" name="TextBox 743">
          <a:extLst>
            <a:ext uri="{FF2B5EF4-FFF2-40B4-BE49-F238E27FC236}">
              <a16:creationId xmlns:a16="http://schemas.microsoft.com/office/drawing/2014/main" id="{00000000-0008-0000-0000-0000FD000000}"/>
            </a:ext>
          </a:extLst>
        </xdr:cNvPr>
        <xdr:cNvSpPr txBox="1"/>
      </xdr:nvSpPr>
      <xdr:spPr>
        <a:xfrm>
          <a:off x="826770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45" name="TextBox 744">
          <a:extLst>
            <a:ext uri="{FF2B5EF4-FFF2-40B4-BE49-F238E27FC236}">
              <a16:creationId xmlns:a16="http://schemas.microsoft.com/office/drawing/2014/main" id="{00000000-0008-0000-0000-0000FE000000}"/>
            </a:ext>
          </a:extLst>
        </xdr:cNvPr>
        <xdr:cNvSpPr txBox="1"/>
      </xdr:nvSpPr>
      <xdr:spPr>
        <a:xfrm>
          <a:off x="826770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46" name="TextBox 745">
          <a:extLst>
            <a:ext uri="{FF2B5EF4-FFF2-40B4-BE49-F238E27FC236}">
              <a16:creationId xmlns:a16="http://schemas.microsoft.com/office/drawing/2014/main" id="{00000000-0008-0000-0000-0000FF000000}"/>
            </a:ext>
          </a:extLst>
        </xdr:cNvPr>
        <xdr:cNvSpPr txBox="1"/>
      </xdr:nvSpPr>
      <xdr:spPr>
        <a:xfrm>
          <a:off x="826770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47" name="TextBox 746">
          <a:extLst>
            <a:ext uri="{FF2B5EF4-FFF2-40B4-BE49-F238E27FC236}">
              <a16:creationId xmlns:a16="http://schemas.microsoft.com/office/drawing/2014/main" id="{00000000-0008-0000-0000-000000010000}"/>
            </a:ext>
          </a:extLst>
        </xdr:cNvPr>
        <xdr:cNvSpPr txBox="1"/>
      </xdr:nvSpPr>
      <xdr:spPr>
        <a:xfrm>
          <a:off x="826770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48" name="TextBox 747">
          <a:extLst>
            <a:ext uri="{FF2B5EF4-FFF2-40B4-BE49-F238E27FC236}">
              <a16:creationId xmlns:a16="http://schemas.microsoft.com/office/drawing/2014/main" id="{00000000-0008-0000-0000-000001010000}"/>
            </a:ext>
          </a:extLst>
        </xdr:cNvPr>
        <xdr:cNvSpPr txBox="1"/>
      </xdr:nvSpPr>
      <xdr:spPr>
        <a:xfrm>
          <a:off x="826770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49" name="TextBox 748">
          <a:extLst>
            <a:ext uri="{FF2B5EF4-FFF2-40B4-BE49-F238E27FC236}">
              <a16:creationId xmlns:a16="http://schemas.microsoft.com/office/drawing/2014/main" id="{00000000-0008-0000-0000-000002010000}"/>
            </a:ext>
          </a:extLst>
        </xdr:cNvPr>
        <xdr:cNvSpPr txBox="1"/>
      </xdr:nvSpPr>
      <xdr:spPr>
        <a:xfrm>
          <a:off x="826770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50" name="TextBox 749">
          <a:extLst>
            <a:ext uri="{FF2B5EF4-FFF2-40B4-BE49-F238E27FC236}">
              <a16:creationId xmlns:a16="http://schemas.microsoft.com/office/drawing/2014/main" id="{00000000-0008-0000-0000-000003010000}"/>
            </a:ext>
          </a:extLst>
        </xdr:cNvPr>
        <xdr:cNvSpPr txBox="1"/>
      </xdr:nvSpPr>
      <xdr:spPr>
        <a:xfrm>
          <a:off x="826770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51" name="TextBox 750">
          <a:extLst>
            <a:ext uri="{FF2B5EF4-FFF2-40B4-BE49-F238E27FC236}">
              <a16:creationId xmlns:a16="http://schemas.microsoft.com/office/drawing/2014/main" id="{00000000-0008-0000-0000-000004010000}"/>
            </a:ext>
          </a:extLst>
        </xdr:cNvPr>
        <xdr:cNvSpPr txBox="1"/>
      </xdr:nvSpPr>
      <xdr:spPr>
        <a:xfrm>
          <a:off x="826770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52" name="TextBox 751">
          <a:extLst>
            <a:ext uri="{FF2B5EF4-FFF2-40B4-BE49-F238E27FC236}">
              <a16:creationId xmlns:a16="http://schemas.microsoft.com/office/drawing/2014/main" id="{00000000-0008-0000-0000-000005010000}"/>
            </a:ext>
          </a:extLst>
        </xdr:cNvPr>
        <xdr:cNvSpPr txBox="1"/>
      </xdr:nvSpPr>
      <xdr:spPr>
        <a:xfrm>
          <a:off x="826770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53" name="TextBox 752">
          <a:extLst>
            <a:ext uri="{FF2B5EF4-FFF2-40B4-BE49-F238E27FC236}">
              <a16:creationId xmlns:a16="http://schemas.microsoft.com/office/drawing/2014/main" id="{00000000-0008-0000-0000-000006010000}"/>
            </a:ext>
          </a:extLst>
        </xdr:cNvPr>
        <xdr:cNvSpPr txBox="1"/>
      </xdr:nvSpPr>
      <xdr:spPr>
        <a:xfrm>
          <a:off x="826770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54" name="TextBox 753">
          <a:extLst>
            <a:ext uri="{FF2B5EF4-FFF2-40B4-BE49-F238E27FC236}">
              <a16:creationId xmlns:a16="http://schemas.microsoft.com/office/drawing/2014/main" id="{00000000-0008-0000-0000-000007010000}"/>
            </a:ext>
          </a:extLst>
        </xdr:cNvPr>
        <xdr:cNvSpPr txBox="1"/>
      </xdr:nvSpPr>
      <xdr:spPr>
        <a:xfrm>
          <a:off x="826770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55" name="TextBox 754">
          <a:extLst>
            <a:ext uri="{FF2B5EF4-FFF2-40B4-BE49-F238E27FC236}">
              <a16:creationId xmlns:a16="http://schemas.microsoft.com/office/drawing/2014/main" id="{00000000-0008-0000-0000-000008010000}"/>
            </a:ext>
          </a:extLst>
        </xdr:cNvPr>
        <xdr:cNvSpPr txBox="1"/>
      </xdr:nvSpPr>
      <xdr:spPr>
        <a:xfrm>
          <a:off x="826770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56" name="TextBox 755">
          <a:extLst>
            <a:ext uri="{FF2B5EF4-FFF2-40B4-BE49-F238E27FC236}">
              <a16:creationId xmlns:a16="http://schemas.microsoft.com/office/drawing/2014/main" id="{00000000-0008-0000-0000-000009010000}"/>
            </a:ext>
          </a:extLst>
        </xdr:cNvPr>
        <xdr:cNvSpPr txBox="1"/>
      </xdr:nvSpPr>
      <xdr:spPr>
        <a:xfrm>
          <a:off x="826770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57" name="TextBox 756">
          <a:extLst>
            <a:ext uri="{FF2B5EF4-FFF2-40B4-BE49-F238E27FC236}">
              <a16:creationId xmlns:a16="http://schemas.microsoft.com/office/drawing/2014/main" id="{00000000-0008-0000-0000-00000A010000}"/>
            </a:ext>
          </a:extLst>
        </xdr:cNvPr>
        <xdr:cNvSpPr txBox="1"/>
      </xdr:nvSpPr>
      <xdr:spPr>
        <a:xfrm>
          <a:off x="826770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58" name="TextBox 757">
          <a:extLst>
            <a:ext uri="{FF2B5EF4-FFF2-40B4-BE49-F238E27FC236}">
              <a16:creationId xmlns:a16="http://schemas.microsoft.com/office/drawing/2014/main" id="{00000000-0008-0000-0000-00000B010000}"/>
            </a:ext>
          </a:extLst>
        </xdr:cNvPr>
        <xdr:cNvSpPr txBox="1"/>
      </xdr:nvSpPr>
      <xdr:spPr>
        <a:xfrm>
          <a:off x="826770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59" name="TextBox 758">
          <a:extLst>
            <a:ext uri="{FF2B5EF4-FFF2-40B4-BE49-F238E27FC236}">
              <a16:creationId xmlns:a16="http://schemas.microsoft.com/office/drawing/2014/main" id="{00000000-0008-0000-0000-00000C010000}"/>
            </a:ext>
          </a:extLst>
        </xdr:cNvPr>
        <xdr:cNvSpPr txBox="1"/>
      </xdr:nvSpPr>
      <xdr:spPr>
        <a:xfrm>
          <a:off x="826770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60" name="TextBox 759">
          <a:extLst>
            <a:ext uri="{FF2B5EF4-FFF2-40B4-BE49-F238E27FC236}">
              <a16:creationId xmlns:a16="http://schemas.microsoft.com/office/drawing/2014/main" id="{00000000-0008-0000-0000-00000D010000}"/>
            </a:ext>
          </a:extLst>
        </xdr:cNvPr>
        <xdr:cNvSpPr txBox="1"/>
      </xdr:nvSpPr>
      <xdr:spPr>
        <a:xfrm>
          <a:off x="826770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61" name="TextBox 760">
          <a:extLst>
            <a:ext uri="{FF2B5EF4-FFF2-40B4-BE49-F238E27FC236}">
              <a16:creationId xmlns:a16="http://schemas.microsoft.com/office/drawing/2014/main" id="{00000000-0008-0000-0000-00000E010000}"/>
            </a:ext>
          </a:extLst>
        </xdr:cNvPr>
        <xdr:cNvSpPr txBox="1"/>
      </xdr:nvSpPr>
      <xdr:spPr>
        <a:xfrm>
          <a:off x="826770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62" name="TextBox 761">
          <a:extLst>
            <a:ext uri="{FF2B5EF4-FFF2-40B4-BE49-F238E27FC236}">
              <a16:creationId xmlns:a16="http://schemas.microsoft.com/office/drawing/2014/main" id="{00000000-0008-0000-0000-00000F010000}"/>
            </a:ext>
          </a:extLst>
        </xdr:cNvPr>
        <xdr:cNvSpPr txBox="1"/>
      </xdr:nvSpPr>
      <xdr:spPr>
        <a:xfrm>
          <a:off x="826770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63" name="TextBox 762">
          <a:extLst>
            <a:ext uri="{FF2B5EF4-FFF2-40B4-BE49-F238E27FC236}">
              <a16:creationId xmlns:a16="http://schemas.microsoft.com/office/drawing/2014/main" id="{00000000-0008-0000-0000-000010010000}"/>
            </a:ext>
          </a:extLst>
        </xdr:cNvPr>
        <xdr:cNvSpPr txBox="1"/>
      </xdr:nvSpPr>
      <xdr:spPr>
        <a:xfrm>
          <a:off x="826770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64" name="TextBox 763">
          <a:extLst>
            <a:ext uri="{FF2B5EF4-FFF2-40B4-BE49-F238E27FC236}">
              <a16:creationId xmlns:a16="http://schemas.microsoft.com/office/drawing/2014/main" id="{00000000-0008-0000-0000-000011010000}"/>
            </a:ext>
          </a:extLst>
        </xdr:cNvPr>
        <xdr:cNvSpPr txBox="1"/>
      </xdr:nvSpPr>
      <xdr:spPr>
        <a:xfrm>
          <a:off x="826770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65" name="TextBox 764">
          <a:extLst>
            <a:ext uri="{FF2B5EF4-FFF2-40B4-BE49-F238E27FC236}">
              <a16:creationId xmlns:a16="http://schemas.microsoft.com/office/drawing/2014/main" id="{00000000-0008-0000-0000-000012010000}"/>
            </a:ext>
          </a:extLst>
        </xdr:cNvPr>
        <xdr:cNvSpPr txBox="1"/>
      </xdr:nvSpPr>
      <xdr:spPr>
        <a:xfrm>
          <a:off x="826770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66" name="TextBox 765">
          <a:extLst>
            <a:ext uri="{FF2B5EF4-FFF2-40B4-BE49-F238E27FC236}">
              <a16:creationId xmlns:a16="http://schemas.microsoft.com/office/drawing/2014/main" id="{00000000-0008-0000-0000-000013010000}"/>
            </a:ext>
          </a:extLst>
        </xdr:cNvPr>
        <xdr:cNvSpPr txBox="1"/>
      </xdr:nvSpPr>
      <xdr:spPr>
        <a:xfrm>
          <a:off x="826770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67" name="TextBox 766">
          <a:extLst>
            <a:ext uri="{FF2B5EF4-FFF2-40B4-BE49-F238E27FC236}">
              <a16:creationId xmlns:a16="http://schemas.microsoft.com/office/drawing/2014/main" id="{00000000-0008-0000-0000-000014010000}"/>
            </a:ext>
          </a:extLst>
        </xdr:cNvPr>
        <xdr:cNvSpPr txBox="1"/>
      </xdr:nvSpPr>
      <xdr:spPr>
        <a:xfrm>
          <a:off x="826770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68" name="TextBox 767">
          <a:extLst>
            <a:ext uri="{FF2B5EF4-FFF2-40B4-BE49-F238E27FC236}">
              <a16:creationId xmlns:a16="http://schemas.microsoft.com/office/drawing/2014/main" id="{00000000-0008-0000-0000-000015010000}"/>
            </a:ext>
          </a:extLst>
        </xdr:cNvPr>
        <xdr:cNvSpPr txBox="1"/>
      </xdr:nvSpPr>
      <xdr:spPr>
        <a:xfrm>
          <a:off x="826770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69" name="TextBox 768">
          <a:extLst>
            <a:ext uri="{FF2B5EF4-FFF2-40B4-BE49-F238E27FC236}">
              <a16:creationId xmlns:a16="http://schemas.microsoft.com/office/drawing/2014/main" id="{00000000-0008-0000-0000-000016010000}"/>
            </a:ext>
          </a:extLst>
        </xdr:cNvPr>
        <xdr:cNvSpPr txBox="1"/>
      </xdr:nvSpPr>
      <xdr:spPr>
        <a:xfrm>
          <a:off x="826770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70" name="TextBox 769">
          <a:extLst>
            <a:ext uri="{FF2B5EF4-FFF2-40B4-BE49-F238E27FC236}">
              <a16:creationId xmlns:a16="http://schemas.microsoft.com/office/drawing/2014/main" id="{00000000-0008-0000-0000-000017010000}"/>
            </a:ext>
          </a:extLst>
        </xdr:cNvPr>
        <xdr:cNvSpPr txBox="1"/>
      </xdr:nvSpPr>
      <xdr:spPr>
        <a:xfrm>
          <a:off x="826770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71" name="TextBox 770">
          <a:extLst>
            <a:ext uri="{FF2B5EF4-FFF2-40B4-BE49-F238E27FC236}">
              <a16:creationId xmlns:a16="http://schemas.microsoft.com/office/drawing/2014/main" id="{00000000-0008-0000-0000-000018010000}"/>
            </a:ext>
          </a:extLst>
        </xdr:cNvPr>
        <xdr:cNvSpPr txBox="1"/>
      </xdr:nvSpPr>
      <xdr:spPr>
        <a:xfrm>
          <a:off x="826770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72" name="TextBox 771">
          <a:extLst>
            <a:ext uri="{FF2B5EF4-FFF2-40B4-BE49-F238E27FC236}">
              <a16:creationId xmlns:a16="http://schemas.microsoft.com/office/drawing/2014/main" id="{00000000-0008-0000-0000-000019010000}"/>
            </a:ext>
          </a:extLst>
        </xdr:cNvPr>
        <xdr:cNvSpPr txBox="1"/>
      </xdr:nvSpPr>
      <xdr:spPr>
        <a:xfrm>
          <a:off x="826770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73" name="TextBox 772">
          <a:extLst>
            <a:ext uri="{FF2B5EF4-FFF2-40B4-BE49-F238E27FC236}">
              <a16:creationId xmlns:a16="http://schemas.microsoft.com/office/drawing/2014/main" id="{00000000-0008-0000-0000-00001A010000}"/>
            </a:ext>
          </a:extLst>
        </xdr:cNvPr>
        <xdr:cNvSpPr txBox="1"/>
      </xdr:nvSpPr>
      <xdr:spPr>
        <a:xfrm>
          <a:off x="826770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74" name="TextBox 773">
          <a:extLst>
            <a:ext uri="{FF2B5EF4-FFF2-40B4-BE49-F238E27FC236}">
              <a16:creationId xmlns:a16="http://schemas.microsoft.com/office/drawing/2014/main" id="{00000000-0008-0000-0000-00001B010000}"/>
            </a:ext>
          </a:extLst>
        </xdr:cNvPr>
        <xdr:cNvSpPr txBox="1"/>
      </xdr:nvSpPr>
      <xdr:spPr>
        <a:xfrm>
          <a:off x="826770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75" name="TextBox 774">
          <a:extLst>
            <a:ext uri="{FF2B5EF4-FFF2-40B4-BE49-F238E27FC236}">
              <a16:creationId xmlns:a16="http://schemas.microsoft.com/office/drawing/2014/main" id="{00000000-0008-0000-0000-00001C010000}"/>
            </a:ext>
          </a:extLst>
        </xdr:cNvPr>
        <xdr:cNvSpPr txBox="1"/>
      </xdr:nvSpPr>
      <xdr:spPr>
        <a:xfrm>
          <a:off x="826770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76" name="TextBox 775">
          <a:extLst>
            <a:ext uri="{FF2B5EF4-FFF2-40B4-BE49-F238E27FC236}">
              <a16:creationId xmlns:a16="http://schemas.microsoft.com/office/drawing/2014/main" id="{00000000-0008-0000-0000-00001D010000}"/>
            </a:ext>
          </a:extLst>
        </xdr:cNvPr>
        <xdr:cNvSpPr txBox="1"/>
      </xdr:nvSpPr>
      <xdr:spPr>
        <a:xfrm>
          <a:off x="826770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77" name="TextBox 776">
          <a:extLst>
            <a:ext uri="{FF2B5EF4-FFF2-40B4-BE49-F238E27FC236}">
              <a16:creationId xmlns:a16="http://schemas.microsoft.com/office/drawing/2014/main" id="{00000000-0008-0000-0000-00001E010000}"/>
            </a:ext>
          </a:extLst>
        </xdr:cNvPr>
        <xdr:cNvSpPr txBox="1"/>
      </xdr:nvSpPr>
      <xdr:spPr>
        <a:xfrm>
          <a:off x="826770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78" name="TextBox 777">
          <a:extLst>
            <a:ext uri="{FF2B5EF4-FFF2-40B4-BE49-F238E27FC236}">
              <a16:creationId xmlns:a16="http://schemas.microsoft.com/office/drawing/2014/main" id="{00000000-0008-0000-0000-00001F010000}"/>
            </a:ext>
          </a:extLst>
        </xdr:cNvPr>
        <xdr:cNvSpPr txBox="1"/>
      </xdr:nvSpPr>
      <xdr:spPr>
        <a:xfrm>
          <a:off x="826770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79" name="TextBox 778">
          <a:extLst>
            <a:ext uri="{FF2B5EF4-FFF2-40B4-BE49-F238E27FC236}">
              <a16:creationId xmlns:a16="http://schemas.microsoft.com/office/drawing/2014/main" id="{00000000-0008-0000-0000-000020010000}"/>
            </a:ext>
          </a:extLst>
        </xdr:cNvPr>
        <xdr:cNvSpPr txBox="1"/>
      </xdr:nvSpPr>
      <xdr:spPr>
        <a:xfrm>
          <a:off x="826770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80" name="TextBox 779">
          <a:extLst>
            <a:ext uri="{FF2B5EF4-FFF2-40B4-BE49-F238E27FC236}">
              <a16:creationId xmlns:a16="http://schemas.microsoft.com/office/drawing/2014/main" id="{00000000-0008-0000-0000-000021010000}"/>
            </a:ext>
          </a:extLst>
        </xdr:cNvPr>
        <xdr:cNvSpPr txBox="1"/>
      </xdr:nvSpPr>
      <xdr:spPr>
        <a:xfrm>
          <a:off x="826770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81" name="TextBox 780">
          <a:extLst>
            <a:ext uri="{FF2B5EF4-FFF2-40B4-BE49-F238E27FC236}">
              <a16:creationId xmlns:a16="http://schemas.microsoft.com/office/drawing/2014/main" id="{00000000-0008-0000-0000-000022010000}"/>
            </a:ext>
          </a:extLst>
        </xdr:cNvPr>
        <xdr:cNvSpPr txBox="1"/>
      </xdr:nvSpPr>
      <xdr:spPr>
        <a:xfrm>
          <a:off x="826770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82" name="TextBox 781">
          <a:extLst>
            <a:ext uri="{FF2B5EF4-FFF2-40B4-BE49-F238E27FC236}">
              <a16:creationId xmlns:a16="http://schemas.microsoft.com/office/drawing/2014/main" id="{00000000-0008-0000-0000-000023010000}"/>
            </a:ext>
          </a:extLst>
        </xdr:cNvPr>
        <xdr:cNvSpPr txBox="1"/>
      </xdr:nvSpPr>
      <xdr:spPr>
        <a:xfrm>
          <a:off x="826770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83" name="TextBox 782">
          <a:extLst>
            <a:ext uri="{FF2B5EF4-FFF2-40B4-BE49-F238E27FC236}">
              <a16:creationId xmlns:a16="http://schemas.microsoft.com/office/drawing/2014/main" id="{00000000-0008-0000-0000-000024010000}"/>
            </a:ext>
          </a:extLst>
        </xdr:cNvPr>
        <xdr:cNvSpPr txBox="1"/>
      </xdr:nvSpPr>
      <xdr:spPr>
        <a:xfrm>
          <a:off x="826770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84" name="TextBox 783">
          <a:extLst>
            <a:ext uri="{FF2B5EF4-FFF2-40B4-BE49-F238E27FC236}">
              <a16:creationId xmlns:a16="http://schemas.microsoft.com/office/drawing/2014/main" id="{00000000-0008-0000-0000-000025010000}"/>
            </a:ext>
          </a:extLst>
        </xdr:cNvPr>
        <xdr:cNvSpPr txBox="1"/>
      </xdr:nvSpPr>
      <xdr:spPr>
        <a:xfrm>
          <a:off x="826770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85" name="TextBox 784">
          <a:extLst>
            <a:ext uri="{FF2B5EF4-FFF2-40B4-BE49-F238E27FC236}">
              <a16:creationId xmlns:a16="http://schemas.microsoft.com/office/drawing/2014/main" id="{00000000-0008-0000-0000-000026010000}"/>
            </a:ext>
          </a:extLst>
        </xdr:cNvPr>
        <xdr:cNvSpPr txBox="1"/>
      </xdr:nvSpPr>
      <xdr:spPr>
        <a:xfrm>
          <a:off x="1258062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86" name="TextBox 785">
          <a:extLst>
            <a:ext uri="{FF2B5EF4-FFF2-40B4-BE49-F238E27FC236}">
              <a16:creationId xmlns:a16="http://schemas.microsoft.com/office/drawing/2014/main" id="{00000000-0008-0000-0000-000027010000}"/>
            </a:ext>
          </a:extLst>
        </xdr:cNvPr>
        <xdr:cNvSpPr txBox="1"/>
      </xdr:nvSpPr>
      <xdr:spPr>
        <a:xfrm>
          <a:off x="1258062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87" name="TextBox 786">
          <a:extLst>
            <a:ext uri="{FF2B5EF4-FFF2-40B4-BE49-F238E27FC236}">
              <a16:creationId xmlns:a16="http://schemas.microsoft.com/office/drawing/2014/main" id="{00000000-0008-0000-0000-000028010000}"/>
            </a:ext>
          </a:extLst>
        </xdr:cNvPr>
        <xdr:cNvSpPr txBox="1"/>
      </xdr:nvSpPr>
      <xdr:spPr>
        <a:xfrm>
          <a:off x="1258062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88" name="TextBox 787">
          <a:extLst>
            <a:ext uri="{FF2B5EF4-FFF2-40B4-BE49-F238E27FC236}">
              <a16:creationId xmlns:a16="http://schemas.microsoft.com/office/drawing/2014/main" id="{00000000-0008-0000-0000-000029010000}"/>
            </a:ext>
          </a:extLst>
        </xdr:cNvPr>
        <xdr:cNvSpPr txBox="1"/>
      </xdr:nvSpPr>
      <xdr:spPr>
        <a:xfrm>
          <a:off x="1258062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89" name="TextBox 788">
          <a:extLst>
            <a:ext uri="{FF2B5EF4-FFF2-40B4-BE49-F238E27FC236}">
              <a16:creationId xmlns:a16="http://schemas.microsoft.com/office/drawing/2014/main" id="{00000000-0008-0000-0000-00002A010000}"/>
            </a:ext>
          </a:extLst>
        </xdr:cNvPr>
        <xdr:cNvSpPr txBox="1"/>
      </xdr:nvSpPr>
      <xdr:spPr>
        <a:xfrm>
          <a:off x="1258062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90" name="TextBox 789">
          <a:extLst>
            <a:ext uri="{FF2B5EF4-FFF2-40B4-BE49-F238E27FC236}">
              <a16:creationId xmlns:a16="http://schemas.microsoft.com/office/drawing/2014/main" id="{00000000-0008-0000-0000-00002B010000}"/>
            </a:ext>
          </a:extLst>
        </xdr:cNvPr>
        <xdr:cNvSpPr txBox="1"/>
      </xdr:nvSpPr>
      <xdr:spPr>
        <a:xfrm>
          <a:off x="1258062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91" name="TextBox 790">
          <a:extLst>
            <a:ext uri="{FF2B5EF4-FFF2-40B4-BE49-F238E27FC236}">
              <a16:creationId xmlns:a16="http://schemas.microsoft.com/office/drawing/2014/main" id="{00000000-0008-0000-0000-00002C010000}"/>
            </a:ext>
          </a:extLst>
        </xdr:cNvPr>
        <xdr:cNvSpPr txBox="1"/>
      </xdr:nvSpPr>
      <xdr:spPr>
        <a:xfrm>
          <a:off x="1258062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792" name="TextBox 791">
          <a:extLst>
            <a:ext uri="{FF2B5EF4-FFF2-40B4-BE49-F238E27FC236}">
              <a16:creationId xmlns:a16="http://schemas.microsoft.com/office/drawing/2014/main" id="{00000000-0008-0000-0000-00002D010000}"/>
            </a:ext>
          </a:extLst>
        </xdr:cNvPr>
        <xdr:cNvSpPr txBox="1"/>
      </xdr:nvSpPr>
      <xdr:spPr>
        <a:xfrm>
          <a:off x="1258062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93" name="TextBox 792">
          <a:extLst>
            <a:ext uri="{FF2B5EF4-FFF2-40B4-BE49-F238E27FC236}">
              <a16:creationId xmlns:a16="http://schemas.microsoft.com/office/drawing/2014/main" id="{00000000-0008-0000-0000-00002E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94" name="TextBox 793">
          <a:extLst>
            <a:ext uri="{FF2B5EF4-FFF2-40B4-BE49-F238E27FC236}">
              <a16:creationId xmlns:a16="http://schemas.microsoft.com/office/drawing/2014/main" id="{00000000-0008-0000-0000-00002F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95" name="TextBox 794">
          <a:extLst>
            <a:ext uri="{FF2B5EF4-FFF2-40B4-BE49-F238E27FC236}">
              <a16:creationId xmlns:a16="http://schemas.microsoft.com/office/drawing/2014/main" id="{00000000-0008-0000-0000-000030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96" name="TextBox 795">
          <a:extLst>
            <a:ext uri="{FF2B5EF4-FFF2-40B4-BE49-F238E27FC236}">
              <a16:creationId xmlns:a16="http://schemas.microsoft.com/office/drawing/2014/main" id="{00000000-0008-0000-0000-000031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97" name="TextBox 796">
          <a:extLst>
            <a:ext uri="{FF2B5EF4-FFF2-40B4-BE49-F238E27FC236}">
              <a16:creationId xmlns:a16="http://schemas.microsoft.com/office/drawing/2014/main" id="{00000000-0008-0000-0000-000032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98" name="TextBox 797">
          <a:extLst>
            <a:ext uri="{FF2B5EF4-FFF2-40B4-BE49-F238E27FC236}">
              <a16:creationId xmlns:a16="http://schemas.microsoft.com/office/drawing/2014/main" id="{00000000-0008-0000-0000-000033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799" name="TextBox 798">
          <a:extLst>
            <a:ext uri="{FF2B5EF4-FFF2-40B4-BE49-F238E27FC236}">
              <a16:creationId xmlns:a16="http://schemas.microsoft.com/office/drawing/2014/main" id="{00000000-0008-0000-0000-000034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800" name="TextBox 799">
          <a:extLst>
            <a:ext uri="{FF2B5EF4-FFF2-40B4-BE49-F238E27FC236}">
              <a16:creationId xmlns:a16="http://schemas.microsoft.com/office/drawing/2014/main" id="{00000000-0008-0000-0000-000035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801" name="TextBox 800">
          <a:extLst>
            <a:ext uri="{FF2B5EF4-FFF2-40B4-BE49-F238E27FC236}">
              <a16:creationId xmlns:a16="http://schemas.microsoft.com/office/drawing/2014/main" id="{00000000-0008-0000-0000-000036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802" name="TextBox 801">
          <a:extLst>
            <a:ext uri="{FF2B5EF4-FFF2-40B4-BE49-F238E27FC236}">
              <a16:creationId xmlns:a16="http://schemas.microsoft.com/office/drawing/2014/main" id="{00000000-0008-0000-0000-000037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803" name="TextBox 802">
          <a:extLst>
            <a:ext uri="{FF2B5EF4-FFF2-40B4-BE49-F238E27FC236}">
              <a16:creationId xmlns:a16="http://schemas.microsoft.com/office/drawing/2014/main" id="{00000000-0008-0000-0000-000038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804" name="TextBox 803">
          <a:extLst>
            <a:ext uri="{FF2B5EF4-FFF2-40B4-BE49-F238E27FC236}">
              <a16:creationId xmlns:a16="http://schemas.microsoft.com/office/drawing/2014/main" id="{00000000-0008-0000-0000-000039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805" name="TextBox 804">
          <a:extLst>
            <a:ext uri="{FF2B5EF4-FFF2-40B4-BE49-F238E27FC236}">
              <a16:creationId xmlns:a16="http://schemas.microsoft.com/office/drawing/2014/main" id="{00000000-0008-0000-0000-00003A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806" name="TextBox 805">
          <a:extLst>
            <a:ext uri="{FF2B5EF4-FFF2-40B4-BE49-F238E27FC236}">
              <a16:creationId xmlns:a16="http://schemas.microsoft.com/office/drawing/2014/main" id="{00000000-0008-0000-0000-00003B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807" name="TextBox 806">
          <a:extLst>
            <a:ext uri="{FF2B5EF4-FFF2-40B4-BE49-F238E27FC236}">
              <a16:creationId xmlns:a16="http://schemas.microsoft.com/office/drawing/2014/main" id="{00000000-0008-0000-0000-00003C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808" name="TextBox 807">
          <a:extLst>
            <a:ext uri="{FF2B5EF4-FFF2-40B4-BE49-F238E27FC236}">
              <a16:creationId xmlns:a16="http://schemas.microsoft.com/office/drawing/2014/main" id="{00000000-0008-0000-0000-00003D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809" name="TextBox 808">
          <a:extLst>
            <a:ext uri="{FF2B5EF4-FFF2-40B4-BE49-F238E27FC236}">
              <a16:creationId xmlns:a16="http://schemas.microsoft.com/office/drawing/2014/main" id="{00000000-0008-0000-0000-00003E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810" name="TextBox 809">
          <a:extLst>
            <a:ext uri="{FF2B5EF4-FFF2-40B4-BE49-F238E27FC236}">
              <a16:creationId xmlns:a16="http://schemas.microsoft.com/office/drawing/2014/main" id="{00000000-0008-0000-0000-00003F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811" name="TextBox 810">
          <a:extLst>
            <a:ext uri="{FF2B5EF4-FFF2-40B4-BE49-F238E27FC236}">
              <a16:creationId xmlns:a16="http://schemas.microsoft.com/office/drawing/2014/main" id="{00000000-0008-0000-0000-000040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812" name="TextBox 811">
          <a:extLst>
            <a:ext uri="{FF2B5EF4-FFF2-40B4-BE49-F238E27FC236}">
              <a16:creationId xmlns:a16="http://schemas.microsoft.com/office/drawing/2014/main" id="{00000000-0008-0000-0000-000041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813" name="TextBox 812">
          <a:extLst>
            <a:ext uri="{FF2B5EF4-FFF2-40B4-BE49-F238E27FC236}">
              <a16:creationId xmlns:a16="http://schemas.microsoft.com/office/drawing/2014/main" id="{00000000-0008-0000-0000-000042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814" name="TextBox 813">
          <a:extLst>
            <a:ext uri="{FF2B5EF4-FFF2-40B4-BE49-F238E27FC236}">
              <a16:creationId xmlns:a16="http://schemas.microsoft.com/office/drawing/2014/main" id="{00000000-0008-0000-0000-000043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815" name="TextBox 814">
          <a:extLst>
            <a:ext uri="{FF2B5EF4-FFF2-40B4-BE49-F238E27FC236}">
              <a16:creationId xmlns:a16="http://schemas.microsoft.com/office/drawing/2014/main" id="{00000000-0008-0000-0000-000044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816" name="TextBox 815">
          <a:extLst>
            <a:ext uri="{FF2B5EF4-FFF2-40B4-BE49-F238E27FC236}">
              <a16:creationId xmlns:a16="http://schemas.microsoft.com/office/drawing/2014/main" id="{00000000-0008-0000-0000-000045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817" name="TextBox 816">
          <a:extLst>
            <a:ext uri="{FF2B5EF4-FFF2-40B4-BE49-F238E27FC236}">
              <a16:creationId xmlns:a16="http://schemas.microsoft.com/office/drawing/2014/main" id="{00000000-0008-0000-0000-000046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818" name="TextBox 817">
          <a:extLst>
            <a:ext uri="{FF2B5EF4-FFF2-40B4-BE49-F238E27FC236}">
              <a16:creationId xmlns:a16="http://schemas.microsoft.com/office/drawing/2014/main" id="{00000000-0008-0000-0000-000047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819" name="TextBox 818">
          <a:extLst>
            <a:ext uri="{FF2B5EF4-FFF2-40B4-BE49-F238E27FC236}">
              <a16:creationId xmlns:a16="http://schemas.microsoft.com/office/drawing/2014/main" id="{00000000-0008-0000-0000-000048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820" name="TextBox 819">
          <a:extLst>
            <a:ext uri="{FF2B5EF4-FFF2-40B4-BE49-F238E27FC236}">
              <a16:creationId xmlns:a16="http://schemas.microsoft.com/office/drawing/2014/main" id="{00000000-0008-0000-0000-000049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821" name="TextBox 820">
          <a:extLst>
            <a:ext uri="{FF2B5EF4-FFF2-40B4-BE49-F238E27FC236}">
              <a16:creationId xmlns:a16="http://schemas.microsoft.com/office/drawing/2014/main" id="{00000000-0008-0000-0000-00004A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822" name="TextBox 821">
          <a:extLst>
            <a:ext uri="{FF2B5EF4-FFF2-40B4-BE49-F238E27FC236}">
              <a16:creationId xmlns:a16="http://schemas.microsoft.com/office/drawing/2014/main" id="{00000000-0008-0000-0000-00004B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823" name="TextBox 822">
          <a:extLst>
            <a:ext uri="{FF2B5EF4-FFF2-40B4-BE49-F238E27FC236}">
              <a16:creationId xmlns:a16="http://schemas.microsoft.com/office/drawing/2014/main" id="{00000000-0008-0000-0000-00004C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824" name="TextBox 823">
          <a:extLst>
            <a:ext uri="{FF2B5EF4-FFF2-40B4-BE49-F238E27FC236}">
              <a16:creationId xmlns:a16="http://schemas.microsoft.com/office/drawing/2014/main" id="{00000000-0008-0000-0000-00004D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825" name="TextBox 824">
          <a:extLst>
            <a:ext uri="{FF2B5EF4-FFF2-40B4-BE49-F238E27FC236}">
              <a16:creationId xmlns:a16="http://schemas.microsoft.com/office/drawing/2014/main" id="{00000000-0008-0000-0000-00004E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826" name="TextBox 825">
          <a:extLst>
            <a:ext uri="{FF2B5EF4-FFF2-40B4-BE49-F238E27FC236}">
              <a16:creationId xmlns:a16="http://schemas.microsoft.com/office/drawing/2014/main" id="{00000000-0008-0000-0000-00004F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827" name="TextBox 826">
          <a:extLst>
            <a:ext uri="{FF2B5EF4-FFF2-40B4-BE49-F238E27FC236}">
              <a16:creationId xmlns:a16="http://schemas.microsoft.com/office/drawing/2014/main" id="{00000000-0008-0000-0000-000050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828" name="TextBox 827">
          <a:extLst>
            <a:ext uri="{FF2B5EF4-FFF2-40B4-BE49-F238E27FC236}">
              <a16:creationId xmlns:a16="http://schemas.microsoft.com/office/drawing/2014/main" id="{00000000-0008-0000-0000-000051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829" name="TextBox 828">
          <a:extLst>
            <a:ext uri="{FF2B5EF4-FFF2-40B4-BE49-F238E27FC236}">
              <a16:creationId xmlns:a16="http://schemas.microsoft.com/office/drawing/2014/main" id="{00000000-0008-0000-0000-000052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830" name="TextBox 829">
          <a:extLst>
            <a:ext uri="{FF2B5EF4-FFF2-40B4-BE49-F238E27FC236}">
              <a16:creationId xmlns:a16="http://schemas.microsoft.com/office/drawing/2014/main" id="{00000000-0008-0000-0000-000053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831" name="TextBox 830">
          <a:extLst>
            <a:ext uri="{FF2B5EF4-FFF2-40B4-BE49-F238E27FC236}">
              <a16:creationId xmlns:a16="http://schemas.microsoft.com/office/drawing/2014/main" id="{00000000-0008-0000-0000-000054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832" name="TextBox 831">
          <a:extLst>
            <a:ext uri="{FF2B5EF4-FFF2-40B4-BE49-F238E27FC236}">
              <a16:creationId xmlns:a16="http://schemas.microsoft.com/office/drawing/2014/main" id="{00000000-0008-0000-0000-000055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833" name="TextBox 832">
          <a:extLst>
            <a:ext uri="{FF2B5EF4-FFF2-40B4-BE49-F238E27FC236}">
              <a16:creationId xmlns:a16="http://schemas.microsoft.com/office/drawing/2014/main" id="{00000000-0008-0000-0000-000056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834" name="TextBox 833">
          <a:extLst>
            <a:ext uri="{FF2B5EF4-FFF2-40B4-BE49-F238E27FC236}">
              <a16:creationId xmlns:a16="http://schemas.microsoft.com/office/drawing/2014/main" id="{00000000-0008-0000-0000-000057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835" name="TextBox 834">
          <a:extLst>
            <a:ext uri="{FF2B5EF4-FFF2-40B4-BE49-F238E27FC236}">
              <a16:creationId xmlns:a16="http://schemas.microsoft.com/office/drawing/2014/main" id="{00000000-0008-0000-0000-000058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836" name="TextBox 835">
          <a:extLst>
            <a:ext uri="{FF2B5EF4-FFF2-40B4-BE49-F238E27FC236}">
              <a16:creationId xmlns:a16="http://schemas.microsoft.com/office/drawing/2014/main" id="{00000000-0008-0000-0000-000059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837" name="TextBox 836">
          <a:extLst>
            <a:ext uri="{FF2B5EF4-FFF2-40B4-BE49-F238E27FC236}">
              <a16:creationId xmlns:a16="http://schemas.microsoft.com/office/drawing/2014/main" id="{00000000-0008-0000-0000-00005A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838" name="TextBox 837">
          <a:extLst>
            <a:ext uri="{FF2B5EF4-FFF2-40B4-BE49-F238E27FC236}">
              <a16:creationId xmlns:a16="http://schemas.microsoft.com/office/drawing/2014/main" id="{00000000-0008-0000-0000-00005B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839" name="TextBox 838">
          <a:extLst>
            <a:ext uri="{FF2B5EF4-FFF2-40B4-BE49-F238E27FC236}">
              <a16:creationId xmlns:a16="http://schemas.microsoft.com/office/drawing/2014/main" id="{00000000-0008-0000-0000-00005C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840" name="TextBox 839">
          <a:extLst>
            <a:ext uri="{FF2B5EF4-FFF2-40B4-BE49-F238E27FC236}">
              <a16:creationId xmlns:a16="http://schemas.microsoft.com/office/drawing/2014/main" id="{00000000-0008-0000-0000-00005D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841" name="TextBox 840">
          <a:extLst>
            <a:ext uri="{FF2B5EF4-FFF2-40B4-BE49-F238E27FC236}">
              <a16:creationId xmlns:a16="http://schemas.microsoft.com/office/drawing/2014/main" id="{00000000-0008-0000-0000-00005E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842" name="TextBox 841">
          <a:extLst>
            <a:ext uri="{FF2B5EF4-FFF2-40B4-BE49-F238E27FC236}">
              <a16:creationId xmlns:a16="http://schemas.microsoft.com/office/drawing/2014/main" id="{00000000-0008-0000-0000-00005F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843" name="TextBox 842">
          <a:extLst>
            <a:ext uri="{FF2B5EF4-FFF2-40B4-BE49-F238E27FC236}">
              <a16:creationId xmlns:a16="http://schemas.microsoft.com/office/drawing/2014/main" id="{00000000-0008-0000-0000-000060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844" name="TextBox 843">
          <a:extLst>
            <a:ext uri="{FF2B5EF4-FFF2-40B4-BE49-F238E27FC236}">
              <a16:creationId xmlns:a16="http://schemas.microsoft.com/office/drawing/2014/main" id="{00000000-0008-0000-0000-000061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845" name="TextBox 844">
          <a:extLst>
            <a:ext uri="{FF2B5EF4-FFF2-40B4-BE49-F238E27FC236}">
              <a16:creationId xmlns:a16="http://schemas.microsoft.com/office/drawing/2014/main" id="{00000000-0008-0000-0000-000062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846" name="TextBox 845">
          <a:extLst>
            <a:ext uri="{FF2B5EF4-FFF2-40B4-BE49-F238E27FC236}">
              <a16:creationId xmlns:a16="http://schemas.microsoft.com/office/drawing/2014/main" id="{00000000-0008-0000-0000-000063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847" name="TextBox 846">
          <a:extLst>
            <a:ext uri="{FF2B5EF4-FFF2-40B4-BE49-F238E27FC236}">
              <a16:creationId xmlns:a16="http://schemas.microsoft.com/office/drawing/2014/main" id="{00000000-0008-0000-0000-000064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848" name="TextBox 847">
          <a:extLst>
            <a:ext uri="{FF2B5EF4-FFF2-40B4-BE49-F238E27FC236}">
              <a16:creationId xmlns:a16="http://schemas.microsoft.com/office/drawing/2014/main" id="{00000000-0008-0000-0000-000065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849" name="TextBox 848">
          <a:extLst>
            <a:ext uri="{FF2B5EF4-FFF2-40B4-BE49-F238E27FC236}">
              <a16:creationId xmlns:a16="http://schemas.microsoft.com/office/drawing/2014/main" id="{00000000-0008-0000-0000-000066010000}"/>
            </a:ext>
          </a:extLst>
        </xdr:cNvPr>
        <xdr:cNvSpPr txBox="1"/>
      </xdr:nvSpPr>
      <xdr:spPr>
        <a:xfrm>
          <a:off x="1258062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850" name="TextBox 849">
          <a:extLst>
            <a:ext uri="{FF2B5EF4-FFF2-40B4-BE49-F238E27FC236}">
              <a16:creationId xmlns:a16="http://schemas.microsoft.com/office/drawing/2014/main" id="{00000000-0008-0000-0000-000067010000}"/>
            </a:ext>
          </a:extLst>
        </xdr:cNvPr>
        <xdr:cNvSpPr txBox="1"/>
      </xdr:nvSpPr>
      <xdr:spPr>
        <a:xfrm>
          <a:off x="1258062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851" name="TextBox 850">
          <a:extLst>
            <a:ext uri="{FF2B5EF4-FFF2-40B4-BE49-F238E27FC236}">
              <a16:creationId xmlns:a16="http://schemas.microsoft.com/office/drawing/2014/main" id="{00000000-0008-0000-0000-000068010000}"/>
            </a:ext>
          </a:extLst>
        </xdr:cNvPr>
        <xdr:cNvSpPr txBox="1"/>
      </xdr:nvSpPr>
      <xdr:spPr>
        <a:xfrm>
          <a:off x="1258062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852" name="TextBox 851">
          <a:extLst>
            <a:ext uri="{FF2B5EF4-FFF2-40B4-BE49-F238E27FC236}">
              <a16:creationId xmlns:a16="http://schemas.microsoft.com/office/drawing/2014/main" id="{00000000-0008-0000-0000-000069010000}"/>
            </a:ext>
          </a:extLst>
        </xdr:cNvPr>
        <xdr:cNvSpPr txBox="1"/>
      </xdr:nvSpPr>
      <xdr:spPr>
        <a:xfrm>
          <a:off x="1258062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853" name="TextBox 852">
          <a:extLst>
            <a:ext uri="{FF2B5EF4-FFF2-40B4-BE49-F238E27FC236}">
              <a16:creationId xmlns:a16="http://schemas.microsoft.com/office/drawing/2014/main" id="{00000000-0008-0000-0000-00006A010000}"/>
            </a:ext>
          </a:extLst>
        </xdr:cNvPr>
        <xdr:cNvSpPr txBox="1"/>
      </xdr:nvSpPr>
      <xdr:spPr>
        <a:xfrm>
          <a:off x="1258062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854" name="TextBox 853">
          <a:extLst>
            <a:ext uri="{FF2B5EF4-FFF2-40B4-BE49-F238E27FC236}">
              <a16:creationId xmlns:a16="http://schemas.microsoft.com/office/drawing/2014/main" id="{00000000-0008-0000-0000-00006B010000}"/>
            </a:ext>
          </a:extLst>
        </xdr:cNvPr>
        <xdr:cNvSpPr txBox="1"/>
      </xdr:nvSpPr>
      <xdr:spPr>
        <a:xfrm>
          <a:off x="1258062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855" name="TextBox 854">
          <a:extLst>
            <a:ext uri="{FF2B5EF4-FFF2-40B4-BE49-F238E27FC236}">
              <a16:creationId xmlns:a16="http://schemas.microsoft.com/office/drawing/2014/main" id="{00000000-0008-0000-0000-00006C010000}"/>
            </a:ext>
          </a:extLst>
        </xdr:cNvPr>
        <xdr:cNvSpPr txBox="1"/>
      </xdr:nvSpPr>
      <xdr:spPr>
        <a:xfrm>
          <a:off x="1258062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856" name="TextBox 855">
          <a:extLst>
            <a:ext uri="{FF2B5EF4-FFF2-40B4-BE49-F238E27FC236}">
              <a16:creationId xmlns:a16="http://schemas.microsoft.com/office/drawing/2014/main" id="{00000000-0008-0000-0000-00006D010000}"/>
            </a:ext>
          </a:extLst>
        </xdr:cNvPr>
        <xdr:cNvSpPr txBox="1"/>
      </xdr:nvSpPr>
      <xdr:spPr>
        <a:xfrm>
          <a:off x="1258062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857" name="TextBox 856">
          <a:extLst>
            <a:ext uri="{FF2B5EF4-FFF2-40B4-BE49-F238E27FC236}">
              <a16:creationId xmlns:a16="http://schemas.microsoft.com/office/drawing/2014/main" id="{00000000-0008-0000-0000-00006E010000}"/>
            </a:ext>
          </a:extLst>
        </xdr:cNvPr>
        <xdr:cNvSpPr txBox="1"/>
      </xdr:nvSpPr>
      <xdr:spPr>
        <a:xfrm>
          <a:off x="8267700" y="34671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858" name="TextBox 857">
          <a:extLst>
            <a:ext uri="{FF2B5EF4-FFF2-40B4-BE49-F238E27FC236}">
              <a16:creationId xmlns:a16="http://schemas.microsoft.com/office/drawing/2014/main" id="{00000000-0008-0000-0000-00006F010000}"/>
            </a:ext>
          </a:extLst>
        </xdr:cNvPr>
        <xdr:cNvSpPr txBox="1"/>
      </xdr:nvSpPr>
      <xdr:spPr>
        <a:xfrm>
          <a:off x="8267700" y="34671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859" name="TextBox 858">
          <a:extLst>
            <a:ext uri="{FF2B5EF4-FFF2-40B4-BE49-F238E27FC236}">
              <a16:creationId xmlns:a16="http://schemas.microsoft.com/office/drawing/2014/main" id="{00000000-0008-0000-0000-000070010000}"/>
            </a:ext>
          </a:extLst>
        </xdr:cNvPr>
        <xdr:cNvSpPr txBox="1"/>
      </xdr:nvSpPr>
      <xdr:spPr>
        <a:xfrm>
          <a:off x="8267700" y="34671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860" name="TextBox 859">
          <a:extLst>
            <a:ext uri="{FF2B5EF4-FFF2-40B4-BE49-F238E27FC236}">
              <a16:creationId xmlns:a16="http://schemas.microsoft.com/office/drawing/2014/main" id="{00000000-0008-0000-0000-000071010000}"/>
            </a:ext>
          </a:extLst>
        </xdr:cNvPr>
        <xdr:cNvSpPr txBox="1"/>
      </xdr:nvSpPr>
      <xdr:spPr>
        <a:xfrm>
          <a:off x="8267700" y="34671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861" name="TextBox 860">
          <a:extLst>
            <a:ext uri="{FF2B5EF4-FFF2-40B4-BE49-F238E27FC236}">
              <a16:creationId xmlns:a16="http://schemas.microsoft.com/office/drawing/2014/main" id="{00000000-0008-0000-0000-000072010000}"/>
            </a:ext>
          </a:extLst>
        </xdr:cNvPr>
        <xdr:cNvSpPr txBox="1"/>
      </xdr:nvSpPr>
      <xdr:spPr>
        <a:xfrm>
          <a:off x="8267700" y="34671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862" name="TextBox 861">
          <a:extLst>
            <a:ext uri="{FF2B5EF4-FFF2-40B4-BE49-F238E27FC236}">
              <a16:creationId xmlns:a16="http://schemas.microsoft.com/office/drawing/2014/main" id="{00000000-0008-0000-0000-000073010000}"/>
            </a:ext>
          </a:extLst>
        </xdr:cNvPr>
        <xdr:cNvSpPr txBox="1"/>
      </xdr:nvSpPr>
      <xdr:spPr>
        <a:xfrm>
          <a:off x="8267700" y="34671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863" name="TextBox 862">
          <a:extLst>
            <a:ext uri="{FF2B5EF4-FFF2-40B4-BE49-F238E27FC236}">
              <a16:creationId xmlns:a16="http://schemas.microsoft.com/office/drawing/2014/main" id="{00000000-0008-0000-0000-000074010000}"/>
            </a:ext>
          </a:extLst>
        </xdr:cNvPr>
        <xdr:cNvSpPr txBox="1"/>
      </xdr:nvSpPr>
      <xdr:spPr>
        <a:xfrm>
          <a:off x="8267700" y="34671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864" name="TextBox 863">
          <a:extLst>
            <a:ext uri="{FF2B5EF4-FFF2-40B4-BE49-F238E27FC236}">
              <a16:creationId xmlns:a16="http://schemas.microsoft.com/office/drawing/2014/main" id="{00000000-0008-0000-0000-000075010000}"/>
            </a:ext>
          </a:extLst>
        </xdr:cNvPr>
        <xdr:cNvSpPr txBox="1"/>
      </xdr:nvSpPr>
      <xdr:spPr>
        <a:xfrm>
          <a:off x="8267700" y="34671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865" name="TextBox 864">
          <a:extLst>
            <a:ext uri="{FF2B5EF4-FFF2-40B4-BE49-F238E27FC236}">
              <a16:creationId xmlns:a16="http://schemas.microsoft.com/office/drawing/2014/main" id="{00000000-0008-0000-0000-000076010000}"/>
            </a:ext>
          </a:extLst>
        </xdr:cNvPr>
        <xdr:cNvSpPr txBox="1"/>
      </xdr:nvSpPr>
      <xdr:spPr>
        <a:xfrm>
          <a:off x="8267700" y="34671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866" name="TextBox 865">
          <a:extLst>
            <a:ext uri="{FF2B5EF4-FFF2-40B4-BE49-F238E27FC236}">
              <a16:creationId xmlns:a16="http://schemas.microsoft.com/office/drawing/2014/main" id="{00000000-0008-0000-0000-000077010000}"/>
            </a:ext>
          </a:extLst>
        </xdr:cNvPr>
        <xdr:cNvSpPr txBox="1"/>
      </xdr:nvSpPr>
      <xdr:spPr>
        <a:xfrm>
          <a:off x="8267700" y="34671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867" name="TextBox 866">
          <a:extLst>
            <a:ext uri="{FF2B5EF4-FFF2-40B4-BE49-F238E27FC236}">
              <a16:creationId xmlns:a16="http://schemas.microsoft.com/office/drawing/2014/main" id="{00000000-0008-0000-0000-000078010000}"/>
            </a:ext>
          </a:extLst>
        </xdr:cNvPr>
        <xdr:cNvSpPr txBox="1"/>
      </xdr:nvSpPr>
      <xdr:spPr>
        <a:xfrm>
          <a:off x="8267700" y="34671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868" name="TextBox 867">
          <a:extLst>
            <a:ext uri="{FF2B5EF4-FFF2-40B4-BE49-F238E27FC236}">
              <a16:creationId xmlns:a16="http://schemas.microsoft.com/office/drawing/2014/main" id="{00000000-0008-0000-0000-000079010000}"/>
            </a:ext>
          </a:extLst>
        </xdr:cNvPr>
        <xdr:cNvSpPr txBox="1"/>
      </xdr:nvSpPr>
      <xdr:spPr>
        <a:xfrm>
          <a:off x="8267700" y="34671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869" name="TextBox 868">
          <a:extLst>
            <a:ext uri="{FF2B5EF4-FFF2-40B4-BE49-F238E27FC236}">
              <a16:creationId xmlns:a16="http://schemas.microsoft.com/office/drawing/2014/main" id="{00000000-0008-0000-0000-00007A010000}"/>
            </a:ext>
          </a:extLst>
        </xdr:cNvPr>
        <xdr:cNvSpPr txBox="1"/>
      </xdr:nvSpPr>
      <xdr:spPr>
        <a:xfrm>
          <a:off x="8267700" y="34671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870" name="TextBox 869">
          <a:extLst>
            <a:ext uri="{FF2B5EF4-FFF2-40B4-BE49-F238E27FC236}">
              <a16:creationId xmlns:a16="http://schemas.microsoft.com/office/drawing/2014/main" id="{00000000-0008-0000-0000-00007B010000}"/>
            </a:ext>
          </a:extLst>
        </xdr:cNvPr>
        <xdr:cNvSpPr txBox="1"/>
      </xdr:nvSpPr>
      <xdr:spPr>
        <a:xfrm>
          <a:off x="8267700" y="34671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871" name="TextBox 870">
          <a:extLst>
            <a:ext uri="{FF2B5EF4-FFF2-40B4-BE49-F238E27FC236}">
              <a16:creationId xmlns:a16="http://schemas.microsoft.com/office/drawing/2014/main" id="{00000000-0008-0000-0000-00007C010000}"/>
            </a:ext>
          </a:extLst>
        </xdr:cNvPr>
        <xdr:cNvSpPr txBox="1"/>
      </xdr:nvSpPr>
      <xdr:spPr>
        <a:xfrm>
          <a:off x="8267700" y="34671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872" name="TextBox 871">
          <a:extLst>
            <a:ext uri="{FF2B5EF4-FFF2-40B4-BE49-F238E27FC236}">
              <a16:creationId xmlns:a16="http://schemas.microsoft.com/office/drawing/2014/main" id="{00000000-0008-0000-0000-00007D010000}"/>
            </a:ext>
          </a:extLst>
        </xdr:cNvPr>
        <xdr:cNvSpPr txBox="1"/>
      </xdr:nvSpPr>
      <xdr:spPr>
        <a:xfrm>
          <a:off x="8267700" y="34671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873" name="TextBox 872">
          <a:extLst>
            <a:ext uri="{FF2B5EF4-FFF2-40B4-BE49-F238E27FC236}">
              <a16:creationId xmlns:a16="http://schemas.microsoft.com/office/drawing/2014/main" id="{00000000-0008-0000-0000-00007E010000}"/>
            </a:ext>
          </a:extLst>
        </xdr:cNvPr>
        <xdr:cNvSpPr txBox="1"/>
      </xdr:nvSpPr>
      <xdr:spPr>
        <a:xfrm>
          <a:off x="8267700" y="34671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874" name="TextBox 873">
          <a:extLst>
            <a:ext uri="{FF2B5EF4-FFF2-40B4-BE49-F238E27FC236}">
              <a16:creationId xmlns:a16="http://schemas.microsoft.com/office/drawing/2014/main" id="{00000000-0008-0000-0000-00007F010000}"/>
            </a:ext>
          </a:extLst>
        </xdr:cNvPr>
        <xdr:cNvSpPr txBox="1"/>
      </xdr:nvSpPr>
      <xdr:spPr>
        <a:xfrm>
          <a:off x="8267700" y="34671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875" name="TextBox 874">
          <a:extLst>
            <a:ext uri="{FF2B5EF4-FFF2-40B4-BE49-F238E27FC236}">
              <a16:creationId xmlns:a16="http://schemas.microsoft.com/office/drawing/2014/main" id="{00000000-0008-0000-0000-000080010000}"/>
            </a:ext>
          </a:extLst>
        </xdr:cNvPr>
        <xdr:cNvSpPr txBox="1"/>
      </xdr:nvSpPr>
      <xdr:spPr>
        <a:xfrm>
          <a:off x="8267700" y="34671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876" name="TextBox 875">
          <a:extLst>
            <a:ext uri="{FF2B5EF4-FFF2-40B4-BE49-F238E27FC236}">
              <a16:creationId xmlns:a16="http://schemas.microsoft.com/office/drawing/2014/main" id="{00000000-0008-0000-0000-000081010000}"/>
            </a:ext>
          </a:extLst>
        </xdr:cNvPr>
        <xdr:cNvSpPr txBox="1"/>
      </xdr:nvSpPr>
      <xdr:spPr>
        <a:xfrm>
          <a:off x="8267700" y="34671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877" name="TextBox 876">
          <a:extLst>
            <a:ext uri="{FF2B5EF4-FFF2-40B4-BE49-F238E27FC236}">
              <a16:creationId xmlns:a16="http://schemas.microsoft.com/office/drawing/2014/main" id="{00000000-0008-0000-0000-000082010000}"/>
            </a:ext>
          </a:extLst>
        </xdr:cNvPr>
        <xdr:cNvSpPr txBox="1"/>
      </xdr:nvSpPr>
      <xdr:spPr>
        <a:xfrm>
          <a:off x="8267700" y="34671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878" name="TextBox 877">
          <a:extLst>
            <a:ext uri="{FF2B5EF4-FFF2-40B4-BE49-F238E27FC236}">
              <a16:creationId xmlns:a16="http://schemas.microsoft.com/office/drawing/2014/main" id="{00000000-0008-0000-0000-000083010000}"/>
            </a:ext>
          </a:extLst>
        </xdr:cNvPr>
        <xdr:cNvSpPr txBox="1"/>
      </xdr:nvSpPr>
      <xdr:spPr>
        <a:xfrm>
          <a:off x="8267700" y="34671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879" name="TextBox 878">
          <a:extLst>
            <a:ext uri="{FF2B5EF4-FFF2-40B4-BE49-F238E27FC236}">
              <a16:creationId xmlns:a16="http://schemas.microsoft.com/office/drawing/2014/main" id="{00000000-0008-0000-0000-000084010000}"/>
            </a:ext>
          </a:extLst>
        </xdr:cNvPr>
        <xdr:cNvSpPr txBox="1"/>
      </xdr:nvSpPr>
      <xdr:spPr>
        <a:xfrm>
          <a:off x="8267700" y="34671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880" name="TextBox 879">
          <a:extLst>
            <a:ext uri="{FF2B5EF4-FFF2-40B4-BE49-F238E27FC236}">
              <a16:creationId xmlns:a16="http://schemas.microsoft.com/office/drawing/2014/main" id="{00000000-0008-0000-0000-000085010000}"/>
            </a:ext>
          </a:extLst>
        </xdr:cNvPr>
        <xdr:cNvSpPr txBox="1"/>
      </xdr:nvSpPr>
      <xdr:spPr>
        <a:xfrm>
          <a:off x="8267700" y="34671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881" name="TextBox 880">
          <a:extLst>
            <a:ext uri="{FF2B5EF4-FFF2-40B4-BE49-F238E27FC236}">
              <a16:creationId xmlns:a16="http://schemas.microsoft.com/office/drawing/2014/main" id="{00000000-0008-0000-0000-000086010000}"/>
            </a:ext>
          </a:extLst>
        </xdr:cNvPr>
        <xdr:cNvSpPr txBox="1"/>
      </xdr:nvSpPr>
      <xdr:spPr>
        <a:xfrm>
          <a:off x="8267700" y="34671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882" name="TextBox 881">
          <a:extLst>
            <a:ext uri="{FF2B5EF4-FFF2-40B4-BE49-F238E27FC236}">
              <a16:creationId xmlns:a16="http://schemas.microsoft.com/office/drawing/2014/main" id="{00000000-0008-0000-0000-000087010000}"/>
            </a:ext>
          </a:extLst>
        </xdr:cNvPr>
        <xdr:cNvSpPr txBox="1"/>
      </xdr:nvSpPr>
      <xdr:spPr>
        <a:xfrm>
          <a:off x="8267700" y="34671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883" name="TextBox 882">
          <a:extLst>
            <a:ext uri="{FF2B5EF4-FFF2-40B4-BE49-F238E27FC236}">
              <a16:creationId xmlns:a16="http://schemas.microsoft.com/office/drawing/2014/main" id="{00000000-0008-0000-0000-000088010000}"/>
            </a:ext>
          </a:extLst>
        </xdr:cNvPr>
        <xdr:cNvSpPr txBox="1"/>
      </xdr:nvSpPr>
      <xdr:spPr>
        <a:xfrm>
          <a:off x="8267700" y="34671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884" name="TextBox 883">
          <a:extLst>
            <a:ext uri="{FF2B5EF4-FFF2-40B4-BE49-F238E27FC236}">
              <a16:creationId xmlns:a16="http://schemas.microsoft.com/office/drawing/2014/main" id="{00000000-0008-0000-0000-000089010000}"/>
            </a:ext>
          </a:extLst>
        </xdr:cNvPr>
        <xdr:cNvSpPr txBox="1"/>
      </xdr:nvSpPr>
      <xdr:spPr>
        <a:xfrm>
          <a:off x="8267700" y="34671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885" name="TextBox 884">
          <a:extLst>
            <a:ext uri="{FF2B5EF4-FFF2-40B4-BE49-F238E27FC236}">
              <a16:creationId xmlns:a16="http://schemas.microsoft.com/office/drawing/2014/main" id="{00000000-0008-0000-0000-00008A010000}"/>
            </a:ext>
          </a:extLst>
        </xdr:cNvPr>
        <xdr:cNvSpPr txBox="1"/>
      </xdr:nvSpPr>
      <xdr:spPr>
        <a:xfrm>
          <a:off x="8267700" y="34671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886" name="TextBox 885">
          <a:extLst>
            <a:ext uri="{FF2B5EF4-FFF2-40B4-BE49-F238E27FC236}">
              <a16:creationId xmlns:a16="http://schemas.microsoft.com/office/drawing/2014/main" id="{00000000-0008-0000-0000-00008B010000}"/>
            </a:ext>
          </a:extLst>
        </xdr:cNvPr>
        <xdr:cNvSpPr txBox="1"/>
      </xdr:nvSpPr>
      <xdr:spPr>
        <a:xfrm>
          <a:off x="8267700" y="34671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887" name="TextBox 886">
          <a:extLst>
            <a:ext uri="{FF2B5EF4-FFF2-40B4-BE49-F238E27FC236}">
              <a16:creationId xmlns:a16="http://schemas.microsoft.com/office/drawing/2014/main" id="{00000000-0008-0000-0000-00008C010000}"/>
            </a:ext>
          </a:extLst>
        </xdr:cNvPr>
        <xdr:cNvSpPr txBox="1"/>
      </xdr:nvSpPr>
      <xdr:spPr>
        <a:xfrm>
          <a:off x="8267700" y="34671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888" name="TextBox 887">
          <a:extLst>
            <a:ext uri="{FF2B5EF4-FFF2-40B4-BE49-F238E27FC236}">
              <a16:creationId xmlns:a16="http://schemas.microsoft.com/office/drawing/2014/main" id="{00000000-0008-0000-0000-00008D010000}"/>
            </a:ext>
          </a:extLst>
        </xdr:cNvPr>
        <xdr:cNvSpPr txBox="1"/>
      </xdr:nvSpPr>
      <xdr:spPr>
        <a:xfrm>
          <a:off x="8267700" y="34671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889" name="TextBox 888">
          <a:extLst>
            <a:ext uri="{FF2B5EF4-FFF2-40B4-BE49-F238E27FC236}">
              <a16:creationId xmlns:a16="http://schemas.microsoft.com/office/drawing/2014/main" id="{00000000-0008-0000-0000-00008E010000}"/>
            </a:ext>
          </a:extLst>
        </xdr:cNvPr>
        <xdr:cNvSpPr txBox="1"/>
      </xdr:nvSpPr>
      <xdr:spPr>
        <a:xfrm>
          <a:off x="8267700" y="34671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890" name="TextBox 889">
          <a:extLst>
            <a:ext uri="{FF2B5EF4-FFF2-40B4-BE49-F238E27FC236}">
              <a16:creationId xmlns:a16="http://schemas.microsoft.com/office/drawing/2014/main" id="{00000000-0008-0000-0000-00008F010000}"/>
            </a:ext>
          </a:extLst>
        </xdr:cNvPr>
        <xdr:cNvSpPr txBox="1"/>
      </xdr:nvSpPr>
      <xdr:spPr>
        <a:xfrm>
          <a:off x="8267700" y="34671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891" name="TextBox 890">
          <a:extLst>
            <a:ext uri="{FF2B5EF4-FFF2-40B4-BE49-F238E27FC236}">
              <a16:creationId xmlns:a16="http://schemas.microsoft.com/office/drawing/2014/main" id="{00000000-0008-0000-0000-000090010000}"/>
            </a:ext>
          </a:extLst>
        </xdr:cNvPr>
        <xdr:cNvSpPr txBox="1"/>
      </xdr:nvSpPr>
      <xdr:spPr>
        <a:xfrm>
          <a:off x="8267700" y="34671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892" name="TextBox 891">
          <a:extLst>
            <a:ext uri="{FF2B5EF4-FFF2-40B4-BE49-F238E27FC236}">
              <a16:creationId xmlns:a16="http://schemas.microsoft.com/office/drawing/2014/main" id="{00000000-0008-0000-0000-000091010000}"/>
            </a:ext>
          </a:extLst>
        </xdr:cNvPr>
        <xdr:cNvSpPr txBox="1"/>
      </xdr:nvSpPr>
      <xdr:spPr>
        <a:xfrm>
          <a:off x="8267700" y="34671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893" name="TextBox 892">
          <a:extLst>
            <a:ext uri="{FF2B5EF4-FFF2-40B4-BE49-F238E27FC236}">
              <a16:creationId xmlns:a16="http://schemas.microsoft.com/office/drawing/2014/main" id="{00000000-0008-0000-0000-000092010000}"/>
            </a:ext>
          </a:extLst>
        </xdr:cNvPr>
        <xdr:cNvSpPr txBox="1"/>
      </xdr:nvSpPr>
      <xdr:spPr>
        <a:xfrm>
          <a:off x="8267700" y="34671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894" name="TextBox 893">
          <a:extLst>
            <a:ext uri="{FF2B5EF4-FFF2-40B4-BE49-F238E27FC236}">
              <a16:creationId xmlns:a16="http://schemas.microsoft.com/office/drawing/2014/main" id="{00000000-0008-0000-0000-000093010000}"/>
            </a:ext>
          </a:extLst>
        </xdr:cNvPr>
        <xdr:cNvSpPr txBox="1"/>
      </xdr:nvSpPr>
      <xdr:spPr>
        <a:xfrm>
          <a:off x="8267700" y="34671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895" name="TextBox 894">
          <a:extLst>
            <a:ext uri="{FF2B5EF4-FFF2-40B4-BE49-F238E27FC236}">
              <a16:creationId xmlns:a16="http://schemas.microsoft.com/office/drawing/2014/main" id="{00000000-0008-0000-0000-000094010000}"/>
            </a:ext>
          </a:extLst>
        </xdr:cNvPr>
        <xdr:cNvSpPr txBox="1"/>
      </xdr:nvSpPr>
      <xdr:spPr>
        <a:xfrm>
          <a:off x="8267700" y="34671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896" name="TextBox 895">
          <a:extLst>
            <a:ext uri="{FF2B5EF4-FFF2-40B4-BE49-F238E27FC236}">
              <a16:creationId xmlns:a16="http://schemas.microsoft.com/office/drawing/2014/main" id="{00000000-0008-0000-0000-000095010000}"/>
            </a:ext>
          </a:extLst>
        </xdr:cNvPr>
        <xdr:cNvSpPr txBox="1"/>
      </xdr:nvSpPr>
      <xdr:spPr>
        <a:xfrm>
          <a:off x="8267700" y="34671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897" name="TextBox 896">
          <a:extLst>
            <a:ext uri="{FF2B5EF4-FFF2-40B4-BE49-F238E27FC236}">
              <a16:creationId xmlns:a16="http://schemas.microsoft.com/office/drawing/2014/main" id="{00000000-0008-0000-0000-000096010000}"/>
            </a:ext>
          </a:extLst>
        </xdr:cNvPr>
        <xdr:cNvSpPr txBox="1"/>
      </xdr:nvSpPr>
      <xdr:spPr>
        <a:xfrm>
          <a:off x="8267700" y="34671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898" name="TextBox 897">
          <a:extLst>
            <a:ext uri="{FF2B5EF4-FFF2-40B4-BE49-F238E27FC236}">
              <a16:creationId xmlns:a16="http://schemas.microsoft.com/office/drawing/2014/main" id="{00000000-0008-0000-0000-000097010000}"/>
            </a:ext>
          </a:extLst>
        </xdr:cNvPr>
        <xdr:cNvSpPr txBox="1"/>
      </xdr:nvSpPr>
      <xdr:spPr>
        <a:xfrm>
          <a:off x="8267700" y="34671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899" name="TextBox 898">
          <a:extLst>
            <a:ext uri="{FF2B5EF4-FFF2-40B4-BE49-F238E27FC236}">
              <a16:creationId xmlns:a16="http://schemas.microsoft.com/office/drawing/2014/main" id="{00000000-0008-0000-0000-000098010000}"/>
            </a:ext>
          </a:extLst>
        </xdr:cNvPr>
        <xdr:cNvSpPr txBox="1"/>
      </xdr:nvSpPr>
      <xdr:spPr>
        <a:xfrm>
          <a:off x="8267700" y="34671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900" name="TextBox 899">
          <a:extLst>
            <a:ext uri="{FF2B5EF4-FFF2-40B4-BE49-F238E27FC236}">
              <a16:creationId xmlns:a16="http://schemas.microsoft.com/office/drawing/2014/main" id="{00000000-0008-0000-0000-000099010000}"/>
            </a:ext>
          </a:extLst>
        </xdr:cNvPr>
        <xdr:cNvSpPr txBox="1"/>
      </xdr:nvSpPr>
      <xdr:spPr>
        <a:xfrm>
          <a:off x="8267700" y="34671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901" name="TextBox 900">
          <a:extLst>
            <a:ext uri="{FF2B5EF4-FFF2-40B4-BE49-F238E27FC236}">
              <a16:creationId xmlns:a16="http://schemas.microsoft.com/office/drawing/2014/main" id="{00000000-0008-0000-0000-00009A010000}"/>
            </a:ext>
          </a:extLst>
        </xdr:cNvPr>
        <xdr:cNvSpPr txBox="1"/>
      </xdr:nvSpPr>
      <xdr:spPr>
        <a:xfrm>
          <a:off x="8267700" y="34671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902" name="TextBox 901">
          <a:extLst>
            <a:ext uri="{FF2B5EF4-FFF2-40B4-BE49-F238E27FC236}">
              <a16:creationId xmlns:a16="http://schemas.microsoft.com/office/drawing/2014/main" id="{00000000-0008-0000-0000-00009B010000}"/>
            </a:ext>
          </a:extLst>
        </xdr:cNvPr>
        <xdr:cNvSpPr txBox="1"/>
      </xdr:nvSpPr>
      <xdr:spPr>
        <a:xfrm>
          <a:off x="8267700" y="34671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903" name="TextBox 902">
          <a:extLst>
            <a:ext uri="{FF2B5EF4-FFF2-40B4-BE49-F238E27FC236}">
              <a16:creationId xmlns:a16="http://schemas.microsoft.com/office/drawing/2014/main" id="{00000000-0008-0000-0000-00009C010000}"/>
            </a:ext>
          </a:extLst>
        </xdr:cNvPr>
        <xdr:cNvSpPr txBox="1"/>
      </xdr:nvSpPr>
      <xdr:spPr>
        <a:xfrm>
          <a:off x="8267700" y="34671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904" name="TextBox 903">
          <a:extLst>
            <a:ext uri="{FF2B5EF4-FFF2-40B4-BE49-F238E27FC236}">
              <a16:creationId xmlns:a16="http://schemas.microsoft.com/office/drawing/2014/main" id="{00000000-0008-0000-0000-00009D010000}"/>
            </a:ext>
          </a:extLst>
        </xdr:cNvPr>
        <xdr:cNvSpPr txBox="1"/>
      </xdr:nvSpPr>
      <xdr:spPr>
        <a:xfrm>
          <a:off x="8267700" y="34671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905" name="TextBox 904">
          <a:extLst>
            <a:ext uri="{FF2B5EF4-FFF2-40B4-BE49-F238E27FC236}">
              <a16:creationId xmlns:a16="http://schemas.microsoft.com/office/drawing/2014/main" id="{00000000-0008-0000-0000-00009E010000}"/>
            </a:ext>
          </a:extLst>
        </xdr:cNvPr>
        <xdr:cNvSpPr txBox="1"/>
      </xdr:nvSpPr>
      <xdr:spPr>
        <a:xfrm>
          <a:off x="8267700" y="34671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906" name="TextBox 905">
          <a:extLst>
            <a:ext uri="{FF2B5EF4-FFF2-40B4-BE49-F238E27FC236}">
              <a16:creationId xmlns:a16="http://schemas.microsoft.com/office/drawing/2014/main" id="{00000000-0008-0000-0000-00009F010000}"/>
            </a:ext>
          </a:extLst>
        </xdr:cNvPr>
        <xdr:cNvSpPr txBox="1"/>
      </xdr:nvSpPr>
      <xdr:spPr>
        <a:xfrm>
          <a:off x="8267700" y="34671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907" name="TextBox 906">
          <a:extLst>
            <a:ext uri="{FF2B5EF4-FFF2-40B4-BE49-F238E27FC236}">
              <a16:creationId xmlns:a16="http://schemas.microsoft.com/office/drawing/2014/main" id="{00000000-0008-0000-0000-0000A0010000}"/>
            </a:ext>
          </a:extLst>
        </xdr:cNvPr>
        <xdr:cNvSpPr txBox="1"/>
      </xdr:nvSpPr>
      <xdr:spPr>
        <a:xfrm>
          <a:off x="8267700" y="34671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908" name="TextBox 907">
          <a:extLst>
            <a:ext uri="{FF2B5EF4-FFF2-40B4-BE49-F238E27FC236}">
              <a16:creationId xmlns:a16="http://schemas.microsoft.com/office/drawing/2014/main" id="{00000000-0008-0000-0000-0000A1010000}"/>
            </a:ext>
          </a:extLst>
        </xdr:cNvPr>
        <xdr:cNvSpPr txBox="1"/>
      </xdr:nvSpPr>
      <xdr:spPr>
        <a:xfrm>
          <a:off x="8267700" y="34671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909" name="TextBox 908">
          <a:extLst>
            <a:ext uri="{FF2B5EF4-FFF2-40B4-BE49-F238E27FC236}">
              <a16:creationId xmlns:a16="http://schemas.microsoft.com/office/drawing/2014/main" id="{00000000-0008-0000-0000-0000A2010000}"/>
            </a:ext>
          </a:extLst>
        </xdr:cNvPr>
        <xdr:cNvSpPr txBox="1"/>
      </xdr:nvSpPr>
      <xdr:spPr>
        <a:xfrm>
          <a:off x="8267700" y="34671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910" name="TextBox 909">
          <a:extLst>
            <a:ext uri="{FF2B5EF4-FFF2-40B4-BE49-F238E27FC236}">
              <a16:creationId xmlns:a16="http://schemas.microsoft.com/office/drawing/2014/main" id="{00000000-0008-0000-0000-0000A3010000}"/>
            </a:ext>
          </a:extLst>
        </xdr:cNvPr>
        <xdr:cNvSpPr txBox="1"/>
      </xdr:nvSpPr>
      <xdr:spPr>
        <a:xfrm>
          <a:off x="8267700" y="34671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911" name="TextBox 910">
          <a:extLst>
            <a:ext uri="{FF2B5EF4-FFF2-40B4-BE49-F238E27FC236}">
              <a16:creationId xmlns:a16="http://schemas.microsoft.com/office/drawing/2014/main" id="{00000000-0008-0000-0000-0000A4010000}"/>
            </a:ext>
          </a:extLst>
        </xdr:cNvPr>
        <xdr:cNvSpPr txBox="1"/>
      </xdr:nvSpPr>
      <xdr:spPr>
        <a:xfrm>
          <a:off x="8267700" y="34671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912" name="TextBox 911">
          <a:extLst>
            <a:ext uri="{FF2B5EF4-FFF2-40B4-BE49-F238E27FC236}">
              <a16:creationId xmlns:a16="http://schemas.microsoft.com/office/drawing/2014/main" id="{00000000-0008-0000-0000-0000A5010000}"/>
            </a:ext>
          </a:extLst>
        </xdr:cNvPr>
        <xdr:cNvSpPr txBox="1"/>
      </xdr:nvSpPr>
      <xdr:spPr>
        <a:xfrm>
          <a:off x="8267700" y="34671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913" name="TextBox 912">
          <a:extLst>
            <a:ext uri="{FF2B5EF4-FFF2-40B4-BE49-F238E27FC236}">
              <a16:creationId xmlns:a16="http://schemas.microsoft.com/office/drawing/2014/main" id="{00000000-0008-0000-0000-0000A6010000}"/>
            </a:ext>
          </a:extLst>
        </xdr:cNvPr>
        <xdr:cNvSpPr txBox="1"/>
      </xdr:nvSpPr>
      <xdr:spPr>
        <a:xfrm>
          <a:off x="8267700" y="34671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914" name="TextBox 913">
          <a:extLst>
            <a:ext uri="{FF2B5EF4-FFF2-40B4-BE49-F238E27FC236}">
              <a16:creationId xmlns:a16="http://schemas.microsoft.com/office/drawing/2014/main" id="{00000000-0008-0000-0000-0000A7010000}"/>
            </a:ext>
          </a:extLst>
        </xdr:cNvPr>
        <xdr:cNvSpPr txBox="1"/>
      </xdr:nvSpPr>
      <xdr:spPr>
        <a:xfrm>
          <a:off x="8267700" y="34671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915" name="TextBox 914">
          <a:extLst>
            <a:ext uri="{FF2B5EF4-FFF2-40B4-BE49-F238E27FC236}">
              <a16:creationId xmlns:a16="http://schemas.microsoft.com/office/drawing/2014/main" id="{00000000-0008-0000-0000-0000A8010000}"/>
            </a:ext>
          </a:extLst>
        </xdr:cNvPr>
        <xdr:cNvSpPr txBox="1"/>
      </xdr:nvSpPr>
      <xdr:spPr>
        <a:xfrm>
          <a:off x="12580620" y="34671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916" name="TextBox 915">
          <a:extLst>
            <a:ext uri="{FF2B5EF4-FFF2-40B4-BE49-F238E27FC236}">
              <a16:creationId xmlns:a16="http://schemas.microsoft.com/office/drawing/2014/main" id="{00000000-0008-0000-0000-0000A9010000}"/>
            </a:ext>
          </a:extLst>
        </xdr:cNvPr>
        <xdr:cNvSpPr txBox="1"/>
      </xdr:nvSpPr>
      <xdr:spPr>
        <a:xfrm>
          <a:off x="12580620" y="34671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917" name="TextBox 916">
          <a:extLst>
            <a:ext uri="{FF2B5EF4-FFF2-40B4-BE49-F238E27FC236}">
              <a16:creationId xmlns:a16="http://schemas.microsoft.com/office/drawing/2014/main" id="{00000000-0008-0000-0000-0000AA010000}"/>
            </a:ext>
          </a:extLst>
        </xdr:cNvPr>
        <xdr:cNvSpPr txBox="1"/>
      </xdr:nvSpPr>
      <xdr:spPr>
        <a:xfrm>
          <a:off x="12580620" y="34671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918" name="TextBox 917">
          <a:extLst>
            <a:ext uri="{FF2B5EF4-FFF2-40B4-BE49-F238E27FC236}">
              <a16:creationId xmlns:a16="http://schemas.microsoft.com/office/drawing/2014/main" id="{00000000-0008-0000-0000-0000AB010000}"/>
            </a:ext>
          </a:extLst>
        </xdr:cNvPr>
        <xdr:cNvSpPr txBox="1"/>
      </xdr:nvSpPr>
      <xdr:spPr>
        <a:xfrm>
          <a:off x="12580620" y="34671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919" name="TextBox 918">
          <a:extLst>
            <a:ext uri="{FF2B5EF4-FFF2-40B4-BE49-F238E27FC236}">
              <a16:creationId xmlns:a16="http://schemas.microsoft.com/office/drawing/2014/main" id="{00000000-0008-0000-0000-0000AC010000}"/>
            </a:ext>
          </a:extLst>
        </xdr:cNvPr>
        <xdr:cNvSpPr txBox="1"/>
      </xdr:nvSpPr>
      <xdr:spPr>
        <a:xfrm>
          <a:off x="12580620" y="34671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920" name="TextBox 919">
          <a:extLst>
            <a:ext uri="{FF2B5EF4-FFF2-40B4-BE49-F238E27FC236}">
              <a16:creationId xmlns:a16="http://schemas.microsoft.com/office/drawing/2014/main" id="{00000000-0008-0000-0000-0000AD010000}"/>
            </a:ext>
          </a:extLst>
        </xdr:cNvPr>
        <xdr:cNvSpPr txBox="1"/>
      </xdr:nvSpPr>
      <xdr:spPr>
        <a:xfrm>
          <a:off x="12580620" y="34671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921" name="TextBox 920">
          <a:extLst>
            <a:ext uri="{FF2B5EF4-FFF2-40B4-BE49-F238E27FC236}">
              <a16:creationId xmlns:a16="http://schemas.microsoft.com/office/drawing/2014/main" id="{00000000-0008-0000-0000-0000AE010000}"/>
            </a:ext>
          </a:extLst>
        </xdr:cNvPr>
        <xdr:cNvSpPr txBox="1"/>
      </xdr:nvSpPr>
      <xdr:spPr>
        <a:xfrm>
          <a:off x="12580620" y="34671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922" name="TextBox 921">
          <a:extLst>
            <a:ext uri="{FF2B5EF4-FFF2-40B4-BE49-F238E27FC236}">
              <a16:creationId xmlns:a16="http://schemas.microsoft.com/office/drawing/2014/main" id="{00000000-0008-0000-0000-0000AF010000}"/>
            </a:ext>
          </a:extLst>
        </xdr:cNvPr>
        <xdr:cNvSpPr txBox="1"/>
      </xdr:nvSpPr>
      <xdr:spPr>
        <a:xfrm>
          <a:off x="12580620" y="34671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923" name="TextBox 922">
          <a:extLst>
            <a:ext uri="{FF2B5EF4-FFF2-40B4-BE49-F238E27FC236}">
              <a16:creationId xmlns:a16="http://schemas.microsoft.com/office/drawing/2014/main" id="{00000000-0008-0000-0000-0000B0010000}"/>
            </a:ext>
          </a:extLst>
        </xdr:cNvPr>
        <xdr:cNvSpPr txBox="1"/>
      </xdr:nvSpPr>
      <xdr:spPr>
        <a:xfrm>
          <a:off x="8267700" y="334822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924" name="TextBox 923">
          <a:extLst>
            <a:ext uri="{FF2B5EF4-FFF2-40B4-BE49-F238E27FC236}">
              <a16:creationId xmlns:a16="http://schemas.microsoft.com/office/drawing/2014/main" id="{00000000-0008-0000-0000-0000B1010000}"/>
            </a:ext>
          </a:extLst>
        </xdr:cNvPr>
        <xdr:cNvSpPr txBox="1"/>
      </xdr:nvSpPr>
      <xdr:spPr>
        <a:xfrm>
          <a:off x="8267700" y="334822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925" name="TextBox 924">
          <a:extLst>
            <a:ext uri="{FF2B5EF4-FFF2-40B4-BE49-F238E27FC236}">
              <a16:creationId xmlns:a16="http://schemas.microsoft.com/office/drawing/2014/main" id="{00000000-0008-0000-0000-0000B2010000}"/>
            </a:ext>
          </a:extLst>
        </xdr:cNvPr>
        <xdr:cNvSpPr txBox="1"/>
      </xdr:nvSpPr>
      <xdr:spPr>
        <a:xfrm>
          <a:off x="1258062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926" name="TextBox 925">
          <a:extLst>
            <a:ext uri="{FF2B5EF4-FFF2-40B4-BE49-F238E27FC236}">
              <a16:creationId xmlns:a16="http://schemas.microsoft.com/office/drawing/2014/main" id="{00000000-0008-0000-0000-0000B3010000}"/>
            </a:ext>
          </a:extLst>
        </xdr:cNvPr>
        <xdr:cNvSpPr txBox="1"/>
      </xdr:nvSpPr>
      <xdr:spPr>
        <a:xfrm>
          <a:off x="1258062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927" name="TextBox 926">
          <a:extLst>
            <a:ext uri="{FF2B5EF4-FFF2-40B4-BE49-F238E27FC236}">
              <a16:creationId xmlns:a16="http://schemas.microsoft.com/office/drawing/2014/main" id="{00000000-0008-0000-0000-0000B4010000}"/>
            </a:ext>
          </a:extLst>
        </xdr:cNvPr>
        <xdr:cNvSpPr txBox="1"/>
      </xdr:nvSpPr>
      <xdr:spPr>
        <a:xfrm>
          <a:off x="1258062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928" name="TextBox 927">
          <a:extLst>
            <a:ext uri="{FF2B5EF4-FFF2-40B4-BE49-F238E27FC236}">
              <a16:creationId xmlns:a16="http://schemas.microsoft.com/office/drawing/2014/main" id="{00000000-0008-0000-0000-0000B5010000}"/>
            </a:ext>
          </a:extLst>
        </xdr:cNvPr>
        <xdr:cNvSpPr txBox="1"/>
      </xdr:nvSpPr>
      <xdr:spPr>
        <a:xfrm>
          <a:off x="1258062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929" name="TextBox 928">
          <a:extLst>
            <a:ext uri="{FF2B5EF4-FFF2-40B4-BE49-F238E27FC236}">
              <a16:creationId xmlns:a16="http://schemas.microsoft.com/office/drawing/2014/main" id="{00000000-0008-0000-0000-0000B6010000}"/>
            </a:ext>
          </a:extLst>
        </xdr:cNvPr>
        <xdr:cNvSpPr txBox="1"/>
      </xdr:nvSpPr>
      <xdr:spPr>
        <a:xfrm>
          <a:off x="1258062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930" name="TextBox 929">
          <a:extLst>
            <a:ext uri="{FF2B5EF4-FFF2-40B4-BE49-F238E27FC236}">
              <a16:creationId xmlns:a16="http://schemas.microsoft.com/office/drawing/2014/main" id="{00000000-0008-0000-0000-0000B7010000}"/>
            </a:ext>
          </a:extLst>
        </xdr:cNvPr>
        <xdr:cNvSpPr txBox="1"/>
      </xdr:nvSpPr>
      <xdr:spPr>
        <a:xfrm>
          <a:off x="1258062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931" name="TextBox 930">
          <a:extLst>
            <a:ext uri="{FF2B5EF4-FFF2-40B4-BE49-F238E27FC236}">
              <a16:creationId xmlns:a16="http://schemas.microsoft.com/office/drawing/2014/main" id="{00000000-0008-0000-0000-0000B8010000}"/>
            </a:ext>
          </a:extLst>
        </xdr:cNvPr>
        <xdr:cNvSpPr txBox="1"/>
      </xdr:nvSpPr>
      <xdr:spPr>
        <a:xfrm>
          <a:off x="1258062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932" name="TextBox 931">
          <a:extLst>
            <a:ext uri="{FF2B5EF4-FFF2-40B4-BE49-F238E27FC236}">
              <a16:creationId xmlns:a16="http://schemas.microsoft.com/office/drawing/2014/main" id="{00000000-0008-0000-0000-0000B9010000}"/>
            </a:ext>
          </a:extLst>
        </xdr:cNvPr>
        <xdr:cNvSpPr txBox="1"/>
      </xdr:nvSpPr>
      <xdr:spPr>
        <a:xfrm>
          <a:off x="1258062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933" name="TextBox 932">
          <a:extLst>
            <a:ext uri="{FF2B5EF4-FFF2-40B4-BE49-F238E27FC236}">
              <a16:creationId xmlns:a16="http://schemas.microsoft.com/office/drawing/2014/main" id="{00000000-0008-0000-0000-0000BA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934" name="TextBox 933">
          <a:extLst>
            <a:ext uri="{FF2B5EF4-FFF2-40B4-BE49-F238E27FC236}">
              <a16:creationId xmlns:a16="http://schemas.microsoft.com/office/drawing/2014/main" id="{00000000-0008-0000-0000-0000BB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935" name="TextBox 934">
          <a:extLst>
            <a:ext uri="{FF2B5EF4-FFF2-40B4-BE49-F238E27FC236}">
              <a16:creationId xmlns:a16="http://schemas.microsoft.com/office/drawing/2014/main" id="{00000000-0008-0000-0000-0000BC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936" name="TextBox 935">
          <a:extLst>
            <a:ext uri="{FF2B5EF4-FFF2-40B4-BE49-F238E27FC236}">
              <a16:creationId xmlns:a16="http://schemas.microsoft.com/office/drawing/2014/main" id="{00000000-0008-0000-0000-0000BD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937" name="TextBox 936">
          <a:extLst>
            <a:ext uri="{FF2B5EF4-FFF2-40B4-BE49-F238E27FC236}">
              <a16:creationId xmlns:a16="http://schemas.microsoft.com/office/drawing/2014/main" id="{00000000-0008-0000-0000-0000BE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938" name="TextBox 937">
          <a:extLst>
            <a:ext uri="{FF2B5EF4-FFF2-40B4-BE49-F238E27FC236}">
              <a16:creationId xmlns:a16="http://schemas.microsoft.com/office/drawing/2014/main" id="{00000000-0008-0000-0000-0000BF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939" name="TextBox 938">
          <a:extLst>
            <a:ext uri="{FF2B5EF4-FFF2-40B4-BE49-F238E27FC236}">
              <a16:creationId xmlns:a16="http://schemas.microsoft.com/office/drawing/2014/main" id="{00000000-0008-0000-0000-0000C0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940" name="TextBox 939">
          <a:extLst>
            <a:ext uri="{FF2B5EF4-FFF2-40B4-BE49-F238E27FC236}">
              <a16:creationId xmlns:a16="http://schemas.microsoft.com/office/drawing/2014/main" id="{00000000-0008-0000-0000-0000C1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941" name="TextBox 940">
          <a:extLst>
            <a:ext uri="{FF2B5EF4-FFF2-40B4-BE49-F238E27FC236}">
              <a16:creationId xmlns:a16="http://schemas.microsoft.com/office/drawing/2014/main" id="{00000000-0008-0000-0000-0000C2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942" name="TextBox 941">
          <a:extLst>
            <a:ext uri="{FF2B5EF4-FFF2-40B4-BE49-F238E27FC236}">
              <a16:creationId xmlns:a16="http://schemas.microsoft.com/office/drawing/2014/main" id="{00000000-0008-0000-0000-0000C3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943" name="TextBox 942">
          <a:extLst>
            <a:ext uri="{FF2B5EF4-FFF2-40B4-BE49-F238E27FC236}">
              <a16:creationId xmlns:a16="http://schemas.microsoft.com/office/drawing/2014/main" id="{00000000-0008-0000-0000-0000C4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944" name="TextBox 943">
          <a:extLst>
            <a:ext uri="{FF2B5EF4-FFF2-40B4-BE49-F238E27FC236}">
              <a16:creationId xmlns:a16="http://schemas.microsoft.com/office/drawing/2014/main" id="{00000000-0008-0000-0000-0000C5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945" name="TextBox 944">
          <a:extLst>
            <a:ext uri="{FF2B5EF4-FFF2-40B4-BE49-F238E27FC236}">
              <a16:creationId xmlns:a16="http://schemas.microsoft.com/office/drawing/2014/main" id="{00000000-0008-0000-0000-0000C6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946" name="TextBox 945">
          <a:extLst>
            <a:ext uri="{FF2B5EF4-FFF2-40B4-BE49-F238E27FC236}">
              <a16:creationId xmlns:a16="http://schemas.microsoft.com/office/drawing/2014/main" id="{00000000-0008-0000-0000-0000C7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947" name="TextBox 946">
          <a:extLst>
            <a:ext uri="{FF2B5EF4-FFF2-40B4-BE49-F238E27FC236}">
              <a16:creationId xmlns:a16="http://schemas.microsoft.com/office/drawing/2014/main" id="{00000000-0008-0000-0000-0000C8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948" name="TextBox 947">
          <a:extLst>
            <a:ext uri="{FF2B5EF4-FFF2-40B4-BE49-F238E27FC236}">
              <a16:creationId xmlns:a16="http://schemas.microsoft.com/office/drawing/2014/main" id="{00000000-0008-0000-0000-0000C9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949" name="TextBox 948">
          <a:extLst>
            <a:ext uri="{FF2B5EF4-FFF2-40B4-BE49-F238E27FC236}">
              <a16:creationId xmlns:a16="http://schemas.microsoft.com/office/drawing/2014/main" id="{00000000-0008-0000-0000-0000CA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950" name="TextBox 949">
          <a:extLst>
            <a:ext uri="{FF2B5EF4-FFF2-40B4-BE49-F238E27FC236}">
              <a16:creationId xmlns:a16="http://schemas.microsoft.com/office/drawing/2014/main" id="{00000000-0008-0000-0000-0000CB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951" name="TextBox 950">
          <a:extLst>
            <a:ext uri="{FF2B5EF4-FFF2-40B4-BE49-F238E27FC236}">
              <a16:creationId xmlns:a16="http://schemas.microsoft.com/office/drawing/2014/main" id="{00000000-0008-0000-0000-0000CC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952" name="TextBox 951">
          <a:extLst>
            <a:ext uri="{FF2B5EF4-FFF2-40B4-BE49-F238E27FC236}">
              <a16:creationId xmlns:a16="http://schemas.microsoft.com/office/drawing/2014/main" id="{00000000-0008-0000-0000-0000CD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953" name="TextBox 952">
          <a:extLst>
            <a:ext uri="{FF2B5EF4-FFF2-40B4-BE49-F238E27FC236}">
              <a16:creationId xmlns:a16="http://schemas.microsoft.com/office/drawing/2014/main" id="{00000000-0008-0000-0000-0000CE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954" name="TextBox 953">
          <a:extLst>
            <a:ext uri="{FF2B5EF4-FFF2-40B4-BE49-F238E27FC236}">
              <a16:creationId xmlns:a16="http://schemas.microsoft.com/office/drawing/2014/main" id="{00000000-0008-0000-0000-0000CF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955" name="TextBox 954">
          <a:extLst>
            <a:ext uri="{FF2B5EF4-FFF2-40B4-BE49-F238E27FC236}">
              <a16:creationId xmlns:a16="http://schemas.microsoft.com/office/drawing/2014/main" id="{00000000-0008-0000-0000-0000D0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956" name="TextBox 955">
          <a:extLst>
            <a:ext uri="{FF2B5EF4-FFF2-40B4-BE49-F238E27FC236}">
              <a16:creationId xmlns:a16="http://schemas.microsoft.com/office/drawing/2014/main" id="{00000000-0008-0000-0000-0000D1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957" name="TextBox 956">
          <a:extLst>
            <a:ext uri="{FF2B5EF4-FFF2-40B4-BE49-F238E27FC236}">
              <a16:creationId xmlns:a16="http://schemas.microsoft.com/office/drawing/2014/main" id="{00000000-0008-0000-0000-0000D2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958" name="TextBox 957">
          <a:extLst>
            <a:ext uri="{FF2B5EF4-FFF2-40B4-BE49-F238E27FC236}">
              <a16:creationId xmlns:a16="http://schemas.microsoft.com/office/drawing/2014/main" id="{00000000-0008-0000-0000-0000D3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959" name="TextBox 958">
          <a:extLst>
            <a:ext uri="{FF2B5EF4-FFF2-40B4-BE49-F238E27FC236}">
              <a16:creationId xmlns:a16="http://schemas.microsoft.com/office/drawing/2014/main" id="{00000000-0008-0000-0000-0000D4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960" name="TextBox 959">
          <a:extLst>
            <a:ext uri="{FF2B5EF4-FFF2-40B4-BE49-F238E27FC236}">
              <a16:creationId xmlns:a16="http://schemas.microsoft.com/office/drawing/2014/main" id="{00000000-0008-0000-0000-0000D5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961" name="TextBox 960">
          <a:extLst>
            <a:ext uri="{FF2B5EF4-FFF2-40B4-BE49-F238E27FC236}">
              <a16:creationId xmlns:a16="http://schemas.microsoft.com/office/drawing/2014/main" id="{00000000-0008-0000-0000-0000D6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962" name="TextBox 961">
          <a:extLst>
            <a:ext uri="{FF2B5EF4-FFF2-40B4-BE49-F238E27FC236}">
              <a16:creationId xmlns:a16="http://schemas.microsoft.com/office/drawing/2014/main" id="{00000000-0008-0000-0000-0000D7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963" name="TextBox 962">
          <a:extLst>
            <a:ext uri="{FF2B5EF4-FFF2-40B4-BE49-F238E27FC236}">
              <a16:creationId xmlns:a16="http://schemas.microsoft.com/office/drawing/2014/main" id="{00000000-0008-0000-0000-0000D8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964" name="TextBox 963">
          <a:extLst>
            <a:ext uri="{FF2B5EF4-FFF2-40B4-BE49-F238E27FC236}">
              <a16:creationId xmlns:a16="http://schemas.microsoft.com/office/drawing/2014/main" id="{00000000-0008-0000-0000-0000D9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965" name="TextBox 964">
          <a:extLst>
            <a:ext uri="{FF2B5EF4-FFF2-40B4-BE49-F238E27FC236}">
              <a16:creationId xmlns:a16="http://schemas.microsoft.com/office/drawing/2014/main" id="{00000000-0008-0000-0000-0000DA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966" name="TextBox 965">
          <a:extLst>
            <a:ext uri="{FF2B5EF4-FFF2-40B4-BE49-F238E27FC236}">
              <a16:creationId xmlns:a16="http://schemas.microsoft.com/office/drawing/2014/main" id="{00000000-0008-0000-0000-0000DB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967" name="TextBox 966">
          <a:extLst>
            <a:ext uri="{FF2B5EF4-FFF2-40B4-BE49-F238E27FC236}">
              <a16:creationId xmlns:a16="http://schemas.microsoft.com/office/drawing/2014/main" id="{00000000-0008-0000-0000-0000DC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968" name="TextBox 967">
          <a:extLst>
            <a:ext uri="{FF2B5EF4-FFF2-40B4-BE49-F238E27FC236}">
              <a16:creationId xmlns:a16="http://schemas.microsoft.com/office/drawing/2014/main" id="{00000000-0008-0000-0000-0000DD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969" name="TextBox 968">
          <a:extLst>
            <a:ext uri="{FF2B5EF4-FFF2-40B4-BE49-F238E27FC236}">
              <a16:creationId xmlns:a16="http://schemas.microsoft.com/office/drawing/2014/main" id="{00000000-0008-0000-0000-0000DE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970" name="TextBox 969">
          <a:extLst>
            <a:ext uri="{FF2B5EF4-FFF2-40B4-BE49-F238E27FC236}">
              <a16:creationId xmlns:a16="http://schemas.microsoft.com/office/drawing/2014/main" id="{00000000-0008-0000-0000-0000DF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971" name="TextBox 970">
          <a:extLst>
            <a:ext uri="{FF2B5EF4-FFF2-40B4-BE49-F238E27FC236}">
              <a16:creationId xmlns:a16="http://schemas.microsoft.com/office/drawing/2014/main" id="{00000000-0008-0000-0000-0000E0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972" name="TextBox 971">
          <a:extLst>
            <a:ext uri="{FF2B5EF4-FFF2-40B4-BE49-F238E27FC236}">
              <a16:creationId xmlns:a16="http://schemas.microsoft.com/office/drawing/2014/main" id="{00000000-0008-0000-0000-0000E1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973" name="TextBox 972">
          <a:extLst>
            <a:ext uri="{FF2B5EF4-FFF2-40B4-BE49-F238E27FC236}">
              <a16:creationId xmlns:a16="http://schemas.microsoft.com/office/drawing/2014/main" id="{00000000-0008-0000-0000-0000E2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974" name="TextBox 973">
          <a:extLst>
            <a:ext uri="{FF2B5EF4-FFF2-40B4-BE49-F238E27FC236}">
              <a16:creationId xmlns:a16="http://schemas.microsoft.com/office/drawing/2014/main" id="{00000000-0008-0000-0000-0000E3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975" name="TextBox 974">
          <a:extLst>
            <a:ext uri="{FF2B5EF4-FFF2-40B4-BE49-F238E27FC236}">
              <a16:creationId xmlns:a16="http://schemas.microsoft.com/office/drawing/2014/main" id="{00000000-0008-0000-0000-0000E4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976" name="TextBox 975">
          <a:extLst>
            <a:ext uri="{FF2B5EF4-FFF2-40B4-BE49-F238E27FC236}">
              <a16:creationId xmlns:a16="http://schemas.microsoft.com/office/drawing/2014/main" id="{00000000-0008-0000-0000-0000E5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977" name="TextBox 976">
          <a:extLst>
            <a:ext uri="{FF2B5EF4-FFF2-40B4-BE49-F238E27FC236}">
              <a16:creationId xmlns:a16="http://schemas.microsoft.com/office/drawing/2014/main" id="{00000000-0008-0000-0000-0000E6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978" name="TextBox 977">
          <a:extLst>
            <a:ext uri="{FF2B5EF4-FFF2-40B4-BE49-F238E27FC236}">
              <a16:creationId xmlns:a16="http://schemas.microsoft.com/office/drawing/2014/main" id="{00000000-0008-0000-0000-0000E7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979" name="TextBox 978">
          <a:extLst>
            <a:ext uri="{FF2B5EF4-FFF2-40B4-BE49-F238E27FC236}">
              <a16:creationId xmlns:a16="http://schemas.microsoft.com/office/drawing/2014/main" id="{00000000-0008-0000-0000-0000E8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980" name="TextBox 979">
          <a:extLst>
            <a:ext uri="{FF2B5EF4-FFF2-40B4-BE49-F238E27FC236}">
              <a16:creationId xmlns:a16="http://schemas.microsoft.com/office/drawing/2014/main" id="{00000000-0008-0000-0000-0000E9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981" name="TextBox 980">
          <a:extLst>
            <a:ext uri="{FF2B5EF4-FFF2-40B4-BE49-F238E27FC236}">
              <a16:creationId xmlns:a16="http://schemas.microsoft.com/office/drawing/2014/main" id="{00000000-0008-0000-0000-0000EA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982" name="TextBox 981">
          <a:extLst>
            <a:ext uri="{FF2B5EF4-FFF2-40B4-BE49-F238E27FC236}">
              <a16:creationId xmlns:a16="http://schemas.microsoft.com/office/drawing/2014/main" id="{00000000-0008-0000-0000-0000EB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983" name="TextBox 982">
          <a:extLst>
            <a:ext uri="{FF2B5EF4-FFF2-40B4-BE49-F238E27FC236}">
              <a16:creationId xmlns:a16="http://schemas.microsoft.com/office/drawing/2014/main" id="{00000000-0008-0000-0000-0000EC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984" name="TextBox 983">
          <a:extLst>
            <a:ext uri="{FF2B5EF4-FFF2-40B4-BE49-F238E27FC236}">
              <a16:creationId xmlns:a16="http://schemas.microsoft.com/office/drawing/2014/main" id="{00000000-0008-0000-0000-0000ED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985" name="TextBox 984">
          <a:extLst>
            <a:ext uri="{FF2B5EF4-FFF2-40B4-BE49-F238E27FC236}">
              <a16:creationId xmlns:a16="http://schemas.microsoft.com/office/drawing/2014/main" id="{00000000-0008-0000-0000-0000EE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986" name="TextBox 985">
          <a:extLst>
            <a:ext uri="{FF2B5EF4-FFF2-40B4-BE49-F238E27FC236}">
              <a16:creationId xmlns:a16="http://schemas.microsoft.com/office/drawing/2014/main" id="{00000000-0008-0000-0000-0000EF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987" name="TextBox 986">
          <a:extLst>
            <a:ext uri="{FF2B5EF4-FFF2-40B4-BE49-F238E27FC236}">
              <a16:creationId xmlns:a16="http://schemas.microsoft.com/office/drawing/2014/main" id="{00000000-0008-0000-0000-0000F0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988" name="TextBox 987">
          <a:extLst>
            <a:ext uri="{FF2B5EF4-FFF2-40B4-BE49-F238E27FC236}">
              <a16:creationId xmlns:a16="http://schemas.microsoft.com/office/drawing/2014/main" id="{00000000-0008-0000-0000-0000F101000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989" name="TextBox 988">
          <a:extLst>
            <a:ext uri="{FF2B5EF4-FFF2-40B4-BE49-F238E27FC236}">
              <a16:creationId xmlns:a16="http://schemas.microsoft.com/office/drawing/2014/main" id="{00000000-0008-0000-0000-0000F2010000}"/>
            </a:ext>
          </a:extLst>
        </xdr:cNvPr>
        <xdr:cNvSpPr txBox="1"/>
      </xdr:nvSpPr>
      <xdr:spPr>
        <a:xfrm>
          <a:off x="1258062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990" name="TextBox 989">
          <a:extLst>
            <a:ext uri="{FF2B5EF4-FFF2-40B4-BE49-F238E27FC236}">
              <a16:creationId xmlns:a16="http://schemas.microsoft.com/office/drawing/2014/main" id="{00000000-0008-0000-0000-0000F3010000}"/>
            </a:ext>
          </a:extLst>
        </xdr:cNvPr>
        <xdr:cNvSpPr txBox="1"/>
      </xdr:nvSpPr>
      <xdr:spPr>
        <a:xfrm>
          <a:off x="1258062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991" name="TextBox 990">
          <a:extLst>
            <a:ext uri="{FF2B5EF4-FFF2-40B4-BE49-F238E27FC236}">
              <a16:creationId xmlns:a16="http://schemas.microsoft.com/office/drawing/2014/main" id="{00000000-0008-0000-0000-0000F4010000}"/>
            </a:ext>
          </a:extLst>
        </xdr:cNvPr>
        <xdr:cNvSpPr txBox="1"/>
      </xdr:nvSpPr>
      <xdr:spPr>
        <a:xfrm>
          <a:off x="1258062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992" name="TextBox 991">
          <a:extLst>
            <a:ext uri="{FF2B5EF4-FFF2-40B4-BE49-F238E27FC236}">
              <a16:creationId xmlns:a16="http://schemas.microsoft.com/office/drawing/2014/main" id="{00000000-0008-0000-0000-0000F5010000}"/>
            </a:ext>
          </a:extLst>
        </xdr:cNvPr>
        <xdr:cNvSpPr txBox="1"/>
      </xdr:nvSpPr>
      <xdr:spPr>
        <a:xfrm>
          <a:off x="1258062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993" name="TextBox 992">
          <a:extLst>
            <a:ext uri="{FF2B5EF4-FFF2-40B4-BE49-F238E27FC236}">
              <a16:creationId xmlns:a16="http://schemas.microsoft.com/office/drawing/2014/main" id="{00000000-0008-0000-0000-0000F6010000}"/>
            </a:ext>
          </a:extLst>
        </xdr:cNvPr>
        <xdr:cNvSpPr txBox="1"/>
      </xdr:nvSpPr>
      <xdr:spPr>
        <a:xfrm>
          <a:off x="1258062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994" name="TextBox 993">
          <a:extLst>
            <a:ext uri="{FF2B5EF4-FFF2-40B4-BE49-F238E27FC236}">
              <a16:creationId xmlns:a16="http://schemas.microsoft.com/office/drawing/2014/main" id="{00000000-0008-0000-0000-0000F7010000}"/>
            </a:ext>
          </a:extLst>
        </xdr:cNvPr>
        <xdr:cNvSpPr txBox="1"/>
      </xdr:nvSpPr>
      <xdr:spPr>
        <a:xfrm>
          <a:off x="1258062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995" name="TextBox 994">
          <a:extLst>
            <a:ext uri="{FF2B5EF4-FFF2-40B4-BE49-F238E27FC236}">
              <a16:creationId xmlns:a16="http://schemas.microsoft.com/office/drawing/2014/main" id="{00000000-0008-0000-0000-0000F8010000}"/>
            </a:ext>
          </a:extLst>
        </xdr:cNvPr>
        <xdr:cNvSpPr txBox="1"/>
      </xdr:nvSpPr>
      <xdr:spPr>
        <a:xfrm>
          <a:off x="1258062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996" name="TextBox 995">
          <a:extLst>
            <a:ext uri="{FF2B5EF4-FFF2-40B4-BE49-F238E27FC236}">
              <a16:creationId xmlns:a16="http://schemas.microsoft.com/office/drawing/2014/main" id="{00000000-0008-0000-0000-0000F9010000}"/>
            </a:ext>
          </a:extLst>
        </xdr:cNvPr>
        <xdr:cNvSpPr txBox="1"/>
      </xdr:nvSpPr>
      <xdr:spPr>
        <a:xfrm>
          <a:off x="1258062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997" name="TextBox 996">
          <a:extLst>
            <a:ext uri="{FF2B5EF4-FFF2-40B4-BE49-F238E27FC236}">
              <a16:creationId xmlns:a16="http://schemas.microsoft.com/office/drawing/2014/main" id="{D790F7C5-4FB4-4169-AECB-29A162C3B4E0}"/>
            </a:ext>
          </a:extLst>
        </xdr:cNvPr>
        <xdr:cNvSpPr txBox="1"/>
      </xdr:nvSpPr>
      <xdr:spPr>
        <a:xfrm>
          <a:off x="12580620" y="334822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998" name="TextBox 997">
          <a:extLst>
            <a:ext uri="{FF2B5EF4-FFF2-40B4-BE49-F238E27FC236}">
              <a16:creationId xmlns:a16="http://schemas.microsoft.com/office/drawing/2014/main" id="{4B3266CB-1924-4B0B-A63A-F668BBA86148}"/>
            </a:ext>
          </a:extLst>
        </xdr:cNvPr>
        <xdr:cNvSpPr txBox="1"/>
      </xdr:nvSpPr>
      <xdr:spPr>
        <a:xfrm>
          <a:off x="12580620" y="334822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999" name="TextBox 998">
          <a:extLst>
            <a:ext uri="{FF2B5EF4-FFF2-40B4-BE49-F238E27FC236}">
              <a16:creationId xmlns:a16="http://schemas.microsoft.com/office/drawing/2014/main" id="{CBC7410D-7C3A-41C0-B6C7-F75F0212AE33}"/>
            </a:ext>
          </a:extLst>
        </xdr:cNvPr>
        <xdr:cNvSpPr txBox="1"/>
      </xdr:nvSpPr>
      <xdr:spPr>
        <a:xfrm>
          <a:off x="12580620" y="334822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1000" name="TextBox 999">
          <a:extLst>
            <a:ext uri="{FF2B5EF4-FFF2-40B4-BE49-F238E27FC236}">
              <a16:creationId xmlns:a16="http://schemas.microsoft.com/office/drawing/2014/main" id="{50BBF757-870F-4C5F-8A6D-BB01D20FB785}"/>
            </a:ext>
          </a:extLst>
        </xdr:cNvPr>
        <xdr:cNvSpPr txBox="1"/>
      </xdr:nvSpPr>
      <xdr:spPr>
        <a:xfrm>
          <a:off x="12580620" y="334822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1001" name="TextBox 1000">
          <a:extLst>
            <a:ext uri="{FF2B5EF4-FFF2-40B4-BE49-F238E27FC236}">
              <a16:creationId xmlns:a16="http://schemas.microsoft.com/office/drawing/2014/main" id="{924A6A0B-67A0-4D39-98DD-B4890EA7059F}"/>
            </a:ext>
          </a:extLst>
        </xdr:cNvPr>
        <xdr:cNvSpPr txBox="1"/>
      </xdr:nvSpPr>
      <xdr:spPr>
        <a:xfrm>
          <a:off x="12580620" y="334822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1002" name="TextBox 1001">
          <a:extLst>
            <a:ext uri="{FF2B5EF4-FFF2-40B4-BE49-F238E27FC236}">
              <a16:creationId xmlns:a16="http://schemas.microsoft.com/office/drawing/2014/main" id="{418D698A-7CAD-4873-9383-980E4B117409}"/>
            </a:ext>
          </a:extLst>
        </xdr:cNvPr>
        <xdr:cNvSpPr txBox="1"/>
      </xdr:nvSpPr>
      <xdr:spPr>
        <a:xfrm>
          <a:off x="12580620" y="334822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1003" name="TextBox 1002">
          <a:extLst>
            <a:ext uri="{FF2B5EF4-FFF2-40B4-BE49-F238E27FC236}">
              <a16:creationId xmlns:a16="http://schemas.microsoft.com/office/drawing/2014/main" id="{D4576B78-2AC7-4FA0-B5A6-410991F126C0}"/>
            </a:ext>
          </a:extLst>
        </xdr:cNvPr>
        <xdr:cNvSpPr txBox="1"/>
      </xdr:nvSpPr>
      <xdr:spPr>
        <a:xfrm>
          <a:off x="12580620" y="334822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1004" name="TextBox 1003">
          <a:extLst>
            <a:ext uri="{FF2B5EF4-FFF2-40B4-BE49-F238E27FC236}">
              <a16:creationId xmlns:a16="http://schemas.microsoft.com/office/drawing/2014/main" id="{3F70C200-9F35-47B9-A6A0-8BD020BFA9F5}"/>
            </a:ext>
          </a:extLst>
        </xdr:cNvPr>
        <xdr:cNvSpPr txBox="1"/>
      </xdr:nvSpPr>
      <xdr:spPr>
        <a:xfrm>
          <a:off x="12580620" y="334822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1005" name="TextBox 1004">
          <a:extLst>
            <a:ext uri="{FF2B5EF4-FFF2-40B4-BE49-F238E27FC236}">
              <a16:creationId xmlns:a16="http://schemas.microsoft.com/office/drawing/2014/main" id="{B21B1052-165D-406E-ACA9-FA2B1238ADAA}"/>
            </a:ext>
          </a:extLst>
        </xdr:cNvPr>
        <xdr:cNvSpPr txBox="1"/>
      </xdr:nvSpPr>
      <xdr:spPr>
        <a:xfrm>
          <a:off x="12580620" y="334822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1006" name="TextBox 1005">
          <a:extLst>
            <a:ext uri="{FF2B5EF4-FFF2-40B4-BE49-F238E27FC236}">
              <a16:creationId xmlns:a16="http://schemas.microsoft.com/office/drawing/2014/main" id="{65417AB6-2889-49DD-9AEF-7149F5D9B7B2}"/>
            </a:ext>
          </a:extLst>
        </xdr:cNvPr>
        <xdr:cNvSpPr txBox="1"/>
      </xdr:nvSpPr>
      <xdr:spPr>
        <a:xfrm>
          <a:off x="12580620" y="334822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1007" name="TextBox 1006">
          <a:extLst>
            <a:ext uri="{FF2B5EF4-FFF2-40B4-BE49-F238E27FC236}">
              <a16:creationId xmlns:a16="http://schemas.microsoft.com/office/drawing/2014/main" id="{7BF692BA-8340-4141-BC82-F9CF78D79873}"/>
            </a:ext>
          </a:extLst>
        </xdr:cNvPr>
        <xdr:cNvSpPr txBox="1"/>
      </xdr:nvSpPr>
      <xdr:spPr>
        <a:xfrm>
          <a:off x="12580620" y="334822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1008" name="TextBox 1007">
          <a:extLst>
            <a:ext uri="{FF2B5EF4-FFF2-40B4-BE49-F238E27FC236}">
              <a16:creationId xmlns:a16="http://schemas.microsoft.com/office/drawing/2014/main" id="{79127C80-C540-411B-B139-200EBBA5DA66}"/>
            </a:ext>
          </a:extLst>
        </xdr:cNvPr>
        <xdr:cNvSpPr txBox="1"/>
      </xdr:nvSpPr>
      <xdr:spPr>
        <a:xfrm>
          <a:off x="12580620" y="334822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1009" name="TextBox 1008">
          <a:extLst>
            <a:ext uri="{FF2B5EF4-FFF2-40B4-BE49-F238E27FC236}">
              <a16:creationId xmlns:a16="http://schemas.microsoft.com/office/drawing/2014/main" id="{B67D3F3D-F87A-4ACF-91FC-9A53D5A2D4D3}"/>
            </a:ext>
          </a:extLst>
        </xdr:cNvPr>
        <xdr:cNvSpPr txBox="1"/>
      </xdr:nvSpPr>
      <xdr:spPr>
        <a:xfrm>
          <a:off x="12580620" y="334822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1010" name="TextBox 1009">
          <a:extLst>
            <a:ext uri="{FF2B5EF4-FFF2-40B4-BE49-F238E27FC236}">
              <a16:creationId xmlns:a16="http://schemas.microsoft.com/office/drawing/2014/main" id="{58EC8DC8-71FC-42BE-93DA-79FE716E2108}"/>
            </a:ext>
          </a:extLst>
        </xdr:cNvPr>
        <xdr:cNvSpPr txBox="1"/>
      </xdr:nvSpPr>
      <xdr:spPr>
        <a:xfrm>
          <a:off x="12580620" y="334822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1011" name="TextBox 1010">
          <a:extLst>
            <a:ext uri="{FF2B5EF4-FFF2-40B4-BE49-F238E27FC236}">
              <a16:creationId xmlns:a16="http://schemas.microsoft.com/office/drawing/2014/main" id="{7B7B12E6-3D6A-411C-8750-B2D904ED71B9}"/>
            </a:ext>
          </a:extLst>
        </xdr:cNvPr>
        <xdr:cNvSpPr txBox="1"/>
      </xdr:nvSpPr>
      <xdr:spPr>
        <a:xfrm>
          <a:off x="1258062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1012" name="TextBox 1011">
          <a:extLst>
            <a:ext uri="{FF2B5EF4-FFF2-40B4-BE49-F238E27FC236}">
              <a16:creationId xmlns:a16="http://schemas.microsoft.com/office/drawing/2014/main" id="{F482887C-F492-4307-823C-4E10D7821CC6}"/>
            </a:ext>
          </a:extLst>
        </xdr:cNvPr>
        <xdr:cNvSpPr txBox="1"/>
      </xdr:nvSpPr>
      <xdr:spPr>
        <a:xfrm>
          <a:off x="1258062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1013" name="TextBox 1012">
          <a:extLst>
            <a:ext uri="{FF2B5EF4-FFF2-40B4-BE49-F238E27FC236}">
              <a16:creationId xmlns:a16="http://schemas.microsoft.com/office/drawing/2014/main" id="{0949CA64-0CC0-4B53-A59D-24AD43506153}"/>
            </a:ext>
          </a:extLst>
        </xdr:cNvPr>
        <xdr:cNvSpPr txBox="1"/>
      </xdr:nvSpPr>
      <xdr:spPr>
        <a:xfrm>
          <a:off x="1258062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1014" name="TextBox 1013">
          <a:extLst>
            <a:ext uri="{FF2B5EF4-FFF2-40B4-BE49-F238E27FC236}">
              <a16:creationId xmlns:a16="http://schemas.microsoft.com/office/drawing/2014/main" id="{AF47DE7E-DEEE-4D8F-BEA0-B678FC4108A0}"/>
            </a:ext>
          </a:extLst>
        </xdr:cNvPr>
        <xdr:cNvSpPr txBox="1"/>
      </xdr:nvSpPr>
      <xdr:spPr>
        <a:xfrm>
          <a:off x="1258062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1015" name="TextBox 1014">
          <a:extLst>
            <a:ext uri="{FF2B5EF4-FFF2-40B4-BE49-F238E27FC236}">
              <a16:creationId xmlns:a16="http://schemas.microsoft.com/office/drawing/2014/main" id="{50B7B56B-3E53-478E-BD2A-1CB44BB0EE30}"/>
            </a:ext>
          </a:extLst>
        </xdr:cNvPr>
        <xdr:cNvSpPr txBox="1"/>
      </xdr:nvSpPr>
      <xdr:spPr>
        <a:xfrm>
          <a:off x="1258062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1016" name="TextBox 1015">
          <a:extLst>
            <a:ext uri="{FF2B5EF4-FFF2-40B4-BE49-F238E27FC236}">
              <a16:creationId xmlns:a16="http://schemas.microsoft.com/office/drawing/2014/main" id="{9A76D97E-F211-4995-A860-8787CD5178FF}"/>
            </a:ext>
          </a:extLst>
        </xdr:cNvPr>
        <xdr:cNvSpPr txBox="1"/>
      </xdr:nvSpPr>
      <xdr:spPr>
        <a:xfrm>
          <a:off x="1258062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1017" name="TextBox 1016">
          <a:extLst>
            <a:ext uri="{FF2B5EF4-FFF2-40B4-BE49-F238E27FC236}">
              <a16:creationId xmlns:a16="http://schemas.microsoft.com/office/drawing/2014/main" id="{9FC70A70-D526-4203-8E11-372D840B6103}"/>
            </a:ext>
          </a:extLst>
        </xdr:cNvPr>
        <xdr:cNvSpPr txBox="1"/>
      </xdr:nvSpPr>
      <xdr:spPr>
        <a:xfrm>
          <a:off x="1258062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1018" name="TextBox 1017">
          <a:extLst>
            <a:ext uri="{FF2B5EF4-FFF2-40B4-BE49-F238E27FC236}">
              <a16:creationId xmlns:a16="http://schemas.microsoft.com/office/drawing/2014/main" id="{4F6B1A49-C9DC-473C-8ECD-E788E907B701}"/>
            </a:ext>
          </a:extLst>
        </xdr:cNvPr>
        <xdr:cNvSpPr txBox="1"/>
      </xdr:nvSpPr>
      <xdr:spPr>
        <a:xfrm>
          <a:off x="1258062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1019" name="TextBox 1018">
          <a:extLst>
            <a:ext uri="{FF2B5EF4-FFF2-40B4-BE49-F238E27FC236}">
              <a16:creationId xmlns:a16="http://schemas.microsoft.com/office/drawing/2014/main" id="{7249EAE9-2088-4834-9241-A764E60A6F18}"/>
            </a:ext>
          </a:extLst>
        </xdr:cNvPr>
        <xdr:cNvSpPr txBox="1"/>
      </xdr:nvSpPr>
      <xdr:spPr>
        <a:xfrm>
          <a:off x="1258062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1020" name="TextBox 1019">
          <a:extLst>
            <a:ext uri="{FF2B5EF4-FFF2-40B4-BE49-F238E27FC236}">
              <a16:creationId xmlns:a16="http://schemas.microsoft.com/office/drawing/2014/main" id="{CEEDDCB2-23A2-47B2-AA3F-37312ED4C714}"/>
            </a:ext>
          </a:extLst>
        </xdr:cNvPr>
        <xdr:cNvSpPr txBox="1"/>
      </xdr:nvSpPr>
      <xdr:spPr>
        <a:xfrm>
          <a:off x="1258062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1021" name="TextBox 1020">
          <a:extLst>
            <a:ext uri="{FF2B5EF4-FFF2-40B4-BE49-F238E27FC236}">
              <a16:creationId xmlns:a16="http://schemas.microsoft.com/office/drawing/2014/main" id="{C53CCEBA-D398-4C3C-8E47-107C27B759C1}"/>
            </a:ext>
          </a:extLst>
        </xdr:cNvPr>
        <xdr:cNvSpPr txBox="1"/>
      </xdr:nvSpPr>
      <xdr:spPr>
        <a:xfrm>
          <a:off x="1258062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1022" name="TextBox 1021">
          <a:extLst>
            <a:ext uri="{FF2B5EF4-FFF2-40B4-BE49-F238E27FC236}">
              <a16:creationId xmlns:a16="http://schemas.microsoft.com/office/drawing/2014/main" id="{C8C855ED-970E-43B8-A5B1-6F6ADBB998A9}"/>
            </a:ext>
          </a:extLst>
        </xdr:cNvPr>
        <xdr:cNvSpPr txBox="1"/>
      </xdr:nvSpPr>
      <xdr:spPr>
        <a:xfrm>
          <a:off x="1258062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1023" name="TextBox 1022">
          <a:extLst>
            <a:ext uri="{FF2B5EF4-FFF2-40B4-BE49-F238E27FC236}">
              <a16:creationId xmlns:a16="http://schemas.microsoft.com/office/drawing/2014/main" id="{E705C099-0DDB-4CBB-91AA-6BD578E38D4C}"/>
            </a:ext>
          </a:extLst>
        </xdr:cNvPr>
        <xdr:cNvSpPr txBox="1"/>
      </xdr:nvSpPr>
      <xdr:spPr>
        <a:xfrm>
          <a:off x="1258062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1024" name="TextBox 1023">
          <a:extLst>
            <a:ext uri="{FF2B5EF4-FFF2-40B4-BE49-F238E27FC236}">
              <a16:creationId xmlns:a16="http://schemas.microsoft.com/office/drawing/2014/main" id="{ADA9DEB9-F0D8-4AB1-B42C-8371D735EDB0}"/>
            </a:ext>
          </a:extLst>
        </xdr:cNvPr>
        <xdr:cNvSpPr txBox="1"/>
      </xdr:nvSpPr>
      <xdr:spPr>
        <a:xfrm>
          <a:off x="1258062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1025" name="TextBox 1024">
          <a:extLst>
            <a:ext uri="{FF2B5EF4-FFF2-40B4-BE49-F238E27FC236}">
              <a16:creationId xmlns:a16="http://schemas.microsoft.com/office/drawing/2014/main" id="{709CBE26-A551-4C7C-A384-D56B48045E68}"/>
            </a:ext>
          </a:extLst>
        </xdr:cNvPr>
        <xdr:cNvSpPr txBox="1"/>
      </xdr:nvSpPr>
      <xdr:spPr>
        <a:xfrm>
          <a:off x="1258062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1026" name="TextBox 1025">
          <a:extLst>
            <a:ext uri="{FF2B5EF4-FFF2-40B4-BE49-F238E27FC236}">
              <a16:creationId xmlns:a16="http://schemas.microsoft.com/office/drawing/2014/main" id="{FCF004D5-83CC-4601-BE3C-2D350D291279}"/>
            </a:ext>
          </a:extLst>
        </xdr:cNvPr>
        <xdr:cNvSpPr txBox="1"/>
      </xdr:nvSpPr>
      <xdr:spPr>
        <a:xfrm>
          <a:off x="1258062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1027" name="TextBox 1026">
          <a:extLst>
            <a:ext uri="{FF2B5EF4-FFF2-40B4-BE49-F238E27FC236}">
              <a16:creationId xmlns:a16="http://schemas.microsoft.com/office/drawing/2014/main" id="{27CE9EF6-2DFA-4778-9205-D83560524403}"/>
            </a:ext>
          </a:extLst>
        </xdr:cNvPr>
        <xdr:cNvSpPr txBox="1"/>
      </xdr:nvSpPr>
      <xdr:spPr>
        <a:xfrm>
          <a:off x="1258062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1028" name="TextBox 1027">
          <a:extLst>
            <a:ext uri="{FF2B5EF4-FFF2-40B4-BE49-F238E27FC236}">
              <a16:creationId xmlns:a16="http://schemas.microsoft.com/office/drawing/2014/main" id="{AEF2C205-301C-4560-BC83-375E974BCEAF}"/>
            </a:ext>
          </a:extLst>
        </xdr:cNvPr>
        <xdr:cNvSpPr txBox="1"/>
      </xdr:nvSpPr>
      <xdr:spPr>
        <a:xfrm>
          <a:off x="1258062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1029" name="TextBox 1028">
          <a:extLst>
            <a:ext uri="{FF2B5EF4-FFF2-40B4-BE49-F238E27FC236}">
              <a16:creationId xmlns:a16="http://schemas.microsoft.com/office/drawing/2014/main" id="{3DCCF9ED-9B1F-4DC7-B839-6E3EB677417B}"/>
            </a:ext>
          </a:extLst>
        </xdr:cNvPr>
        <xdr:cNvSpPr txBox="1"/>
      </xdr:nvSpPr>
      <xdr:spPr>
        <a:xfrm>
          <a:off x="1258062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1030" name="TextBox 1029">
          <a:extLst>
            <a:ext uri="{FF2B5EF4-FFF2-40B4-BE49-F238E27FC236}">
              <a16:creationId xmlns:a16="http://schemas.microsoft.com/office/drawing/2014/main" id="{3D9466B2-EB98-463C-88EA-A326C523B5D8}"/>
            </a:ext>
          </a:extLst>
        </xdr:cNvPr>
        <xdr:cNvSpPr txBox="1"/>
      </xdr:nvSpPr>
      <xdr:spPr>
        <a:xfrm>
          <a:off x="1258062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1031" name="TextBox 1030">
          <a:extLst>
            <a:ext uri="{FF2B5EF4-FFF2-40B4-BE49-F238E27FC236}">
              <a16:creationId xmlns:a16="http://schemas.microsoft.com/office/drawing/2014/main" id="{0F2E4FBC-6F9D-49D8-B320-D21C3287204C}"/>
            </a:ext>
          </a:extLst>
        </xdr:cNvPr>
        <xdr:cNvSpPr txBox="1"/>
      </xdr:nvSpPr>
      <xdr:spPr>
        <a:xfrm>
          <a:off x="1258062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1032" name="TextBox 1031">
          <a:extLst>
            <a:ext uri="{FF2B5EF4-FFF2-40B4-BE49-F238E27FC236}">
              <a16:creationId xmlns:a16="http://schemas.microsoft.com/office/drawing/2014/main" id="{9EE8A67A-FC51-41CC-B6A6-507074A0155B}"/>
            </a:ext>
          </a:extLst>
        </xdr:cNvPr>
        <xdr:cNvSpPr txBox="1"/>
      </xdr:nvSpPr>
      <xdr:spPr>
        <a:xfrm>
          <a:off x="1258062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1033" name="TextBox 1032">
          <a:extLst>
            <a:ext uri="{FF2B5EF4-FFF2-40B4-BE49-F238E27FC236}">
              <a16:creationId xmlns:a16="http://schemas.microsoft.com/office/drawing/2014/main" id="{E3EE1ED8-1246-4E13-86A2-D686D3F3CFAC}"/>
            </a:ext>
          </a:extLst>
        </xdr:cNvPr>
        <xdr:cNvSpPr txBox="1"/>
      </xdr:nvSpPr>
      <xdr:spPr>
        <a:xfrm>
          <a:off x="1258062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1034" name="TextBox 1033">
          <a:extLst>
            <a:ext uri="{FF2B5EF4-FFF2-40B4-BE49-F238E27FC236}">
              <a16:creationId xmlns:a16="http://schemas.microsoft.com/office/drawing/2014/main" id="{112F0F0B-ABFD-4DDD-BCB9-10FEAFDB5AD9}"/>
            </a:ext>
          </a:extLst>
        </xdr:cNvPr>
        <xdr:cNvSpPr txBox="1"/>
      </xdr:nvSpPr>
      <xdr:spPr>
        <a:xfrm>
          <a:off x="1258062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1035" name="TextBox 1034">
          <a:extLst>
            <a:ext uri="{FF2B5EF4-FFF2-40B4-BE49-F238E27FC236}">
              <a16:creationId xmlns:a16="http://schemas.microsoft.com/office/drawing/2014/main" id="{12EDF718-BDAC-48A4-BBFB-24DCD5C1D4FC}"/>
            </a:ext>
          </a:extLst>
        </xdr:cNvPr>
        <xdr:cNvSpPr txBox="1"/>
      </xdr:nvSpPr>
      <xdr:spPr>
        <a:xfrm>
          <a:off x="1258062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1036" name="TextBox 1035">
          <a:extLst>
            <a:ext uri="{FF2B5EF4-FFF2-40B4-BE49-F238E27FC236}">
              <a16:creationId xmlns:a16="http://schemas.microsoft.com/office/drawing/2014/main" id="{B3B85458-8D8F-4F12-B7C0-DC92B39A1F35}"/>
            </a:ext>
          </a:extLst>
        </xdr:cNvPr>
        <xdr:cNvSpPr txBox="1"/>
      </xdr:nvSpPr>
      <xdr:spPr>
        <a:xfrm>
          <a:off x="1258062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1037" name="TextBox 1036">
          <a:extLst>
            <a:ext uri="{FF2B5EF4-FFF2-40B4-BE49-F238E27FC236}">
              <a16:creationId xmlns:a16="http://schemas.microsoft.com/office/drawing/2014/main" id="{BF066412-0AC2-4C2B-9E92-DFE86D6A185E}"/>
            </a:ext>
          </a:extLst>
        </xdr:cNvPr>
        <xdr:cNvSpPr txBox="1"/>
      </xdr:nvSpPr>
      <xdr:spPr>
        <a:xfrm>
          <a:off x="1258062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1038" name="TextBox 1037">
          <a:extLst>
            <a:ext uri="{FF2B5EF4-FFF2-40B4-BE49-F238E27FC236}">
              <a16:creationId xmlns:a16="http://schemas.microsoft.com/office/drawing/2014/main" id="{F84E80ED-F217-41BA-9FA6-C1DBC25F3A17}"/>
            </a:ext>
          </a:extLst>
        </xdr:cNvPr>
        <xdr:cNvSpPr txBox="1"/>
      </xdr:nvSpPr>
      <xdr:spPr>
        <a:xfrm>
          <a:off x="1258062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1039" name="TextBox 1038">
          <a:extLst>
            <a:ext uri="{FF2B5EF4-FFF2-40B4-BE49-F238E27FC236}">
              <a16:creationId xmlns:a16="http://schemas.microsoft.com/office/drawing/2014/main" id="{3C382DA0-3B16-41EA-A4C3-F0294E849D64}"/>
            </a:ext>
          </a:extLst>
        </xdr:cNvPr>
        <xdr:cNvSpPr txBox="1"/>
      </xdr:nvSpPr>
      <xdr:spPr>
        <a:xfrm>
          <a:off x="826770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1040" name="TextBox 1039">
          <a:extLst>
            <a:ext uri="{FF2B5EF4-FFF2-40B4-BE49-F238E27FC236}">
              <a16:creationId xmlns:a16="http://schemas.microsoft.com/office/drawing/2014/main" id="{BD9C7CBD-CBB6-4FCD-99C9-50F7AA79373D}"/>
            </a:ext>
          </a:extLst>
        </xdr:cNvPr>
        <xdr:cNvSpPr txBox="1"/>
      </xdr:nvSpPr>
      <xdr:spPr>
        <a:xfrm>
          <a:off x="826770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1041" name="TextBox 1040">
          <a:extLst>
            <a:ext uri="{FF2B5EF4-FFF2-40B4-BE49-F238E27FC236}">
              <a16:creationId xmlns:a16="http://schemas.microsoft.com/office/drawing/2014/main" id="{8BB1ED4C-16A8-478A-86C0-5203F18D91C6}"/>
            </a:ext>
          </a:extLst>
        </xdr:cNvPr>
        <xdr:cNvSpPr txBox="1"/>
      </xdr:nvSpPr>
      <xdr:spPr>
        <a:xfrm>
          <a:off x="826770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1042" name="TextBox 1041">
          <a:extLst>
            <a:ext uri="{FF2B5EF4-FFF2-40B4-BE49-F238E27FC236}">
              <a16:creationId xmlns:a16="http://schemas.microsoft.com/office/drawing/2014/main" id="{0091D645-A26B-466F-B352-25C3FB39D6F1}"/>
            </a:ext>
          </a:extLst>
        </xdr:cNvPr>
        <xdr:cNvSpPr txBox="1"/>
      </xdr:nvSpPr>
      <xdr:spPr>
        <a:xfrm>
          <a:off x="826770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1043" name="TextBox 1042">
          <a:extLst>
            <a:ext uri="{FF2B5EF4-FFF2-40B4-BE49-F238E27FC236}">
              <a16:creationId xmlns:a16="http://schemas.microsoft.com/office/drawing/2014/main" id="{35EF0C43-E328-462B-AF19-6E1DCE23D6A4}"/>
            </a:ext>
          </a:extLst>
        </xdr:cNvPr>
        <xdr:cNvSpPr txBox="1"/>
      </xdr:nvSpPr>
      <xdr:spPr>
        <a:xfrm>
          <a:off x="826770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1044" name="TextBox 1043">
          <a:extLst>
            <a:ext uri="{FF2B5EF4-FFF2-40B4-BE49-F238E27FC236}">
              <a16:creationId xmlns:a16="http://schemas.microsoft.com/office/drawing/2014/main" id="{5C728BC9-EF9C-4834-85EB-89B8DA8B60FA}"/>
            </a:ext>
          </a:extLst>
        </xdr:cNvPr>
        <xdr:cNvSpPr txBox="1"/>
      </xdr:nvSpPr>
      <xdr:spPr>
        <a:xfrm>
          <a:off x="826770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1045" name="TextBox 1044">
          <a:extLst>
            <a:ext uri="{FF2B5EF4-FFF2-40B4-BE49-F238E27FC236}">
              <a16:creationId xmlns:a16="http://schemas.microsoft.com/office/drawing/2014/main" id="{79B0426E-FC29-4C02-A446-18A8617AD030}"/>
            </a:ext>
          </a:extLst>
        </xdr:cNvPr>
        <xdr:cNvSpPr txBox="1"/>
      </xdr:nvSpPr>
      <xdr:spPr>
        <a:xfrm>
          <a:off x="826770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1046" name="TextBox 1045">
          <a:extLst>
            <a:ext uri="{FF2B5EF4-FFF2-40B4-BE49-F238E27FC236}">
              <a16:creationId xmlns:a16="http://schemas.microsoft.com/office/drawing/2014/main" id="{33FA89B9-E063-4E24-A294-250746A07989}"/>
            </a:ext>
          </a:extLst>
        </xdr:cNvPr>
        <xdr:cNvSpPr txBox="1"/>
      </xdr:nvSpPr>
      <xdr:spPr>
        <a:xfrm>
          <a:off x="826770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1047" name="TextBox 1046">
          <a:extLst>
            <a:ext uri="{FF2B5EF4-FFF2-40B4-BE49-F238E27FC236}">
              <a16:creationId xmlns:a16="http://schemas.microsoft.com/office/drawing/2014/main" id="{2AF33786-6F2B-4820-BF34-97EB9446272D}"/>
            </a:ext>
          </a:extLst>
        </xdr:cNvPr>
        <xdr:cNvSpPr txBox="1"/>
      </xdr:nvSpPr>
      <xdr:spPr>
        <a:xfrm>
          <a:off x="826770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1048" name="TextBox 1047">
          <a:extLst>
            <a:ext uri="{FF2B5EF4-FFF2-40B4-BE49-F238E27FC236}">
              <a16:creationId xmlns:a16="http://schemas.microsoft.com/office/drawing/2014/main" id="{074AF2E0-FEDD-4259-BC34-F834F8835ABA}"/>
            </a:ext>
          </a:extLst>
        </xdr:cNvPr>
        <xdr:cNvSpPr txBox="1"/>
      </xdr:nvSpPr>
      <xdr:spPr>
        <a:xfrm>
          <a:off x="826770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1049" name="TextBox 1048">
          <a:extLst>
            <a:ext uri="{FF2B5EF4-FFF2-40B4-BE49-F238E27FC236}">
              <a16:creationId xmlns:a16="http://schemas.microsoft.com/office/drawing/2014/main" id="{E32CFB6A-0BC3-4882-BA93-3663F1478B4B}"/>
            </a:ext>
          </a:extLst>
        </xdr:cNvPr>
        <xdr:cNvSpPr txBox="1"/>
      </xdr:nvSpPr>
      <xdr:spPr>
        <a:xfrm>
          <a:off x="826770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1050" name="TextBox 1049">
          <a:extLst>
            <a:ext uri="{FF2B5EF4-FFF2-40B4-BE49-F238E27FC236}">
              <a16:creationId xmlns:a16="http://schemas.microsoft.com/office/drawing/2014/main" id="{232C319A-A05C-4E4C-B70F-53CD62844786}"/>
            </a:ext>
          </a:extLst>
        </xdr:cNvPr>
        <xdr:cNvSpPr txBox="1"/>
      </xdr:nvSpPr>
      <xdr:spPr>
        <a:xfrm>
          <a:off x="826770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1051" name="TextBox 1050">
          <a:extLst>
            <a:ext uri="{FF2B5EF4-FFF2-40B4-BE49-F238E27FC236}">
              <a16:creationId xmlns:a16="http://schemas.microsoft.com/office/drawing/2014/main" id="{E7B4BF10-06BE-40D4-B8CD-1D183900F7FC}"/>
            </a:ext>
          </a:extLst>
        </xdr:cNvPr>
        <xdr:cNvSpPr txBox="1"/>
      </xdr:nvSpPr>
      <xdr:spPr>
        <a:xfrm>
          <a:off x="826770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1052" name="TextBox 1051">
          <a:extLst>
            <a:ext uri="{FF2B5EF4-FFF2-40B4-BE49-F238E27FC236}">
              <a16:creationId xmlns:a16="http://schemas.microsoft.com/office/drawing/2014/main" id="{5A18EA2C-8FCD-4B09-9628-684BB05FC0EE}"/>
            </a:ext>
          </a:extLst>
        </xdr:cNvPr>
        <xdr:cNvSpPr txBox="1"/>
      </xdr:nvSpPr>
      <xdr:spPr>
        <a:xfrm>
          <a:off x="826770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1053" name="TextBox 1052">
          <a:extLst>
            <a:ext uri="{FF2B5EF4-FFF2-40B4-BE49-F238E27FC236}">
              <a16:creationId xmlns:a16="http://schemas.microsoft.com/office/drawing/2014/main" id="{9BE79D93-0007-4C2D-B888-2DDD6E273D3D}"/>
            </a:ext>
          </a:extLst>
        </xdr:cNvPr>
        <xdr:cNvSpPr txBox="1"/>
      </xdr:nvSpPr>
      <xdr:spPr>
        <a:xfrm>
          <a:off x="826770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1054" name="TextBox 1053">
          <a:extLst>
            <a:ext uri="{FF2B5EF4-FFF2-40B4-BE49-F238E27FC236}">
              <a16:creationId xmlns:a16="http://schemas.microsoft.com/office/drawing/2014/main" id="{FA01E607-FE1D-4CE4-A5EC-9631927111DD}"/>
            </a:ext>
          </a:extLst>
        </xdr:cNvPr>
        <xdr:cNvSpPr txBox="1"/>
      </xdr:nvSpPr>
      <xdr:spPr>
        <a:xfrm>
          <a:off x="826770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1055" name="TextBox 1054">
          <a:extLst>
            <a:ext uri="{FF2B5EF4-FFF2-40B4-BE49-F238E27FC236}">
              <a16:creationId xmlns:a16="http://schemas.microsoft.com/office/drawing/2014/main" id="{9F570716-4475-4577-B30E-E3D3A48F407D}"/>
            </a:ext>
          </a:extLst>
        </xdr:cNvPr>
        <xdr:cNvSpPr txBox="1"/>
      </xdr:nvSpPr>
      <xdr:spPr>
        <a:xfrm>
          <a:off x="826770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1056" name="TextBox 1055">
          <a:extLst>
            <a:ext uri="{FF2B5EF4-FFF2-40B4-BE49-F238E27FC236}">
              <a16:creationId xmlns:a16="http://schemas.microsoft.com/office/drawing/2014/main" id="{98B6C11F-B14A-4E61-87BD-AFDB290E2A2C}"/>
            </a:ext>
          </a:extLst>
        </xdr:cNvPr>
        <xdr:cNvSpPr txBox="1"/>
      </xdr:nvSpPr>
      <xdr:spPr>
        <a:xfrm>
          <a:off x="826770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1057" name="TextBox 1056">
          <a:extLst>
            <a:ext uri="{FF2B5EF4-FFF2-40B4-BE49-F238E27FC236}">
              <a16:creationId xmlns:a16="http://schemas.microsoft.com/office/drawing/2014/main" id="{3B7AE155-01C5-4D7E-BACB-762DF86AD275}"/>
            </a:ext>
          </a:extLst>
        </xdr:cNvPr>
        <xdr:cNvSpPr txBox="1"/>
      </xdr:nvSpPr>
      <xdr:spPr>
        <a:xfrm>
          <a:off x="826770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1058" name="TextBox 1057">
          <a:extLst>
            <a:ext uri="{FF2B5EF4-FFF2-40B4-BE49-F238E27FC236}">
              <a16:creationId xmlns:a16="http://schemas.microsoft.com/office/drawing/2014/main" id="{1FFE576E-A19D-4D62-9ADD-5266CE1FAD63}"/>
            </a:ext>
          </a:extLst>
        </xdr:cNvPr>
        <xdr:cNvSpPr txBox="1"/>
      </xdr:nvSpPr>
      <xdr:spPr>
        <a:xfrm>
          <a:off x="826770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1059" name="TextBox 1058">
          <a:extLst>
            <a:ext uri="{FF2B5EF4-FFF2-40B4-BE49-F238E27FC236}">
              <a16:creationId xmlns:a16="http://schemas.microsoft.com/office/drawing/2014/main" id="{129DB351-0B99-4004-8BB2-43783478180E}"/>
            </a:ext>
          </a:extLst>
        </xdr:cNvPr>
        <xdr:cNvSpPr txBox="1"/>
      </xdr:nvSpPr>
      <xdr:spPr>
        <a:xfrm>
          <a:off x="826770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1060" name="TextBox 1059">
          <a:extLst>
            <a:ext uri="{FF2B5EF4-FFF2-40B4-BE49-F238E27FC236}">
              <a16:creationId xmlns:a16="http://schemas.microsoft.com/office/drawing/2014/main" id="{4F59AF9B-FC6D-4EB3-B6DE-7607CF46335F}"/>
            </a:ext>
          </a:extLst>
        </xdr:cNvPr>
        <xdr:cNvSpPr txBox="1"/>
      </xdr:nvSpPr>
      <xdr:spPr>
        <a:xfrm>
          <a:off x="826770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1061" name="TextBox 1060">
          <a:extLst>
            <a:ext uri="{FF2B5EF4-FFF2-40B4-BE49-F238E27FC236}">
              <a16:creationId xmlns:a16="http://schemas.microsoft.com/office/drawing/2014/main" id="{176B7034-9AD5-4253-A295-A872DA9D9FB7}"/>
            </a:ext>
          </a:extLst>
        </xdr:cNvPr>
        <xdr:cNvSpPr txBox="1"/>
      </xdr:nvSpPr>
      <xdr:spPr>
        <a:xfrm>
          <a:off x="826770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1062" name="TextBox 1061">
          <a:extLst>
            <a:ext uri="{FF2B5EF4-FFF2-40B4-BE49-F238E27FC236}">
              <a16:creationId xmlns:a16="http://schemas.microsoft.com/office/drawing/2014/main" id="{B1A6011D-893C-4B98-921B-AA87FF1EA0F5}"/>
            </a:ext>
          </a:extLst>
        </xdr:cNvPr>
        <xdr:cNvSpPr txBox="1"/>
      </xdr:nvSpPr>
      <xdr:spPr>
        <a:xfrm>
          <a:off x="826770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1063" name="TextBox 1062">
          <a:extLst>
            <a:ext uri="{FF2B5EF4-FFF2-40B4-BE49-F238E27FC236}">
              <a16:creationId xmlns:a16="http://schemas.microsoft.com/office/drawing/2014/main" id="{C96DDC89-4333-4809-93AD-B3B389EDBD7C}"/>
            </a:ext>
          </a:extLst>
        </xdr:cNvPr>
        <xdr:cNvSpPr txBox="1"/>
      </xdr:nvSpPr>
      <xdr:spPr>
        <a:xfrm>
          <a:off x="826770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1064" name="TextBox 1063">
          <a:extLst>
            <a:ext uri="{FF2B5EF4-FFF2-40B4-BE49-F238E27FC236}">
              <a16:creationId xmlns:a16="http://schemas.microsoft.com/office/drawing/2014/main" id="{E35AF2B5-B026-4EE1-87A0-829741757F6E}"/>
            </a:ext>
          </a:extLst>
        </xdr:cNvPr>
        <xdr:cNvSpPr txBox="1"/>
      </xdr:nvSpPr>
      <xdr:spPr>
        <a:xfrm>
          <a:off x="826770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1065" name="TextBox 1064">
          <a:extLst>
            <a:ext uri="{FF2B5EF4-FFF2-40B4-BE49-F238E27FC236}">
              <a16:creationId xmlns:a16="http://schemas.microsoft.com/office/drawing/2014/main" id="{55A8B43E-7885-4685-A6E4-CBFFACA9E24D}"/>
            </a:ext>
          </a:extLst>
        </xdr:cNvPr>
        <xdr:cNvSpPr txBox="1"/>
      </xdr:nvSpPr>
      <xdr:spPr>
        <a:xfrm>
          <a:off x="826770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1066" name="TextBox 1065">
          <a:extLst>
            <a:ext uri="{FF2B5EF4-FFF2-40B4-BE49-F238E27FC236}">
              <a16:creationId xmlns:a16="http://schemas.microsoft.com/office/drawing/2014/main" id="{7D20861C-376D-4D6E-B29E-125D65F0087F}"/>
            </a:ext>
          </a:extLst>
        </xdr:cNvPr>
        <xdr:cNvSpPr txBox="1"/>
      </xdr:nvSpPr>
      <xdr:spPr>
        <a:xfrm>
          <a:off x="826770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1067" name="TextBox 1066">
          <a:extLst>
            <a:ext uri="{FF2B5EF4-FFF2-40B4-BE49-F238E27FC236}">
              <a16:creationId xmlns:a16="http://schemas.microsoft.com/office/drawing/2014/main" id="{5A7EBEED-7B32-4932-B601-4E52DAD91BA9}"/>
            </a:ext>
          </a:extLst>
        </xdr:cNvPr>
        <xdr:cNvSpPr txBox="1"/>
      </xdr:nvSpPr>
      <xdr:spPr>
        <a:xfrm>
          <a:off x="826770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1068" name="TextBox 1067">
          <a:extLst>
            <a:ext uri="{FF2B5EF4-FFF2-40B4-BE49-F238E27FC236}">
              <a16:creationId xmlns:a16="http://schemas.microsoft.com/office/drawing/2014/main" id="{C7F843F5-8D70-4866-AF80-3CE04DCE90DD}"/>
            </a:ext>
          </a:extLst>
        </xdr:cNvPr>
        <xdr:cNvSpPr txBox="1"/>
      </xdr:nvSpPr>
      <xdr:spPr>
        <a:xfrm>
          <a:off x="826770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1069" name="TextBox 1068">
          <a:extLst>
            <a:ext uri="{FF2B5EF4-FFF2-40B4-BE49-F238E27FC236}">
              <a16:creationId xmlns:a16="http://schemas.microsoft.com/office/drawing/2014/main" id="{32E86947-C5E7-4035-B050-931C9A2F6A6B}"/>
            </a:ext>
          </a:extLst>
        </xdr:cNvPr>
        <xdr:cNvSpPr txBox="1"/>
      </xdr:nvSpPr>
      <xdr:spPr>
        <a:xfrm>
          <a:off x="826770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1070" name="TextBox 1069">
          <a:extLst>
            <a:ext uri="{FF2B5EF4-FFF2-40B4-BE49-F238E27FC236}">
              <a16:creationId xmlns:a16="http://schemas.microsoft.com/office/drawing/2014/main" id="{3DD4913D-DAE8-44B1-B80F-58E6238A88A0}"/>
            </a:ext>
          </a:extLst>
        </xdr:cNvPr>
        <xdr:cNvSpPr txBox="1"/>
      </xdr:nvSpPr>
      <xdr:spPr>
        <a:xfrm>
          <a:off x="826770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1071" name="TextBox 1070">
          <a:extLst>
            <a:ext uri="{FF2B5EF4-FFF2-40B4-BE49-F238E27FC236}">
              <a16:creationId xmlns:a16="http://schemas.microsoft.com/office/drawing/2014/main" id="{8AD5AE77-1A30-472F-BB8C-9B14AEAF4F03}"/>
            </a:ext>
          </a:extLst>
        </xdr:cNvPr>
        <xdr:cNvSpPr txBox="1"/>
      </xdr:nvSpPr>
      <xdr:spPr>
        <a:xfrm>
          <a:off x="826770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1072" name="TextBox 1071">
          <a:extLst>
            <a:ext uri="{FF2B5EF4-FFF2-40B4-BE49-F238E27FC236}">
              <a16:creationId xmlns:a16="http://schemas.microsoft.com/office/drawing/2014/main" id="{DC4AD2B7-7D46-439E-85D2-C8DC05D9B56A}"/>
            </a:ext>
          </a:extLst>
        </xdr:cNvPr>
        <xdr:cNvSpPr txBox="1"/>
      </xdr:nvSpPr>
      <xdr:spPr>
        <a:xfrm>
          <a:off x="826770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1073" name="TextBox 1072">
          <a:extLst>
            <a:ext uri="{FF2B5EF4-FFF2-40B4-BE49-F238E27FC236}">
              <a16:creationId xmlns:a16="http://schemas.microsoft.com/office/drawing/2014/main" id="{E3BA048B-044B-484B-B030-99B3D45036C8}"/>
            </a:ext>
          </a:extLst>
        </xdr:cNvPr>
        <xdr:cNvSpPr txBox="1"/>
      </xdr:nvSpPr>
      <xdr:spPr>
        <a:xfrm>
          <a:off x="826770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1074" name="TextBox 1073">
          <a:extLst>
            <a:ext uri="{FF2B5EF4-FFF2-40B4-BE49-F238E27FC236}">
              <a16:creationId xmlns:a16="http://schemas.microsoft.com/office/drawing/2014/main" id="{FB74539F-F3E6-448C-8660-B891F62E5BC5}"/>
            </a:ext>
          </a:extLst>
        </xdr:cNvPr>
        <xdr:cNvSpPr txBox="1"/>
      </xdr:nvSpPr>
      <xdr:spPr>
        <a:xfrm>
          <a:off x="826770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1075" name="TextBox 1074">
          <a:extLst>
            <a:ext uri="{FF2B5EF4-FFF2-40B4-BE49-F238E27FC236}">
              <a16:creationId xmlns:a16="http://schemas.microsoft.com/office/drawing/2014/main" id="{DD77E41D-DD3F-4DA0-B5BA-C98589822B11}"/>
            </a:ext>
          </a:extLst>
        </xdr:cNvPr>
        <xdr:cNvSpPr txBox="1"/>
      </xdr:nvSpPr>
      <xdr:spPr>
        <a:xfrm>
          <a:off x="826770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1076" name="TextBox 1075">
          <a:extLst>
            <a:ext uri="{FF2B5EF4-FFF2-40B4-BE49-F238E27FC236}">
              <a16:creationId xmlns:a16="http://schemas.microsoft.com/office/drawing/2014/main" id="{A13635F1-5ACB-48BE-A16F-D9529607C046}"/>
            </a:ext>
          </a:extLst>
        </xdr:cNvPr>
        <xdr:cNvSpPr txBox="1"/>
      </xdr:nvSpPr>
      <xdr:spPr>
        <a:xfrm>
          <a:off x="826770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1077" name="TextBox 1076">
          <a:extLst>
            <a:ext uri="{FF2B5EF4-FFF2-40B4-BE49-F238E27FC236}">
              <a16:creationId xmlns:a16="http://schemas.microsoft.com/office/drawing/2014/main" id="{F707F3AF-0F0B-4E04-82AE-E4E43C12C5CA}"/>
            </a:ext>
          </a:extLst>
        </xdr:cNvPr>
        <xdr:cNvSpPr txBox="1"/>
      </xdr:nvSpPr>
      <xdr:spPr>
        <a:xfrm>
          <a:off x="826770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1078" name="TextBox 1077">
          <a:extLst>
            <a:ext uri="{FF2B5EF4-FFF2-40B4-BE49-F238E27FC236}">
              <a16:creationId xmlns:a16="http://schemas.microsoft.com/office/drawing/2014/main" id="{6E98DD5A-05AD-45C2-8D4B-6605140437E5}"/>
            </a:ext>
          </a:extLst>
        </xdr:cNvPr>
        <xdr:cNvSpPr txBox="1"/>
      </xdr:nvSpPr>
      <xdr:spPr>
        <a:xfrm>
          <a:off x="826770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1079" name="TextBox 1078">
          <a:extLst>
            <a:ext uri="{FF2B5EF4-FFF2-40B4-BE49-F238E27FC236}">
              <a16:creationId xmlns:a16="http://schemas.microsoft.com/office/drawing/2014/main" id="{7A5BAB34-791F-4DBE-89CC-7D5BC7B4041F}"/>
            </a:ext>
          </a:extLst>
        </xdr:cNvPr>
        <xdr:cNvSpPr txBox="1"/>
      </xdr:nvSpPr>
      <xdr:spPr>
        <a:xfrm>
          <a:off x="826770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1080" name="TextBox 1079">
          <a:extLst>
            <a:ext uri="{FF2B5EF4-FFF2-40B4-BE49-F238E27FC236}">
              <a16:creationId xmlns:a16="http://schemas.microsoft.com/office/drawing/2014/main" id="{C5EDE199-723F-4E4A-B41D-0124D54E8EDD}"/>
            </a:ext>
          </a:extLst>
        </xdr:cNvPr>
        <xdr:cNvSpPr txBox="1"/>
      </xdr:nvSpPr>
      <xdr:spPr>
        <a:xfrm>
          <a:off x="826770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1081" name="TextBox 1080">
          <a:extLst>
            <a:ext uri="{FF2B5EF4-FFF2-40B4-BE49-F238E27FC236}">
              <a16:creationId xmlns:a16="http://schemas.microsoft.com/office/drawing/2014/main" id="{DF667CC1-E548-4F78-87CD-AABC8253902E}"/>
            </a:ext>
          </a:extLst>
        </xdr:cNvPr>
        <xdr:cNvSpPr txBox="1"/>
      </xdr:nvSpPr>
      <xdr:spPr>
        <a:xfrm>
          <a:off x="826770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1082" name="TextBox 1081">
          <a:extLst>
            <a:ext uri="{FF2B5EF4-FFF2-40B4-BE49-F238E27FC236}">
              <a16:creationId xmlns:a16="http://schemas.microsoft.com/office/drawing/2014/main" id="{52FC385F-C64A-44E5-BDF9-DD30307D58ED}"/>
            </a:ext>
          </a:extLst>
        </xdr:cNvPr>
        <xdr:cNvSpPr txBox="1"/>
      </xdr:nvSpPr>
      <xdr:spPr>
        <a:xfrm>
          <a:off x="826770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1083" name="TextBox 1082">
          <a:extLst>
            <a:ext uri="{FF2B5EF4-FFF2-40B4-BE49-F238E27FC236}">
              <a16:creationId xmlns:a16="http://schemas.microsoft.com/office/drawing/2014/main" id="{4B74537D-86DE-47B1-9465-6CCA1ECC873D}"/>
            </a:ext>
          </a:extLst>
        </xdr:cNvPr>
        <xdr:cNvSpPr txBox="1"/>
      </xdr:nvSpPr>
      <xdr:spPr>
        <a:xfrm>
          <a:off x="826770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1084" name="TextBox 1083">
          <a:extLst>
            <a:ext uri="{FF2B5EF4-FFF2-40B4-BE49-F238E27FC236}">
              <a16:creationId xmlns:a16="http://schemas.microsoft.com/office/drawing/2014/main" id="{E22DF65F-3524-481A-AB80-45F39BE31766}"/>
            </a:ext>
          </a:extLst>
        </xdr:cNvPr>
        <xdr:cNvSpPr txBox="1"/>
      </xdr:nvSpPr>
      <xdr:spPr>
        <a:xfrm>
          <a:off x="826770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1085" name="TextBox 1084">
          <a:extLst>
            <a:ext uri="{FF2B5EF4-FFF2-40B4-BE49-F238E27FC236}">
              <a16:creationId xmlns:a16="http://schemas.microsoft.com/office/drawing/2014/main" id="{8AB51B9B-83E5-4B01-93EA-6A7F75417473}"/>
            </a:ext>
          </a:extLst>
        </xdr:cNvPr>
        <xdr:cNvSpPr txBox="1"/>
      </xdr:nvSpPr>
      <xdr:spPr>
        <a:xfrm>
          <a:off x="826770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1086" name="TextBox 1085">
          <a:extLst>
            <a:ext uri="{FF2B5EF4-FFF2-40B4-BE49-F238E27FC236}">
              <a16:creationId xmlns:a16="http://schemas.microsoft.com/office/drawing/2014/main" id="{D7DA0530-2A98-419F-8477-5B64F625A955}"/>
            </a:ext>
          </a:extLst>
        </xdr:cNvPr>
        <xdr:cNvSpPr txBox="1"/>
      </xdr:nvSpPr>
      <xdr:spPr>
        <a:xfrm>
          <a:off x="826770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1087" name="TextBox 1086">
          <a:extLst>
            <a:ext uri="{FF2B5EF4-FFF2-40B4-BE49-F238E27FC236}">
              <a16:creationId xmlns:a16="http://schemas.microsoft.com/office/drawing/2014/main" id="{22F1AE7F-F70F-49B2-AEB7-2F87A84BD459}"/>
            </a:ext>
          </a:extLst>
        </xdr:cNvPr>
        <xdr:cNvSpPr txBox="1"/>
      </xdr:nvSpPr>
      <xdr:spPr>
        <a:xfrm>
          <a:off x="826770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1088" name="TextBox 1087">
          <a:extLst>
            <a:ext uri="{FF2B5EF4-FFF2-40B4-BE49-F238E27FC236}">
              <a16:creationId xmlns:a16="http://schemas.microsoft.com/office/drawing/2014/main" id="{8B40DB25-9FA1-4BEF-A699-64CF3C1922DD}"/>
            </a:ext>
          </a:extLst>
        </xdr:cNvPr>
        <xdr:cNvSpPr txBox="1"/>
      </xdr:nvSpPr>
      <xdr:spPr>
        <a:xfrm>
          <a:off x="826770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1089" name="TextBox 1088">
          <a:extLst>
            <a:ext uri="{FF2B5EF4-FFF2-40B4-BE49-F238E27FC236}">
              <a16:creationId xmlns:a16="http://schemas.microsoft.com/office/drawing/2014/main" id="{7DDEB44B-E38E-4A0A-8A35-270134AFDDE6}"/>
            </a:ext>
          </a:extLst>
        </xdr:cNvPr>
        <xdr:cNvSpPr txBox="1"/>
      </xdr:nvSpPr>
      <xdr:spPr>
        <a:xfrm>
          <a:off x="826770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1090" name="TextBox 1089">
          <a:extLst>
            <a:ext uri="{FF2B5EF4-FFF2-40B4-BE49-F238E27FC236}">
              <a16:creationId xmlns:a16="http://schemas.microsoft.com/office/drawing/2014/main" id="{66DF986A-B839-4C01-BF56-5D22831A5687}"/>
            </a:ext>
          </a:extLst>
        </xdr:cNvPr>
        <xdr:cNvSpPr txBox="1"/>
      </xdr:nvSpPr>
      <xdr:spPr>
        <a:xfrm>
          <a:off x="826770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1091" name="TextBox 1090">
          <a:extLst>
            <a:ext uri="{FF2B5EF4-FFF2-40B4-BE49-F238E27FC236}">
              <a16:creationId xmlns:a16="http://schemas.microsoft.com/office/drawing/2014/main" id="{1E93FD29-9733-4C3E-AAB3-B0E87315C7F0}"/>
            </a:ext>
          </a:extLst>
        </xdr:cNvPr>
        <xdr:cNvSpPr txBox="1"/>
      </xdr:nvSpPr>
      <xdr:spPr>
        <a:xfrm>
          <a:off x="826770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1092" name="TextBox 1091">
          <a:extLst>
            <a:ext uri="{FF2B5EF4-FFF2-40B4-BE49-F238E27FC236}">
              <a16:creationId xmlns:a16="http://schemas.microsoft.com/office/drawing/2014/main" id="{5C822E83-0AC2-4526-8B1B-AC4A43E63804}"/>
            </a:ext>
          </a:extLst>
        </xdr:cNvPr>
        <xdr:cNvSpPr txBox="1"/>
      </xdr:nvSpPr>
      <xdr:spPr>
        <a:xfrm>
          <a:off x="826770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1093" name="TextBox 1092">
          <a:extLst>
            <a:ext uri="{FF2B5EF4-FFF2-40B4-BE49-F238E27FC236}">
              <a16:creationId xmlns:a16="http://schemas.microsoft.com/office/drawing/2014/main" id="{C15187AA-9C9E-4DF9-AD29-8AA87162E83A}"/>
            </a:ext>
          </a:extLst>
        </xdr:cNvPr>
        <xdr:cNvSpPr txBox="1"/>
      </xdr:nvSpPr>
      <xdr:spPr>
        <a:xfrm>
          <a:off x="826770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1094" name="TextBox 1093">
          <a:extLst>
            <a:ext uri="{FF2B5EF4-FFF2-40B4-BE49-F238E27FC236}">
              <a16:creationId xmlns:a16="http://schemas.microsoft.com/office/drawing/2014/main" id="{16344785-5D1F-41C4-8510-064DC3F7A7CC}"/>
            </a:ext>
          </a:extLst>
        </xdr:cNvPr>
        <xdr:cNvSpPr txBox="1"/>
      </xdr:nvSpPr>
      <xdr:spPr>
        <a:xfrm>
          <a:off x="826770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1095" name="TextBox 1094">
          <a:extLst>
            <a:ext uri="{FF2B5EF4-FFF2-40B4-BE49-F238E27FC236}">
              <a16:creationId xmlns:a16="http://schemas.microsoft.com/office/drawing/2014/main" id="{4F936D3A-FDA7-4846-9579-1D6FA4875A4D}"/>
            </a:ext>
          </a:extLst>
        </xdr:cNvPr>
        <xdr:cNvSpPr txBox="1"/>
      </xdr:nvSpPr>
      <xdr:spPr>
        <a:xfrm>
          <a:off x="1258062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1096" name="TextBox 1095">
          <a:extLst>
            <a:ext uri="{FF2B5EF4-FFF2-40B4-BE49-F238E27FC236}">
              <a16:creationId xmlns:a16="http://schemas.microsoft.com/office/drawing/2014/main" id="{8777000A-B245-45AD-BC1C-A25A032C01AF}"/>
            </a:ext>
          </a:extLst>
        </xdr:cNvPr>
        <xdr:cNvSpPr txBox="1"/>
      </xdr:nvSpPr>
      <xdr:spPr>
        <a:xfrm>
          <a:off x="1258062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1097" name="TextBox 1096">
          <a:extLst>
            <a:ext uri="{FF2B5EF4-FFF2-40B4-BE49-F238E27FC236}">
              <a16:creationId xmlns:a16="http://schemas.microsoft.com/office/drawing/2014/main" id="{EA2ABE06-5897-46BD-B53C-EE15AF1308A4}"/>
            </a:ext>
          </a:extLst>
        </xdr:cNvPr>
        <xdr:cNvSpPr txBox="1"/>
      </xdr:nvSpPr>
      <xdr:spPr>
        <a:xfrm>
          <a:off x="1258062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1098" name="TextBox 1097">
          <a:extLst>
            <a:ext uri="{FF2B5EF4-FFF2-40B4-BE49-F238E27FC236}">
              <a16:creationId xmlns:a16="http://schemas.microsoft.com/office/drawing/2014/main" id="{235FF3EA-3105-42B5-B8CA-693AAD7664E5}"/>
            </a:ext>
          </a:extLst>
        </xdr:cNvPr>
        <xdr:cNvSpPr txBox="1"/>
      </xdr:nvSpPr>
      <xdr:spPr>
        <a:xfrm>
          <a:off x="1258062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1099" name="TextBox 1098">
          <a:extLst>
            <a:ext uri="{FF2B5EF4-FFF2-40B4-BE49-F238E27FC236}">
              <a16:creationId xmlns:a16="http://schemas.microsoft.com/office/drawing/2014/main" id="{97B4552B-C38D-4ACE-ACE6-4EBBB067850E}"/>
            </a:ext>
          </a:extLst>
        </xdr:cNvPr>
        <xdr:cNvSpPr txBox="1"/>
      </xdr:nvSpPr>
      <xdr:spPr>
        <a:xfrm>
          <a:off x="1258062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1100" name="TextBox 1099">
          <a:extLst>
            <a:ext uri="{FF2B5EF4-FFF2-40B4-BE49-F238E27FC236}">
              <a16:creationId xmlns:a16="http://schemas.microsoft.com/office/drawing/2014/main" id="{7CF1BAD8-B6B0-4A7F-976A-8CA530477EFF}"/>
            </a:ext>
          </a:extLst>
        </xdr:cNvPr>
        <xdr:cNvSpPr txBox="1"/>
      </xdr:nvSpPr>
      <xdr:spPr>
        <a:xfrm>
          <a:off x="1258062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1101" name="TextBox 1100">
          <a:extLst>
            <a:ext uri="{FF2B5EF4-FFF2-40B4-BE49-F238E27FC236}">
              <a16:creationId xmlns:a16="http://schemas.microsoft.com/office/drawing/2014/main" id="{AFEE82A1-E95B-4321-8FD6-478E8862D914}"/>
            </a:ext>
          </a:extLst>
        </xdr:cNvPr>
        <xdr:cNvSpPr txBox="1"/>
      </xdr:nvSpPr>
      <xdr:spPr>
        <a:xfrm>
          <a:off x="1258062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1102" name="TextBox 1101">
          <a:extLst>
            <a:ext uri="{FF2B5EF4-FFF2-40B4-BE49-F238E27FC236}">
              <a16:creationId xmlns:a16="http://schemas.microsoft.com/office/drawing/2014/main" id="{37958B62-4D9C-443F-BF05-18BF1BE3E526}"/>
            </a:ext>
          </a:extLst>
        </xdr:cNvPr>
        <xdr:cNvSpPr txBox="1"/>
      </xdr:nvSpPr>
      <xdr:spPr>
        <a:xfrm>
          <a:off x="1258062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1103" name="TextBox 1102">
          <a:extLst>
            <a:ext uri="{FF2B5EF4-FFF2-40B4-BE49-F238E27FC236}">
              <a16:creationId xmlns:a16="http://schemas.microsoft.com/office/drawing/2014/main" id="{37A572A1-A9F2-4AEC-BE08-ED1730A399A7}"/>
            </a:ext>
          </a:extLst>
        </xdr:cNvPr>
        <xdr:cNvSpPr txBox="1"/>
      </xdr:nvSpPr>
      <xdr:spPr>
        <a:xfrm>
          <a:off x="1258062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1104" name="TextBox 1103">
          <a:extLst>
            <a:ext uri="{FF2B5EF4-FFF2-40B4-BE49-F238E27FC236}">
              <a16:creationId xmlns:a16="http://schemas.microsoft.com/office/drawing/2014/main" id="{E4CFCC5B-4A4C-4E13-9060-CFD05DB9AEE2}"/>
            </a:ext>
          </a:extLst>
        </xdr:cNvPr>
        <xdr:cNvSpPr txBox="1"/>
      </xdr:nvSpPr>
      <xdr:spPr>
        <a:xfrm>
          <a:off x="1258062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1105" name="TextBox 1104">
          <a:extLst>
            <a:ext uri="{FF2B5EF4-FFF2-40B4-BE49-F238E27FC236}">
              <a16:creationId xmlns:a16="http://schemas.microsoft.com/office/drawing/2014/main" id="{425C4BF7-1B61-4129-ABC4-11444FBC9E15}"/>
            </a:ext>
          </a:extLst>
        </xdr:cNvPr>
        <xdr:cNvSpPr txBox="1"/>
      </xdr:nvSpPr>
      <xdr:spPr>
        <a:xfrm>
          <a:off x="1258062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1106" name="TextBox 1105">
          <a:extLst>
            <a:ext uri="{FF2B5EF4-FFF2-40B4-BE49-F238E27FC236}">
              <a16:creationId xmlns:a16="http://schemas.microsoft.com/office/drawing/2014/main" id="{DFE9A253-7D7E-49B6-BFD7-BBB6DBD9D178}"/>
            </a:ext>
          </a:extLst>
        </xdr:cNvPr>
        <xdr:cNvSpPr txBox="1"/>
      </xdr:nvSpPr>
      <xdr:spPr>
        <a:xfrm>
          <a:off x="1258062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1107" name="TextBox 1106">
          <a:extLst>
            <a:ext uri="{FF2B5EF4-FFF2-40B4-BE49-F238E27FC236}">
              <a16:creationId xmlns:a16="http://schemas.microsoft.com/office/drawing/2014/main" id="{730D252D-0D67-46C3-B34E-E9E827F908B1}"/>
            </a:ext>
          </a:extLst>
        </xdr:cNvPr>
        <xdr:cNvSpPr txBox="1"/>
      </xdr:nvSpPr>
      <xdr:spPr>
        <a:xfrm>
          <a:off x="1258062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1108" name="TextBox 1107">
          <a:extLst>
            <a:ext uri="{FF2B5EF4-FFF2-40B4-BE49-F238E27FC236}">
              <a16:creationId xmlns:a16="http://schemas.microsoft.com/office/drawing/2014/main" id="{9990EFFD-9F4F-4F06-8600-2B0BCD63518F}"/>
            </a:ext>
          </a:extLst>
        </xdr:cNvPr>
        <xdr:cNvSpPr txBox="1"/>
      </xdr:nvSpPr>
      <xdr:spPr>
        <a:xfrm>
          <a:off x="12580620" y="3368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1109" name="TextBox 1108">
          <a:extLst>
            <a:ext uri="{FF2B5EF4-FFF2-40B4-BE49-F238E27FC236}">
              <a16:creationId xmlns:a16="http://schemas.microsoft.com/office/drawing/2014/main" id="{814422C6-F7F1-4FB0-A3FC-65FE1F6BDD9A}"/>
            </a:ext>
          </a:extLst>
        </xdr:cNvPr>
        <xdr:cNvSpPr txBox="1"/>
      </xdr:nvSpPr>
      <xdr:spPr>
        <a:xfrm>
          <a:off x="1258062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1110" name="TextBox 1109">
          <a:extLst>
            <a:ext uri="{FF2B5EF4-FFF2-40B4-BE49-F238E27FC236}">
              <a16:creationId xmlns:a16="http://schemas.microsoft.com/office/drawing/2014/main" id="{94B73C01-56EA-471C-BCF9-D2D34733244F}"/>
            </a:ext>
          </a:extLst>
        </xdr:cNvPr>
        <xdr:cNvSpPr txBox="1"/>
      </xdr:nvSpPr>
      <xdr:spPr>
        <a:xfrm>
          <a:off x="1258062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1111" name="TextBox 1110">
          <a:extLst>
            <a:ext uri="{FF2B5EF4-FFF2-40B4-BE49-F238E27FC236}">
              <a16:creationId xmlns:a16="http://schemas.microsoft.com/office/drawing/2014/main" id="{7B216F16-976C-4499-85FA-0C2F04A21698}"/>
            </a:ext>
          </a:extLst>
        </xdr:cNvPr>
        <xdr:cNvSpPr txBox="1"/>
      </xdr:nvSpPr>
      <xdr:spPr>
        <a:xfrm>
          <a:off x="1258062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1112" name="TextBox 1111">
          <a:extLst>
            <a:ext uri="{FF2B5EF4-FFF2-40B4-BE49-F238E27FC236}">
              <a16:creationId xmlns:a16="http://schemas.microsoft.com/office/drawing/2014/main" id="{43F889EE-0ADB-4A55-A927-A233DD6DED85}"/>
            </a:ext>
          </a:extLst>
        </xdr:cNvPr>
        <xdr:cNvSpPr txBox="1"/>
      </xdr:nvSpPr>
      <xdr:spPr>
        <a:xfrm>
          <a:off x="1258062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1113" name="TextBox 1112">
          <a:extLst>
            <a:ext uri="{FF2B5EF4-FFF2-40B4-BE49-F238E27FC236}">
              <a16:creationId xmlns:a16="http://schemas.microsoft.com/office/drawing/2014/main" id="{C2E5D2F2-C3D3-4076-9C23-6385C6170403}"/>
            </a:ext>
          </a:extLst>
        </xdr:cNvPr>
        <xdr:cNvSpPr txBox="1"/>
      </xdr:nvSpPr>
      <xdr:spPr>
        <a:xfrm>
          <a:off x="1258062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1114" name="TextBox 1113">
          <a:extLst>
            <a:ext uri="{FF2B5EF4-FFF2-40B4-BE49-F238E27FC236}">
              <a16:creationId xmlns:a16="http://schemas.microsoft.com/office/drawing/2014/main" id="{0CC0DEC7-C3AF-42EA-94EC-D350CBC31A99}"/>
            </a:ext>
          </a:extLst>
        </xdr:cNvPr>
        <xdr:cNvSpPr txBox="1"/>
      </xdr:nvSpPr>
      <xdr:spPr>
        <a:xfrm>
          <a:off x="1258062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1115" name="TextBox 1114">
          <a:extLst>
            <a:ext uri="{FF2B5EF4-FFF2-40B4-BE49-F238E27FC236}">
              <a16:creationId xmlns:a16="http://schemas.microsoft.com/office/drawing/2014/main" id="{0E9B8ACD-B1D8-4CC2-8F2B-ECCD4EEDCDD3}"/>
            </a:ext>
          </a:extLst>
        </xdr:cNvPr>
        <xdr:cNvSpPr txBox="1"/>
      </xdr:nvSpPr>
      <xdr:spPr>
        <a:xfrm>
          <a:off x="1258062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1116" name="TextBox 1115">
          <a:extLst>
            <a:ext uri="{FF2B5EF4-FFF2-40B4-BE49-F238E27FC236}">
              <a16:creationId xmlns:a16="http://schemas.microsoft.com/office/drawing/2014/main" id="{6AAA95AE-55AC-41D4-94A1-E9CA12E9F664}"/>
            </a:ext>
          </a:extLst>
        </xdr:cNvPr>
        <xdr:cNvSpPr txBox="1"/>
      </xdr:nvSpPr>
      <xdr:spPr>
        <a:xfrm>
          <a:off x="1258062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1117" name="TextBox 1116">
          <a:extLst>
            <a:ext uri="{FF2B5EF4-FFF2-40B4-BE49-F238E27FC236}">
              <a16:creationId xmlns:a16="http://schemas.microsoft.com/office/drawing/2014/main" id="{4C69E6E3-6117-4172-828A-23771510E437}"/>
            </a:ext>
          </a:extLst>
        </xdr:cNvPr>
        <xdr:cNvSpPr txBox="1"/>
      </xdr:nvSpPr>
      <xdr:spPr>
        <a:xfrm>
          <a:off x="1258062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1118" name="TextBox 1117">
          <a:extLst>
            <a:ext uri="{FF2B5EF4-FFF2-40B4-BE49-F238E27FC236}">
              <a16:creationId xmlns:a16="http://schemas.microsoft.com/office/drawing/2014/main" id="{80091CAE-A51D-45EF-8456-4D0E39313CEE}"/>
            </a:ext>
          </a:extLst>
        </xdr:cNvPr>
        <xdr:cNvSpPr txBox="1"/>
      </xdr:nvSpPr>
      <xdr:spPr>
        <a:xfrm>
          <a:off x="1258062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1119" name="TextBox 1118">
          <a:extLst>
            <a:ext uri="{FF2B5EF4-FFF2-40B4-BE49-F238E27FC236}">
              <a16:creationId xmlns:a16="http://schemas.microsoft.com/office/drawing/2014/main" id="{9DD43BA4-AF1C-4C57-B63D-37574DCECEF0}"/>
            </a:ext>
          </a:extLst>
        </xdr:cNvPr>
        <xdr:cNvSpPr txBox="1"/>
      </xdr:nvSpPr>
      <xdr:spPr>
        <a:xfrm>
          <a:off x="1258062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1120" name="TextBox 1119">
          <a:extLst>
            <a:ext uri="{FF2B5EF4-FFF2-40B4-BE49-F238E27FC236}">
              <a16:creationId xmlns:a16="http://schemas.microsoft.com/office/drawing/2014/main" id="{AC6DDDCC-2F8C-4254-9032-9069AAB9C043}"/>
            </a:ext>
          </a:extLst>
        </xdr:cNvPr>
        <xdr:cNvSpPr txBox="1"/>
      </xdr:nvSpPr>
      <xdr:spPr>
        <a:xfrm>
          <a:off x="1258062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1121" name="TextBox 1120">
          <a:extLst>
            <a:ext uri="{FF2B5EF4-FFF2-40B4-BE49-F238E27FC236}">
              <a16:creationId xmlns:a16="http://schemas.microsoft.com/office/drawing/2014/main" id="{9D7DF2F8-D5BB-4957-B3C9-B9719926E87E}"/>
            </a:ext>
          </a:extLst>
        </xdr:cNvPr>
        <xdr:cNvSpPr txBox="1"/>
      </xdr:nvSpPr>
      <xdr:spPr>
        <a:xfrm>
          <a:off x="1258062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1122" name="TextBox 1121">
          <a:extLst>
            <a:ext uri="{FF2B5EF4-FFF2-40B4-BE49-F238E27FC236}">
              <a16:creationId xmlns:a16="http://schemas.microsoft.com/office/drawing/2014/main" id="{885C5DC7-791F-42DF-A8BD-D97FC586EB33}"/>
            </a:ext>
          </a:extLst>
        </xdr:cNvPr>
        <xdr:cNvSpPr txBox="1"/>
      </xdr:nvSpPr>
      <xdr:spPr>
        <a:xfrm>
          <a:off x="12580620" y="338785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1123" name="TextBox 1122">
          <a:extLst>
            <a:ext uri="{FF2B5EF4-FFF2-40B4-BE49-F238E27FC236}">
              <a16:creationId xmlns:a16="http://schemas.microsoft.com/office/drawing/2014/main" id="{ECB0671C-2391-4309-AA2E-8A53AD8A8084}"/>
            </a:ext>
          </a:extLst>
        </xdr:cNvPr>
        <xdr:cNvSpPr txBox="1"/>
      </xdr:nvSpPr>
      <xdr:spPr>
        <a:xfrm>
          <a:off x="1258062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1124" name="TextBox 1123">
          <a:extLst>
            <a:ext uri="{FF2B5EF4-FFF2-40B4-BE49-F238E27FC236}">
              <a16:creationId xmlns:a16="http://schemas.microsoft.com/office/drawing/2014/main" id="{2BA66E58-2D0D-4F51-9847-F8E27C7ABD95}"/>
            </a:ext>
          </a:extLst>
        </xdr:cNvPr>
        <xdr:cNvSpPr txBox="1"/>
      </xdr:nvSpPr>
      <xdr:spPr>
        <a:xfrm>
          <a:off x="1258062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1125" name="TextBox 1124">
          <a:extLst>
            <a:ext uri="{FF2B5EF4-FFF2-40B4-BE49-F238E27FC236}">
              <a16:creationId xmlns:a16="http://schemas.microsoft.com/office/drawing/2014/main" id="{18920596-064C-460E-B316-496DB4E45844}"/>
            </a:ext>
          </a:extLst>
        </xdr:cNvPr>
        <xdr:cNvSpPr txBox="1"/>
      </xdr:nvSpPr>
      <xdr:spPr>
        <a:xfrm>
          <a:off x="1258062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1126" name="TextBox 1125">
          <a:extLst>
            <a:ext uri="{FF2B5EF4-FFF2-40B4-BE49-F238E27FC236}">
              <a16:creationId xmlns:a16="http://schemas.microsoft.com/office/drawing/2014/main" id="{F4D28A7F-48B2-4963-9A9A-62ACB40E05E2}"/>
            </a:ext>
          </a:extLst>
        </xdr:cNvPr>
        <xdr:cNvSpPr txBox="1"/>
      </xdr:nvSpPr>
      <xdr:spPr>
        <a:xfrm>
          <a:off x="1258062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1127" name="TextBox 1126">
          <a:extLst>
            <a:ext uri="{FF2B5EF4-FFF2-40B4-BE49-F238E27FC236}">
              <a16:creationId xmlns:a16="http://schemas.microsoft.com/office/drawing/2014/main" id="{172601BB-A273-48D3-8594-24B9080CE122}"/>
            </a:ext>
          </a:extLst>
        </xdr:cNvPr>
        <xdr:cNvSpPr txBox="1"/>
      </xdr:nvSpPr>
      <xdr:spPr>
        <a:xfrm>
          <a:off x="1258062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1128" name="TextBox 1127">
          <a:extLst>
            <a:ext uri="{FF2B5EF4-FFF2-40B4-BE49-F238E27FC236}">
              <a16:creationId xmlns:a16="http://schemas.microsoft.com/office/drawing/2014/main" id="{DCEB6B4C-AC98-453D-8FBD-D6ACAFC39AC3}"/>
            </a:ext>
          </a:extLst>
        </xdr:cNvPr>
        <xdr:cNvSpPr txBox="1"/>
      </xdr:nvSpPr>
      <xdr:spPr>
        <a:xfrm>
          <a:off x="1258062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1129" name="TextBox 1128">
          <a:extLst>
            <a:ext uri="{FF2B5EF4-FFF2-40B4-BE49-F238E27FC236}">
              <a16:creationId xmlns:a16="http://schemas.microsoft.com/office/drawing/2014/main" id="{5C17ED80-7961-4DC1-BB2A-9DE0F404EDC8}"/>
            </a:ext>
          </a:extLst>
        </xdr:cNvPr>
        <xdr:cNvSpPr txBox="1"/>
      </xdr:nvSpPr>
      <xdr:spPr>
        <a:xfrm>
          <a:off x="1258062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1130" name="TextBox 1129">
          <a:extLst>
            <a:ext uri="{FF2B5EF4-FFF2-40B4-BE49-F238E27FC236}">
              <a16:creationId xmlns:a16="http://schemas.microsoft.com/office/drawing/2014/main" id="{4C33F016-B4F3-4770-A984-CB3509151E10}"/>
            </a:ext>
          </a:extLst>
        </xdr:cNvPr>
        <xdr:cNvSpPr txBox="1"/>
      </xdr:nvSpPr>
      <xdr:spPr>
        <a:xfrm>
          <a:off x="1258062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1131" name="TextBox 1130">
          <a:extLst>
            <a:ext uri="{FF2B5EF4-FFF2-40B4-BE49-F238E27FC236}">
              <a16:creationId xmlns:a16="http://schemas.microsoft.com/office/drawing/2014/main" id="{EFF9D53C-A808-48B1-8B77-26200548DBEC}"/>
            </a:ext>
          </a:extLst>
        </xdr:cNvPr>
        <xdr:cNvSpPr txBox="1"/>
      </xdr:nvSpPr>
      <xdr:spPr>
        <a:xfrm>
          <a:off x="1258062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1132" name="TextBox 1131">
          <a:extLst>
            <a:ext uri="{FF2B5EF4-FFF2-40B4-BE49-F238E27FC236}">
              <a16:creationId xmlns:a16="http://schemas.microsoft.com/office/drawing/2014/main" id="{FA418557-798D-467D-A76C-EE7890605501}"/>
            </a:ext>
          </a:extLst>
        </xdr:cNvPr>
        <xdr:cNvSpPr txBox="1"/>
      </xdr:nvSpPr>
      <xdr:spPr>
        <a:xfrm>
          <a:off x="1258062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1133" name="TextBox 1132">
          <a:extLst>
            <a:ext uri="{FF2B5EF4-FFF2-40B4-BE49-F238E27FC236}">
              <a16:creationId xmlns:a16="http://schemas.microsoft.com/office/drawing/2014/main" id="{21D68521-84F2-4531-8046-00DBA48566ED}"/>
            </a:ext>
          </a:extLst>
        </xdr:cNvPr>
        <xdr:cNvSpPr txBox="1"/>
      </xdr:nvSpPr>
      <xdr:spPr>
        <a:xfrm>
          <a:off x="1258062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1134" name="TextBox 1133">
          <a:extLst>
            <a:ext uri="{FF2B5EF4-FFF2-40B4-BE49-F238E27FC236}">
              <a16:creationId xmlns:a16="http://schemas.microsoft.com/office/drawing/2014/main" id="{7E3702C8-4005-40F4-BBE4-677EE0EBC8C6}"/>
            </a:ext>
          </a:extLst>
        </xdr:cNvPr>
        <xdr:cNvSpPr txBox="1"/>
      </xdr:nvSpPr>
      <xdr:spPr>
        <a:xfrm>
          <a:off x="1258062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1135" name="TextBox 1134">
          <a:extLst>
            <a:ext uri="{FF2B5EF4-FFF2-40B4-BE49-F238E27FC236}">
              <a16:creationId xmlns:a16="http://schemas.microsoft.com/office/drawing/2014/main" id="{901C38A0-4573-45A4-AB5F-5E059FBD5A7F}"/>
            </a:ext>
          </a:extLst>
        </xdr:cNvPr>
        <xdr:cNvSpPr txBox="1"/>
      </xdr:nvSpPr>
      <xdr:spPr>
        <a:xfrm>
          <a:off x="1258062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1136" name="TextBox 1135">
          <a:extLst>
            <a:ext uri="{FF2B5EF4-FFF2-40B4-BE49-F238E27FC236}">
              <a16:creationId xmlns:a16="http://schemas.microsoft.com/office/drawing/2014/main" id="{7FBA9B72-EE01-4534-8518-8EA16BED9E21}"/>
            </a:ext>
          </a:extLst>
        </xdr:cNvPr>
        <xdr:cNvSpPr txBox="1"/>
      </xdr:nvSpPr>
      <xdr:spPr>
        <a:xfrm>
          <a:off x="12580620" y="340766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1137" name="TextBox 1136">
          <a:extLst>
            <a:ext uri="{FF2B5EF4-FFF2-40B4-BE49-F238E27FC236}">
              <a16:creationId xmlns:a16="http://schemas.microsoft.com/office/drawing/2014/main" id="{426DB5AA-6FC9-423D-9449-25C7957564C9}"/>
            </a:ext>
          </a:extLst>
        </xdr:cNvPr>
        <xdr:cNvSpPr txBox="1"/>
      </xdr:nvSpPr>
      <xdr:spPr>
        <a:xfrm>
          <a:off x="1258062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1138" name="TextBox 1137">
          <a:extLst>
            <a:ext uri="{FF2B5EF4-FFF2-40B4-BE49-F238E27FC236}">
              <a16:creationId xmlns:a16="http://schemas.microsoft.com/office/drawing/2014/main" id="{BC83585C-9C69-4536-8284-B8DAE2F523BE}"/>
            </a:ext>
          </a:extLst>
        </xdr:cNvPr>
        <xdr:cNvSpPr txBox="1"/>
      </xdr:nvSpPr>
      <xdr:spPr>
        <a:xfrm>
          <a:off x="1258062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1139" name="TextBox 1138">
          <a:extLst>
            <a:ext uri="{FF2B5EF4-FFF2-40B4-BE49-F238E27FC236}">
              <a16:creationId xmlns:a16="http://schemas.microsoft.com/office/drawing/2014/main" id="{B45223F6-D770-4D4E-AFD5-6343F2A04C94}"/>
            </a:ext>
          </a:extLst>
        </xdr:cNvPr>
        <xdr:cNvSpPr txBox="1"/>
      </xdr:nvSpPr>
      <xdr:spPr>
        <a:xfrm>
          <a:off x="1258062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1140" name="TextBox 1139">
          <a:extLst>
            <a:ext uri="{FF2B5EF4-FFF2-40B4-BE49-F238E27FC236}">
              <a16:creationId xmlns:a16="http://schemas.microsoft.com/office/drawing/2014/main" id="{34B374C8-857A-49A0-9D4C-7CAE2C2CB443}"/>
            </a:ext>
          </a:extLst>
        </xdr:cNvPr>
        <xdr:cNvSpPr txBox="1"/>
      </xdr:nvSpPr>
      <xdr:spPr>
        <a:xfrm>
          <a:off x="1258062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1141" name="TextBox 1140">
          <a:extLst>
            <a:ext uri="{FF2B5EF4-FFF2-40B4-BE49-F238E27FC236}">
              <a16:creationId xmlns:a16="http://schemas.microsoft.com/office/drawing/2014/main" id="{5EEC0772-7EA1-4458-AA65-02027BB8921F}"/>
            </a:ext>
          </a:extLst>
        </xdr:cNvPr>
        <xdr:cNvSpPr txBox="1"/>
      </xdr:nvSpPr>
      <xdr:spPr>
        <a:xfrm>
          <a:off x="1258062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1142" name="TextBox 1141">
          <a:extLst>
            <a:ext uri="{FF2B5EF4-FFF2-40B4-BE49-F238E27FC236}">
              <a16:creationId xmlns:a16="http://schemas.microsoft.com/office/drawing/2014/main" id="{5E3A13B2-FB15-40B6-97CA-49C539BFB70B}"/>
            </a:ext>
          </a:extLst>
        </xdr:cNvPr>
        <xdr:cNvSpPr txBox="1"/>
      </xdr:nvSpPr>
      <xdr:spPr>
        <a:xfrm>
          <a:off x="1258062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1143" name="TextBox 1142">
          <a:extLst>
            <a:ext uri="{FF2B5EF4-FFF2-40B4-BE49-F238E27FC236}">
              <a16:creationId xmlns:a16="http://schemas.microsoft.com/office/drawing/2014/main" id="{300407A3-C557-4019-9095-C2A56A5C7274}"/>
            </a:ext>
          </a:extLst>
        </xdr:cNvPr>
        <xdr:cNvSpPr txBox="1"/>
      </xdr:nvSpPr>
      <xdr:spPr>
        <a:xfrm>
          <a:off x="1258062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1144" name="TextBox 1143">
          <a:extLst>
            <a:ext uri="{FF2B5EF4-FFF2-40B4-BE49-F238E27FC236}">
              <a16:creationId xmlns:a16="http://schemas.microsoft.com/office/drawing/2014/main" id="{1F3D0B01-720C-4727-9D79-BB8336620EEA}"/>
            </a:ext>
          </a:extLst>
        </xdr:cNvPr>
        <xdr:cNvSpPr txBox="1"/>
      </xdr:nvSpPr>
      <xdr:spPr>
        <a:xfrm>
          <a:off x="1258062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1145" name="TextBox 1144">
          <a:extLst>
            <a:ext uri="{FF2B5EF4-FFF2-40B4-BE49-F238E27FC236}">
              <a16:creationId xmlns:a16="http://schemas.microsoft.com/office/drawing/2014/main" id="{99F8E329-40E6-4FA7-A8BC-BA62A66CDF50}"/>
            </a:ext>
          </a:extLst>
        </xdr:cNvPr>
        <xdr:cNvSpPr txBox="1"/>
      </xdr:nvSpPr>
      <xdr:spPr>
        <a:xfrm>
          <a:off x="1258062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1146" name="TextBox 1145">
          <a:extLst>
            <a:ext uri="{FF2B5EF4-FFF2-40B4-BE49-F238E27FC236}">
              <a16:creationId xmlns:a16="http://schemas.microsoft.com/office/drawing/2014/main" id="{3A6C9952-D7D6-4E8D-A218-97ED16A4DC22}"/>
            </a:ext>
          </a:extLst>
        </xdr:cNvPr>
        <xdr:cNvSpPr txBox="1"/>
      </xdr:nvSpPr>
      <xdr:spPr>
        <a:xfrm>
          <a:off x="1258062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1147" name="TextBox 1146">
          <a:extLst>
            <a:ext uri="{FF2B5EF4-FFF2-40B4-BE49-F238E27FC236}">
              <a16:creationId xmlns:a16="http://schemas.microsoft.com/office/drawing/2014/main" id="{C8040D33-2531-4CFD-ACDA-3AB6A0640E12}"/>
            </a:ext>
          </a:extLst>
        </xdr:cNvPr>
        <xdr:cNvSpPr txBox="1"/>
      </xdr:nvSpPr>
      <xdr:spPr>
        <a:xfrm>
          <a:off x="1258062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1148" name="TextBox 1147">
          <a:extLst>
            <a:ext uri="{FF2B5EF4-FFF2-40B4-BE49-F238E27FC236}">
              <a16:creationId xmlns:a16="http://schemas.microsoft.com/office/drawing/2014/main" id="{3C0AF1C8-79B0-4643-A069-89270333C6DC}"/>
            </a:ext>
          </a:extLst>
        </xdr:cNvPr>
        <xdr:cNvSpPr txBox="1"/>
      </xdr:nvSpPr>
      <xdr:spPr>
        <a:xfrm>
          <a:off x="1258062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1149" name="TextBox 1148">
          <a:extLst>
            <a:ext uri="{FF2B5EF4-FFF2-40B4-BE49-F238E27FC236}">
              <a16:creationId xmlns:a16="http://schemas.microsoft.com/office/drawing/2014/main" id="{5A7E7A0E-EDDF-41BF-B4D7-992EB5D8E0E9}"/>
            </a:ext>
          </a:extLst>
        </xdr:cNvPr>
        <xdr:cNvSpPr txBox="1"/>
      </xdr:nvSpPr>
      <xdr:spPr>
        <a:xfrm>
          <a:off x="1258062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1150" name="TextBox 1149">
          <a:extLst>
            <a:ext uri="{FF2B5EF4-FFF2-40B4-BE49-F238E27FC236}">
              <a16:creationId xmlns:a16="http://schemas.microsoft.com/office/drawing/2014/main" id="{48A4571A-2A6B-43E6-8307-D257FEE252B5}"/>
            </a:ext>
          </a:extLst>
        </xdr:cNvPr>
        <xdr:cNvSpPr txBox="1"/>
      </xdr:nvSpPr>
      <xdr:spPr>
        <a:xfrm>
          <a:off x="12580620" y="34274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1151" name="TextBox 1150">
          <a:extLst>
            <a:ext uri="{FF2B5EF4-FFF2-40B4-BE49-F238E27FC236}">
              <a16:creationId xmlns:a16="http://schemas.microsoft.com/office/drawing/2014/main" id="{623A75F4-F705-462F-8E79-246F85160AAD}"/>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1152" name="TextBox 1151">
          <a:extLst>
            <a:ext uri="{FF2B5EF4-FFF2-40B4-BE49-F238E27FC236}">
              <a16:creationId xmlns:a16="http://schemas.microsoft.com/office/drawing/2014/main" id="{4E29F2DA-9348-42B5-BB55-6B3A5D9FAF25}"/>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1153" name="TextBox 1152">
          <a:extLst>
            <a:ext uri="{FF2B5EF4-FFF2-40B4-BE49-F238E27FC236}">
              <a16:creationId xmlns:a16="http://schemas.microsoft.com/office/drawing/2014/main" id="{34C7F6FA-7ACD-4131-A891-C0638BAE509C}"/>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1154" name="TextBox 1153">
          <a:extLst>
            <a:ext uri="{FF2B5EF4-FFF2-40B4-BE49-F238E27FC236}">
              <a16:creationId xmlns:a16="http://schemas.microsoft.com/office/drawing/2014/main" id="{D16D5385-8B51-4897-AE61-34820A94E9DF}"/>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1155" name="TextBox 1154">
          <a:extLst>
            <a:ext uri="{FF2B5EF4-FFF2-40B4-BE49-F238E27FC236}">
              <a16:creationId xmlns:a16="http://schemas.microsoft.com/office/drawing/2014/main" id="{666E924C-F5E4-46BD-AB9C-EDC7840B3D62}"/>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1156" name="TextBox 1155">
          <a:extLst>
            <a:ext uri="{FF2B5EF4-FFF2-40B4-BE49-F238E27FC236}">
              <a16:creationId xmlns:a16="http://schemas.microsoft.com/office/drawing/2014/main" id="{04F6DCCF-81E6-4D9C-BBE5-0FE11829EB62}"/>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1157" name="TextBox 1156">
          <a:extLst>
            <a:ext uri="{FF2B5EF4-FFF2-40B4-BE49-F238E27FC236}">
              <a16:creationId xmlns:a16="http://schemas.microsoft.com/office/drawing/2014/main" id="{0A3CD22E-52BD-4F8A-A852-EBC438CEF8B9}"/>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1158" name="TextBox 1157">
          <a:extLst>
            <a:ext uri="{FF2B5EF4-FFF2-40B4-BE49-F238E27FC236}">
              <a16:creationId xmlns:a16="http://schemas.microsoft.com/office/drawing/2014/main" id="{74F25AF8-7664-484F-9098-DD8D23F2C65E}"/>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1159" name="TextBox 1158">
          <a:extLst>
            <a:ext uri="{FF2B5EF4-FFF2-40B4-BE49-F238E27FC236}">
              <a16:creationId xmlns:a16="http://schemas.microsoft.com/office/drawing/2014/main" id="{83638271-DD25-44DC-8194-15E5B58C9A78}"/>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1160" name="TextBox 1159">
          <a:extLst>
            <a:ext uri="{FF2B5EF4-FFF2-40B4-BE49-F238E27FC236}">
              <a16:creationId xmlns:a16="http://schemas.microsoft.com/office/drawing/2014/main" id="{45F96C37-B2D1-4DAD-B728-42780FCE09DC}"/>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1161" name="TextBox 1160">
          <a:extLst>
            <a:ext uri="{FF2B5EF4-FFF2-40B4-BE49-F238E27FC236}">
              <a16:creationId xmlns:a16="http://schemas.microsoft.com/office/drawing/2014/main" id="{5B864850-A32F-4BE1-B2F6-755710BA5E74}"/>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1162" name="TextBox 1161">
          <a:extLst>
            <a:ext uri="{FF2B5EF4-FFF2-40B4-BE49-F238E27FC236}">
              <a16:creationId xmlns:a16="http://schemas.microsoft.com/office/drawing/2014/main" id="{533C4A28-6FDB-4015-806A-954FFCB9E002}"/>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1163" name="TextBox 1162">
          <a:extLst>
            <a:ext uri="{FF2B5EF4-FFF2-40B4-BE49-F238E27FC236}">
              <a16:creationId xmlns:a16="http://schemas.microsoft.com/office/drawing/2014/main" id="{F81618F8-798E-4259-A44E-219F7048A50E}"/>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1164" name="TextBox 1163">
          <a:extLst>
            <a:ext uri="{FF2B5EF4-FFF2-40B4-BE49-F238E27FC236}">
              <a16:creationId xmlns:a16="http://schemas.microsoft.com/office/drawing/2014/main" id="{A63E9D8D-03B4-49C6-8EE3-9531081E5966}"/>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1165" name="TextBox 1164">
          <a:extLst>
            <a:ext uri="{FF2B5EF4-FFF2-40B4-BE49-F238E27FC236}">
              <a16:creationId xmlns:a16="http://schemas.microsoft.com/office/drawing/2014/main" id="{02981572-A59D-45EA-9323-2F6796BD3C36}"/>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1166" name="TextBox 1165">
          <a:extLst>
            <a:ext uri="{FF2B5EF4-FFF2-40B4-BE49-F238E27FC236}">
              <a16:creationId xmlns:a16="http://schemas.microsoft.com/office/drawing/2014/main" id="{E26D2993-630D-40D5-AC2D-BC5DFFBA943A}"/>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1167" name="TextBox 1166">
          <a:extLst>
            <a:ext uri="{FF2B5EF4-FFF2-40B4-BE49-F238E27FC236}">
              <a16:creationId xmlns:a16="http://schemas.microsoft.com/office/drawing/2014/main" id="{B07A0205-A716-49AE-AC45-DDD62CC50BB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1168" name="TextBox 1167">
          <a:extLst>
            <a:ext uri="{FF2B5EF4-FFF2-40B4-BE49-F238E27FC236}">
              <a16:creationId xmlns:a16="http://schemas.microsoft.com/office/drawing/2014/main" id="{110466E8-A909-405D-8383-2285258737C1}"/>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1169" name="TextBox 1168">
          <a:extLst>
            <a:ext uri="{FF2B5EF4-FFF2-40B4-BE49-F238E27FC236}">
              <a16:creationId xmlns:a16="http://schemas.microsoft.com/office/drawing/2014/main" id="{86BF8DD8-D284-4847-AA46-262B390B3D11}"/>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1170" name="TextBox 1169">
          <a:extLst>
            <a:ext uri="{FF2B5EF4-FFF2-40B4-BE49-F238E27FC236}">
              <a16:creationId xmlns:a16="http://schemas.microsoft.com/office/drawing/2014/main" id="{93A078A7-6A92-4AE1-8FA1-A4AB25D34993}"/>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1171" name="TextBox 1170">
          <a:extLst>
            <a:ext uri="{FF2B5EF4-FFF2-40B4-BE49-F238E27FC236}">
              <a16:creationId xmlns:a16="http://schemas.microsoft.com/office/drawing/2014/main" id="{7A960991-568F-468E-94E2-98478BD82285}"/>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1172" name="TextBox 1171">
          <a:extLst>
            <a:ext uri="{FF2B5EF4-FFF2-40B4-BE49-F238E27FC236}">
              <a16:creationId xmlns:a16="http://schemas.microsoft.com/office/drawing/2014/main" id="{FFF2E72A-E033-4665-A880-0CF0BF79B0D1}"/>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1173" name="TextBox 1172">
          <a:extLst>
            <a:ext uri="{FF2B5EF4-FFF2-40B4-BE49-F238E27FC236}">
              <a16:creationId xmlns:a16="http://schemas.microsoft.com/office/drawing/2014/main" id="{CC42BD38-20BE-465D-9A99-D679C8DAE5C3}"/>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1174" name="TextBox 1173">
          <a:extLst>
            <a:ext uri="{FF2B5EF4-FFF2-40B4-BE49-F238E27FC236}">
              <a16:creationId xmlns:a16="http://schemas.microsoft.com/office/drawing/2014/main" id="{6512ACF3-1A85-400B-A5C6-C8E1B8FAFE52}"/>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1175" name="TextBox 1174">
          <a:extLst>
            <a:ext uri="{FF2B5EF4-FFF2-40B4-BE49-F238E27FC236}">
              <a16:creationId xmlns:a16="http://schemas.microsoft.com/office/drawing/2014/main" id="{79F97C13-94A4-475E-8F2F-1F5E40C7FF99}"/>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1176" name="TextBox 1175">
          <a:extLst>
            <a:ext uri="{FF2B5EF4-FFF2-40B4-BE49-F238E27FC236}">
              <a16:creationId xmlns:a16="http://schemas.microsoft.com/office/drawing/2014/main" id="{DC1837BD-D8AC-4231-A8E0-439F4C971D44}"/>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1177" name="TextBox 1176">
          <a:extLst>
            <a:ext uri="{FF2B5EF4-FFF2-40B4-BE49-F238E27FC236}">
              <a16:creationId xmlns:a16="http://schemas.microsoft.com/office/drawing/2014/main" id="{CC91899C-46CC-4846-B6B7-367BCDB7A9AA}"/>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1178" name="TextBox 1177">
          <a:extLst>
            <a:ext uri="{FF2B5EF4-FFF2-40B4-BE49-F238E27FC236}">
              <a16:creationId xmlns:a16="http://schemas.microsoft.com/office/drawing/2014/main" id="{F4B13EE4-5E9E-4751-B033-B4F3092CB719}"/>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1179" name="TextBox 1178">
          <a:extLst>
            <a:ext uri="{FF2B5EF4-FFF2-40B4-BE49-F238E27FC236}">
              <a16:creationId xmlns:a16="http://schemas.microsoft.com/office/drawing/2014/main" id="{3513AF6A-F6FE-4B91-BB16-FC44B37508C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1180" name="TextBox 1179">
          <a:extLst>
            <a:ext uri="{FF2B5EF4-FFF2-40B4-BE49-F238E27FC236}">
              <a16:creationId xmlns:a16="http://schemas.microsoft.com/office/drawing/2014/main" id="{89A4D9BB-7D58-470A-B9E5-AB820AB1871F}"/>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1181" name="TextBox 1180">
          <a:extLst>
            <a:ext uri="{FF2B5EF4-FFF2-40B4-BE49-F238E27FC236}">
              <a16:creationId xmlns:a16="http://schemas.microsoft.com/office/drawing/2014/main" id="{CC0B07A2-A276-4806-B6D2-124175FB96F8}"/>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1182" name="TextBox 1181">
          <a:extLst>
            <a:ext uri="{FF2B5EF4-FFF2-40B4-BE49-F238E27FC236}">
              <a16:creationId xmlns:a16="http://schemas.microsoft.com/office/drawing/2014/main" id="{DF66F9DF-8F2C-42EB-92C7-76B21F9CB6F3}"/>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1183" name="TextBox 1182">
          <a:extLst>
            <a:ext uri="{FF2B5EF4-FFF2-40B4-BE49-F238E27FC236}">
              <a16:creationId xmlns:a16="http://schemas.microsoft.com/office/drawing/2014/main" id="{8E0ABD95-3F16-43CC-B265-0095BADF002E}"/>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1184" name="TextBox 1183">
          <a:extLst>
            <a:ext uri="{FF2B5EF4-FFF2-40B4-BE49-F238E27FC236}">
              <a16:creationId xmlns:a16="http://schemas.microsoft.com/office/drawing/2014/main" id="{CD42209F-974D-45D0-A624-94C23734A6E6}"/>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1185" name="TextBox 1184">
          <a:extLst>
            <a:ext uri="{FF2B5EF4-FFF2-40B4-BE49-F238E27FC236}">
              <a16:creationId xmlns:a16="http://schemas.microsoft.com/office/drawing/2014/main" id="{27C8C9AF-ED05-45FA-9068-9A42F1134787}"/>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1186" name="TextBox 1185">
          <a:extLst>
            <a:ext uri="{FF2B5EF4-FFF2-40B4-BE49-F238E27FC236}">
              <a16:creationId xmlns:a16="http://schemas.microsoft.com/office/drawing/2014/main" id="{A0EDDAC8-68CD-49FF-95B0-13F9987E0E19}"/>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1187" name="TextBox 1186">
          <a:extLst>
            <a:ext uri="{FF2B5EF4-FFF2-40B4-BE49-F238E27FC236}">
              <a16:creationId xmlns:a16="http://schemas.microsoft.com/office/drawing/2014/main" id="{A9B51438-9235-4498-BF41-E2C9387B0166}"/>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1188" name="TextBox 1187">
          <a:extLst>
            <a:ext uri="{FF2B5EF4-FFF2-40B4-BE49-F238E27FC236}">
              <a16:creationId xmlns:a16="http://schemas.microsoft.com/office/drawing/2014/main" id="{FDD472D5-E424-469B-AEE8-D41198940163}"/>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1189" name="TextBox 1188">
          <a:extLst>
            <a:ext uri="{FF2B5EF4-FFF2-40B4-BE49-F238E27FC236}">
              <a16:creationId xmlns:a16="http://schemas.microsoft.com/office/drawing/2014/main" id="{2620D0D1-18D7-4854-A586-63FBDC46CF56}"/>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1190" name="TextBox 1189">
          <a:extLst>
            <a:ext uri="{FF2B5EF4-FFF2-40B4-BE49-F238E27FC236}">
              <a16:creationId xmlns:a16="http://schemas.microsoft.com/office/drawing/2014/main" id="{A2931468-7B31-4683-A6E9-E719511E89E9}"/>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1191" name="TextBox 1190">
          <a:extLst>
            <a:ext uri="{FF2B5EF4-FFF2-40B4-BE49-F238E27FC236}">
              <a16:creationId xmlns:a16="http://schemas.microsoft.com/office/drawing/2014/main" id="{617F7D4E-686F-4134-8341-01E75E61017E}"/>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1192" name="TextBox 1191">
          <a:extLst>
            <a:ext uri="{FF2B5EF4-FFF2-40B4-BE49-F238E27FC236}">
              <a16:creationId xmlns:a16="http://schemas.microsoft.com/office/drawing/2014/main" id="{F30DB9A4-E5C2-412C-914F-F88177E1512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1193" name="TextBox 1192">
          <a:extLst>
            <a:ext uri="{FF2B5EF4-FFF2-40B4-BE49-F238E27FC236}">
              <a16:creationId xmlns:a16="http://schemas.microsoft.com/office/drawing/2014/main" id="{57E4964E-8056-4D48-91F4-44073729FA41}"/>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1194" name="TextBox 1193">
          <a:extLst>
            <a:ext uri="{FF2B5EF4-FFF2-40B4-BE49-F238E27FC236}">
              <a16:creationId xmlns:a16="http://schemas.microsoft.com/office/drawing/2014/main" id="{4420B687-862B-4D83-BBB9-92BBC1E24FF8}"/>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1195" name="TextBox 1194">
          <a:extLst>
            <a:ext uri="{FF2B5EF4-FFF2-40B4-BE49-F238E27FC236}">
              <a16:creationId xmlns:a16="http://schemas.microsoft.com/office/drawing/2014/main" id="{6109BB46-3D57-4B4E-A0C5-4516B4A09848}"/>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1196" name="TextBox 1195">
          <a:extLst>
            <a:ext uri="{FF2B5EF4-FFF2-40B4-BE49-F238E27FC236}">
              <a16:creationId xmlns:a16="http://schemas.microsoft.com/office/drawing/2014/main" id="{931330DF-996B-40D1-8EA7-A33F1A9847F1}"/>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1197" name="TextBox 1196">
          <a:extLst>
            <a:ext uri="{FF2B5EF4-FFF2-40B4-BE49-F238E27FC236}">
              <a16:creationId xmlns:a16="http://schemas.microsoft.com/office/drawing/2014/main" id="{6F2167C9-93AB-4792-B5E6-DAEA5D44FAEB}"/>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1198" name="TextBox 1197">
          <a:extLst>
            <a:ext uri="{FF2B5EF4-FFF2-40B4-BE49-F238E27FC236}">
              <a16:creationId xmlns:a16="http://schemas.microsoft.com/office/drawing/2014/main" id="{8D4D4BDD-6A9F-42D5-BCFF-5E5982787906}"/>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1199" name="TextBox 1198">
          <a:extLst>
            <a:ext uri="{FF2B5EF4-FFF2-40B4-BE49-F238E27FC236}">
              <a16:creationId xmlns:a16="http://schemas.microsoft.com/office/drawing/2014/main" id="{62AD9906-FE9B-4FDD-A68B-46CF95FA296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1200" name="TextBox 1199">
          <a:extLst>
            <a:ext uri="{FF2B5EF4-FFF2-40B4-BE49-F238E27FC236}">
              <a16:creationId xmlns:a16="http://schemas.microsoft.com/office/drawing/2014/main" id="{6BC8A854-5CBB-44F6-8B90-EDC7538EE4AF}"/>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1201" name="TextBox 1200">
          <a:extLst>
            <a:ext uri="{FF2B5EF4-FFF2-40B4-BE49-F238E27FC236}">
              <a16:creationId xmlns:a16="http://schemas.microsoft.com/office/drawing/2014/main" id="{9907CF70-944C-42CE-8419-D0A81F8E2998}"/>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1202" name="TextBox 1201">
          <a:extLst>
            <a:ext uri="{FF2B5EF4-FFF2-40B4-BE49-F238E27FC236}">
              <a16:creationId xmlns:a16="http://schemas.microsoft.com/office/drawing/2014/main" id="{56ED5389-C0C4-4D4F-A161-8A097C1C622E}"/>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1203" name="TextBox 1202">
          <a:extLst>
            <a:ext uri="{FF2B5EF4-FFF2-40B4-BE49-F238E27FC236}">
              <a16:creationId xmlns:a16="http://schemas.microsoft.com/office/drawing/2014/main" id="{FECFA0CA-7D4C-47C5-AB1E-790708CC03C6}"/>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1204" name="TextBox 1203">
          <a:extLst>
            <a:ext uri="{FF2B5EF4-FFF2-40B4-BE49-F238E27FC236}">
              <a16:creationId xmlns:a16="http://schemas.microsoft.com/office/drawing/2014/main" id="{C7A02519-07BC-4311-8FC7-800DA9129D9B}"/>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1205" name="TextBox 1204">
          <a:extLst>
            <a:ext uri="{FF2B5EF4-FFF2-40B4-BE49-F238E27FC236}">
              <a16:creationId xmlns:a16="http://schemas.microsoft.com/office/drawing/2014/main" id="{AEFF34D7-148C-4CCB-A0D8-19F37B544AC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1206" name="TextBox 1205">
          <a:extLst>
            <a:ext uri="{FF2B5EF4-FFF2-40B4-BE49-F238E27FC236}">
              <a16:creationId xmlns:a16="http://schemas.microsoft.com/office/drawing/2014/main" id="{92785E8F-D40C-45DF-A7AE-AC027255B736}"/>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1207" name="TextBox 1206">
          <a:extLst>
            <a:ext uri="{FF2B5EF4-FFF2-40B4-BE49-F238E27FC236}">
              <a16:creationId xmlns:a16="http://schemas.microsoft.com/office/drawing/2014/main" id="{604A7D7D-6D81-4BE7-9ABC-725A42F9E1EA}"/>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1208" name="TextBox 1207">
          <a:extLst>
            <a:ext uri="{FF2B5EF4-FFF2-40B4-BE49-F238E27FC236}">
              <a16:creationId xmlns:a16="http://schemas.microsoft.com/office/drawing/2014/main" id="{BFB11F25-1BBB-4DE5-A5B9-64AF144729C2}"/>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1209" name="TextBox 1208">
          <a:extLst>
            <a:ext uri="{FF2B5EF4-FFF2-40B4-BE49-F238E27FC236}">
              <a16:creationId xmlns:a16="http://schemas.microsoft.com/office/drawing/2014/main" id="{4CBFE059-8EE1-4A97-B2E4-DA16EFD3761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1210" name="TextBox 1209">
          <a:extLst>
            <a:ext uri="{FF2B5EF4-FFF2-40B4-BE49-F238E27FC236}">
              <a16:creationId xmlns:a16="http://schemas.microsoft.com/office/drawing/2014/main" id="{FCA7E1FD-61F9-4289-95A4-DD486F9A9080}"/>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1211" name="TextBox 1210">
          <a:extLst>
            <a:ext uri="{FF2B5EF4-FFF2-40B4-BE49-F238E27FC236}">
              <a16:creationId xmlns:a16="http://schemas.microsoft.com/office/drawing/2014/main" id="{348F6862-8E58-4046-8D32-99DF9E91ACAC}"/>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1212" name="TextBox 1211">
          <a:extLst>
            <a:ext uri="{FF2B5EF4-FFF2-40B4-BE49-F238E27FC236}">
              <a16:creationId xmlns:a16="http://schemas.microsoft.com/office/drawing/2014/main" id="{34FDD654-E638-4FF7-82BC-790A9BF967AE}"/>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1213" name="TextBox 1212">
          <a:extLst>
            <a:ext uri="{FF2B5EF4-FFF2-40B4-BE49-F238E27FC236}">
              <a16:creationId xmlns:a16="http://schemas.microsoft.com/office/drawing/2014/main" id="{A5DA0E4C-9A9B-460A-9EEA-20236D3CD2BF}"/>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1214" name="TextBox 1213">
          <a:extLst>
            <a:ext uri="{FF2B5EF4-FFF2-40B4-BE49-F238E27FC236}">
              <a16:creationId xmlns:a16="http://schemas.microsoft.com/office/drawing/2014/main" id="{E165643A-B43B-4C9A-9B54-7139E29076C2}"/>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1215" name="TextBox 1214">
          <a:extLst>
            <a:ext uri="{FF2B5EF4-FFF2-40B4-BE49-F238E27FC236}">
              <a16:creationId xmlns:a16="http://schemas.microsoft.com/office/drawing/2014/main" id="{3714FD61-D1A2-4BD0-9B73-8B1B0843126D}"/>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1216" name="TextBox 1215">
          <a:extLst>
            <a:ext uri="{FF2B5EF4-FFF2-40B4-BE49-F238E27FC236}">
              <a16:creationId xmlns:a16="http://schemas.microsoft.com/office/drawing/2014/main" id="{4686F77C-EFB1-4701-9CCA-482CB458B522}"/>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1217" name="TextBox 1216">
          <a:extLst>
            <a:ext uri="{FF2B5EF4-FFF2-40B4-BE49-F238E27FC236}">
              <a16:creationId xmlns:a16="http://schemas.microsoft.com/office/drawing/2014/main" id="{1CA4B930-A62D-4FA9-AD46-2CC8DCC9A732}"/>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1218" name="TextBox 1217">
          <a:extLst>
            <a:ext uri="{FF2B5EF4-FFF2-40B4-BE49-F238E27FC236}">
              <a16:creationId xmlns:a16="http://schemas.microsoft.com/office/drawing/2014/main" id="{9A1EDD94-C686-4D34-A913-92C621E64D1B}"/>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1219" name="TextBox 1218">
          <a:extLst>
            <a:ext uri="{FF2B5EF4-FFF2-40B4-BE49-F238E27FC236}">
              <a16:creationId xmlns:a16="http://schemas.microsoft.com/office/drawing/2014/main" id="{4DB473FD-AE79-41FB-BBA2-A751D013D672}"/>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1220" name="TextBox 1219">
          <a:extLst>
            <a:ext uri="{FF2B5EF4-FFF2-40B4-BE49-F238E27FC236}">
              <a16:creationId xmlns:a16="http://schemas.microsoft.com/office/drawing/2014/main" id="{CAC6F1F5-0318-4EF1-A17E-9713993C0275}"/>
            </a:ext>
          </a:extLst>
        </xdr:cNvPr>
        <xdr:cNvSpPr txBox="1"/>
      </xdr:nvSpPr>
      <xdr:spPr>
        <a:xfrm>
          <a:off x="826770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1221" name="TextBox 1220">
          <a:extLst>
            <a:ext uri="{FF2B5EF4-FFF2-40B4-BE49-F238E27FC236}">
              <a16:creationId xmlns:a16="http://schemas.microsoft.com/office/drawing/2014/main" id="{2BEB2C9B-4E37-4D83-978B-6944A85550D0}"/>
            </a:ext>
          </a:extLst>
        </xdr:cNvPr>
        <xdr:cNvSpPr txBox="1"/>
      </xdr:nvSpPr>
      <xdr:spPr>
        <a:xfrm>
          <a:off x="1258062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1222" name="TextBox 1221">
          <a:extLst>
            <a:ext uri="{FF2B5EF4-FFF2-40B4-BE49-F238E27FC236}">
              <a16:creationId xmlns:a16="http://schemas.microsoft.com/office/drawing/2014/main" id="{CD550287-B34D-4E1D-BBEF-D03695FD0054}"/>
            </a:ext>
          </a:extLst>
        </xdr:cNvPr>
        <xdr:cNvSpPr txBox="1"/>
      </xdr:nvSpPr>
      <xdr:spPr>
        <a:xfrm>
          <a:off x="1258062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1223" name="TextBox 1222">
          <a:extLst>
            <a:ext uri="{FF2B5EF4-FFF2-40B4-BE49-F238E27FC236}">
              <a16:creationId xmlns:a16="http://schemas.microsoft.com/office/drawing/2014/main" id="{F2ABC44F-5B97-457A-B962-D1359A380D71}"/>
            </a:ext>
          </a:extLst>
        </xdr:cNvPr>
        <xdr:cNvSpPr txBox="1"/>
      </xdr:nvSpPr>
      <xdr:spPr>
        <a:xfrm>
          <a:off x="1258062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1224" name="TextBox 1223">
          <a:extLst>
            <a:ext uri="{FF2B5EF4-FFF2-40B4-BE49-F238E27FC236}">
              <a16:creationId xmlns:a16="http://schemas.microsoft.com/office/drawing/2014/main" id="{96939F3D-72FB-4C1C-BD3C-89A06B46C24E}"/>
            </a:ext>
          </a:extLst>
        </xdr:cNvPr>
        <xdr:cNvSpPr txBox="1"/>
      </xdr:nvSpPr>
      <xdr:spPr>
        <a:xfrm>
          <a:off x="1258062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1225" name="TextBox 1224">
          <a:extLst>
            <a:ext uri="{FF2B5EF4-FFF2-40B4-BE49-F238E27FC236}">
              <a16:creationId xmlns:a16="http://schemas.microsoft.com/office/drawing/2014/main" id="{94BF90D1-7C17-4662-B78F-32897ABFA19F}"/>
            </a:ext>
          </a:extLst>
        </xdr:cNvPr>
        <xdr:cNvSpPr txBox="1"/>
      </xdr:nvSpPr>
      <xdr:spPr>
        <a:xfrm>
          <a:off x="1258062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1226" name="TextBox 1225">
          <a:extLst>
            <a:ext uri="{FF2B5EF4-FFF2-40B4-BE49-F238E27FC236}">
              <a16:creationId xmlns:a16="http://schemas.microsoft.com/office/drawing/2014/main" id="{453A51B0-4712-453A-A36D-8862511F2541}"/>
            </a:ext>
          </a:extLst>
        </xdr:cNvPr>
        <xdr:cNvSpPr txBox="1"/>
      </xdr:nvSpPr>
      <xdr:spPr>
        <a:xfrm>
          <a:off x="1258062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1227" name="TextBox 1226">
          <a:extLst>
            <a:ext uri="{FF2B5EF4-FFF2-40B4-BE49-F238E27FC236}">
              <a16:creationId xmlns:a16="http://schemas.microsoft.com/office/drawing/2014/main" id="{F5236698-E5D3-47AA-81EA-AAFF7BC49F1C}"/>
            </a:ext>
          </a:extLst>
        </xdr:cNvPr>
        <xdr:cNvSpPr txBox="1"/>
      </xdr:nvSpPr>
      <xdr:spPr>
        <a:xfrm>
          <a:off x="1258062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1228" name="TextBox 1227">
          <a:extLst>
            <a:ext uri="{FF2B5EF4-FFF2-40B4-BE49-F238E27FC236}">
              <a16:creationId xmlns:a16="http://schemas.microsoft.com/office/drawing/2014/main" id="{CB6F6FBB-D31C-4DF2-B5CF-F6F8F99341BE}"/>
            </a:ext>
          </a:extLst>
        </xdr:cNvPr>
        <xdr:cNvSpPr txBox="1"/>
      </xdr:nvSpPr>
      <xdr:spPr>
        <a:xfrm>
          <a:off x="1258062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1229" name="TextBox 1228">
          <a:extLst>
            <a:ext uri="{FF2B5EF4-FFF2-40B4-BE49-F238E27FC236}">
              <a16:creationId xmlns:a16="http://schemas.microsoft.com/office/drawing/2014/main" id="{0E6EA0E6-3896-40AA-B2F5-8272253CCA84}"/>
            </a:ext>
          </a:extLst>
        </xdr:cNvPr>
        <xdr:cNvSpPr txBox="1"/>
      </xdr:nvSpPr>
      <xdr:spPr>
        <a:xfrm>
          <a:off x="1258062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1230" name="TextBox 1229">
          <a:extLst>
            <a:ext uri="{FF2B5EF4-FFF2-40B4-BE49-F238E27FC236}">
              <a16:creationId xmlns:a16="http://schemas.microsoft.com/office/drawing/2014/main" id="{714A34DF-3BC7-48BE-A8E1-0A382AB25D98}"/>
            </a:ext>
          </a:extLst>
        </xdr:cNvPr>
        <xdr:cNvSpPr txBox="1"/>
      </xdr:nvSpPr>
      <xdr:spPr>
        <a:xfrm>
          <a:off x="1258062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1231" name="TextBox 1230">
          <a:extLst>
            <a:ext uri="{FF2B5EF4-FFF2-40B4-BE49-F238E27FC236}">
              <a16:creationId xmlns:a16="http://schemas.microsoft.com/office/drawing/2014/main" id="{0EE264F1-325D-4E80-827F-A7CDBEE7E2B0}"/>
            </a:ext>
          </a:extLst>
        </xdr:cNvPr>
        <xdr:cNvSpPr txBox="1"/>
      </xdr:nvSpPr>
      <xdr:spPr>
        <a:xfrm>
          <a:off x="1258062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1232" name="TextBox 1231">
          <a:extLst>
            <a:ext uri="{FF2B5EF4-FFF2-40B4-BE49-F238E27FC236}">
              <a16:creationId xmlns:a16="http://schemas.microsoft.com/office/drawing/2014/main" id="{8DFCAF67-A970-4779-9B1E-334B183D9E9C}"/>
            </a:ext>
          </a:extLst>
        </xdr:cNvPr>
        <xdr:cNvSpPr txBox="1"/>
      </xdr:nvSpPr>
      <xdr:spPr>
        <a:xfrm>
          <a:off x="1258062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1233" name="TextBox 1232">
          <a:extLst>
            <a:ext uri="{FF2B5EF4-FFF2-40B4-BE49-F238E27FC236}">
              <a16:creationId xmlns:a16="http://schemas.microsoft.com/office/drawing/2014/main" id="{1721DFB1-C856-46DE-8B52-1459DC12DC1F}"/>
            </a:ext>
          </a:extLst>
        </xdr:cNvPr>
        <xdr:cNvSpPr txBox="1"/>
      </xdr:nvSpPr>
      <xdr:spPr>
        <a:xfrm>
          <a:off x="1258062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1234" name="TextBox 1233">
          <a:extLst>
            <a:ext uri="{FF2B5EF4-FFF2-40B4-BE49-F238E27FC236}">
              <a16:creationId xmlns:a16="http://schemas.microsoft.com/office/drawing/2014/main" id="{EAD93977-2B6C-48AF-88BE-D3EEF076B82F}"/>
            </a:ext>
          </a:extLst>
        </xdr:cNvPr>
        <xdr:cNvSpPr txBox="1"/>
      </xdr:nvSpPr>
      <xdr:spPr>
        <a:xfrm>
          <a:off x="1258062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1235" name="TextBox 1234">
          <a:extLst>
            <a:ext uri="{FF2B5EF4-FFF2-40B4-BE49-F238E27FC236}">
              <a16:creationId xmlns:a16="http://schemas.microsoft.com/office/drawing/2014/main" id="{FBB54F66-6C42-4482-B2E7-7384E314B0A0}"/>
            </a:ext>
          </a:extLst>
        </xdr:cNvPr>
        <xdr:cNvSpPr txBox="1"/>
      </xdr:nvSpPr>
      <xdr:spPr>
        <a:xfrm>
          <a:off x="1258062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1236" name="TextBox 1235">
          <a:extLst>
            <a:ext uri="{FF2B5EF4-FFF2-40B4-BE49-F238E27FC236}">
              <a16:creationId xmlns:a16="http://schemas.microsoft.com/office/drawing/2014/main" id="{AEE8C017-5A75-4A1A-8541-8CAA7A85887F}"/>
            </a:ext>
          </a:extLst>
        </xdr:cNvPr>
        <xdr:cNvSpPr txBox="1"/>
      </xdr:nvSpPr>
      <xdr:spPr>
        <a:xfrm>
          <a:off x="1258062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1237" name="TextBox 1236">
          <a:extLst>
            <a:ext uri="{FF2B5EF4-FFF2-40B4-BE49-F238E27FC236}">
              <a16:creationId xmlns:a16="http://schemas.microsoft.com/office/drawing/2014/main" id="{15CB6B7A-8903-4D46-B303-C78122F98AFA}"/>
            </a:ext>
          </a:extLst>
        </xdr:cNvPr>
        <xdr:cNvSpPr txBox="1"/>
      </xdr:nvSpPr>
      <xdr:spPr>
        <a:xfrm>
          <a:off x="1258062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1238" name="TextBox 1237">
          <a:extLst>
            <a:ext uri="{FF2B5EF4-FFF2-40B4-BE49-F238E27FC236}">
              <a16:creationId xmlns:a16="http://schemas.microsoft.com/office/drawing/2014/main" id="{06B77017-1B83-4828-A6CD-A70B1530F846}"/>
            </a:ext>
          </a:extLst>
        </xdr:cNvPr>
        <xdr:cNvSpPr txBox="1"/>
      </xdr:nvSpPr>
      <xdr:spPr>
        <a:xfrm>
          <a:off x="1258062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1239" name="TextBox 1238">
          <a:extLst>
            <a:ext uri="{FF2B5EF4-FFF2-40B4-BE49-F238E27FC236}">
              <a16:creationId xmlns:a16="http://schemas.microsoft.com/office/drawing/2014/main" id="{185D6A4C-28D0-4083-911A-BC73150EED28}"/>
            </a:ext>
          </a:extLst>
        </xdr:cNvPr>
        <xdr:cNvSpPr txBox="1"/>
      </xdr:nvSpPr>
      <xdr:spPr>
        <a:xfrm>
          <a:off x="1258062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1240" name="TextBox 1239">
          <a:extLst>
            <a:ext uri="{FF2B5EF4-FFF2-40B4-BE49-F238E27FC236}">
              <a16:creationId xmlns:a16="http://schemas.microsoft.com/office/drawing/2014/main" id="{3791A6DE-A1C2-47DA-AD48-A46C3A2C9FDA}"/>
            </a:ext>
          </a:extLst>
        </xdr:cNvPr>
        <xdr:cNvSpPr txBox="1"/>
      </xdr:nvSpPr>
      <xdr:spPr>
        <a:xfrm>
          <a:off x="1258062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1241" name="TextBox 1240">
          <a:extLst>
            <a:ext uri="{FF2B5EF4-FFF2-40B4-BE49-F238E27FC236}">
              <a16:creationId xmlns:a16="http://schemas.microsoft.com/office/drawing/2014/main" id="{81CE3CB0-7E4E-4E55-A8CA-42556C1B97B2}"/>
            </a:ext>
          </a:extLst>
        </xdr:cNvPr>
        <xdr:cNvSpPr txBox="1"/>
      </xdr:nvSpPr>
      <xdr:spPr>
        <a:xfrm>
          <a:off x="1258062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1242" name="TextBox 1241">
          <a:extLst>
            <a:ext uri="{FF2B5EF4-FFF2-40B4-BE49-F238E27FC236}">
              <a16:creationId xmlns:a16="http://schemas.microsoft.com/office/drawing/2014/main" id="{4A007D76-46C2-4D13-B1B5-5850A74D5AB2}"/>
            </a:ext>
          </a:extLst>
        </xdr:cNvPr>
        <xdr:cNvSpPr txBox="1"/>
      </xdr:nvSpPr>
      <xdr:spPr>
        <a:xfrm>
          <a:off x="12580620" y="34472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378296</xdr:colOff>
      <xdr:row>29</xdr:row>
      <xdr:rowOff>129540</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0"/>
          <a:ext cx="9903296" cy="7581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Z:\Shared\NCH2ENGINEER\UGReports\Assest%20Care_TMM%20Weekly%20Compliance\2425\Oct%202024\Wkly%20Compliance%20Report%20-%2003%20Oct%202024%20-%20Dont%20use%20file%20is%20corrupt.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Z:\Shared\NCH2ENGINEER\UGReports\Assest%20Care_TMM%20Weekly%20Compliance\2526\Dec%202025\Wkly%20Compliance%20ReportV1-%2004%20Dec%20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3 Oct 2024"/>
      <sheetName val=" WKLY Quality Report - Foreman"/>
      <sheetName val="Machine Washing Tracker"/>
      <sheetName val="MTBF - After Service - Planner"/>
      <sheetName val="Hydr Hose Summary"/>
    </sheetNames>
    <sheetDataSet>
      <sheetData sheetId="0">
        <row r="33">
          <cell r="C33" t="str">
            <v>Planned</v>
          </cell>
          <cell r="D33" t="str">
            <v>Actual</v>
          </cell>
          <cell r="E33" t="str">
            <v>Schedule Compliance</v>
          </cell>
          <cell r="F33" t="str">
            <v>Target</v>
          </cell>
        </row>
        <row r="34">
          <cell r="B34" t="str">
            <v>DT</v>
          </cell>
          <cell r="C34">
            <v>0</v>
          </cell>
          <cell r="D34"/>
          <cell r="E34" t="str">
            <v/>
          </cell>
          <cell r="F34">
            <v>0.95</v>
          </cell>
        </row>
        <row r="35">
          <cell r="B35" t="str">
            <v>FL</v>
          </cell>
          <cell r="C35">
            <v>0</v>
          </cell>
          <cell r="D35"/>
          <cell r="E35" t="str">
            <v/>
          </cell>
          <cell r="F35">
            <v>0.95</v>
          </cell>
        </row>
        <row r="36">
          <cell r="B36" t="str">
            <v>HD</v>
          </cell>
          <cell r="C36">
            <v>3</v>
          </cell>
          <cell r="D36"/>
          <cell r="E36">
            <v>0</v>
          </cell>
          <cell r="F36">
            <v>0.95</v>
          </cell>
        </row>
        <row r="37">
          <cell r="B37" t="str">
            <v>RT</v>
          </cell>
          <cell r="C37">
            <v>3</v>
          </cell>
          <cell r="D37"/>
          <cell r="E37">
            <v>0</v>
          </cell>
          <cell r="F37">
            <v>0.95</v>
          </cell>
        </row>
        <row r="38">
          <cell r="B38" t="str">
            <v>SR - Service Compliance</v>
          </cell>
          <cell r="C38">
            <v>0</v>
          </cell>
          <cell r="D38"/>
          <cell r="E38" t="str">
            <v/>
          </cell>
          <cell r="F38">
            <v>0.95</v>
          </cell>
        </row>
        <row r="39">
          <cell r="B39" t="str">
            <v>Support Equipment</v>
          </cell>
          <cell r="C39">
            <v>3</v>
          </cell>
          <cell r="D39">
            <v>3</v>
          </cell>
          <cell r="E39">
            <v>1</v>
          </cell>
          <cell r="F39">
            <v>0.95</v>
          </cell>
        </row>
        <row r="61">
          <cell r="I61" t="str">
            <v>% Compliance</v>
          </cell>
          <cell r="N61" t="str">
            <v>Paperwork Correct</v>
          </cell>
          <cell r="O61" t="str">
            <v>Paperwork Incorrect</v>
          </cell>
        </row>
        <row r="62">
          <cell r="B62" t="str">
            <v>DT</v>
          </cell>
          <cell r="I62">
            <v>0</v>
          </cell>
          <cell r="N62"/>
          <cell r="O62"/>
        </row>
        <row r="63">
          <cell r="B63" t="str">
            <v>FL</v>
          </cell>
          <cell r="I63">
            <v>0</v>
          </cell>
          <cell r="N63"/>
          <cell r="O63"/>
        </row>
        <row r="64">
          <cell r="B64" t="str">
            <v>HD</v>
          </cell>
          <cell r="I64" t="str">
            <v/>
          </cell>
          <cell r="N64"/>
          <cell r="O64"/>
        </row>
        <row r="65">
          <cell r="B65" t="str">
            <v>RT</v>
          </cell>
          <cell r="I65" t="str">
            <v/>
          </cell>
          <cell r="N65"/>
          <cell r="O65"/>
        </row>
        <row r="66">
          <cell r="B66" t="str">
            <v>SR</v>
          </cell>
          <cell r="I66" t="str">
            <v/>
          </cell>
          <cell r="N66"/>
          <cell r="O66"/>
        </row>
        <row r="67">
          <cell r="B67" t="str">
            <v>Support Equipment</v>
          </cell>
          <cell r="I67">
            <v>1</v>
          </cell>
          <cell r="N67"/>
          <cell r="O67"/>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4 Dec 2025"/>
      <sheetName val=" WKLY Quality Report - Foreman"/>
      <sheetName val="Machine Washing Tracker"/>
      <sheetName val="CV_Pre-Start Checklist"/>
    </sheetNames>
    <sheetDataSet>
      <sheetData sheetId="0">
        <row r="6">
          <cell r="C6" t="str">
            <v>Planned</v>
          </cell>
          <cell r="D6" t="str">
            <v>Actual</v>
          </cell>
          <cell r="E6" t="str">
            <v>Schedule Compliance</v>
          </cell>
          <cell r="F6" t="str">
            <v>Target</v>
          </cell>
        </row>
        <row r="7">
          <cell r="B7" t="str">
            <v>DT</v>
          </cell>
          <cell r="C7">
            <v>2</v>
          </cell>
          <cell r="D7">
            <v>2</v>
          </cell>
          <cell r="E7">
            <v>1</v>
          </cell>
          <cell r="F7">
            <v>1</v>
          </cell>
        </row>
        <row r="8">
          <cell r="B8" t="str">
            <v>FL</v>
          </cell>
          <cell r="C8">
            <v>3</v>
          </cell>
          <cell r="D8">
            <v>3</v>
          </cell>
          <cell r="E8">
            <v>1</v>
          </cell>
          <cell r="F8">
            <v>1</v>
          </cell>
        </row>
        <row r="9">
          <cell r="B9" t="str">
            <v>HD</v>
          </cell>
          <cell r="C9">
            <v>4</v>
          </cell>
          <cell r="D9">
            <v>3</v>
          </cell>
          <cell r="E9">
            <v>0.75</v>
          </cell>
          <cell r="F9">
            <v>1</v>
          </cell>
        </row>
        <row r="10">
          <cell r="B10" t="str">
            <v>RT</v>
          </cell>
          <cell r="C10">
            <v>2</v>
          </cell>
          <cell r="D10">
            <v>2</v>
          </cell>
          <cell r="E10">
            <v>1</v>
          </cell>
          <cell r="F10">
            <v>1</v>
          </cell>
        </row>
        <row r="11">
          <cell r="B11" t="str">
            <v>SR - Service Compliance</v>
          </cell>
          <cell r="C11">
            <v>1</v>
          </cell>
          <cell r="D11">
            <v>1</v>
          </cell>
          <cell r="E11">
            <v>1</v>
          </cell>
          <cell r="F11">
            <v>1</v>
          </cell>
        </row>
        <row r="12">
          <cell r="B12" t="str">
            <v>Support Equipment</v>
          </cell>
          <cell r="C12">
            <v>8</v>
          </cell>
          <cell r="D12">
            <v>8</v>
          </cell>
          <cell r="E12">
            <v>1</v>
          </cell>
          <cell r="F12">
            <v>1</v>
          </cell>
        </row>
        <row r="13">
          <cell r="B13" t="str">
            <v xml:space="preserve">SR - Weekly Inspection </v>
          </cell>
          <cell r="C13">
            <v>8</v>
          </cell>
          <cell r="D13">
            <v>8</v>
          </cell>
          <cell r="E13">
            <v>1</v>
          </cell>
          <cell r="F13">
            <v>1</v>
          </cell>
        </row>
        <row r="107">
          <cell r="C107" t="str">
            <v>Planned Over-Inspections</v>
          </cell>
          <cell r="D107" t="str">
            <v>Total Number of Inspections Completed</v>
          </cell>
          <cell r="E107" t="str">
            <v>Corrective Work</v>
          </cell>
        </row>
        <row r="108">
          <cell r="B108" t="str">
            <v>UTILITY FOREMAN</v>
          </cell>
          <cell r="C108">
            <v>4</v>
          </cell>
          <cell r="D108">
            <v>4</v>
          </cell>
        </row>
        <row r="109">
          <cell r="B109" t="str">
            <v>MECHANIC FOREMAN</v>
          </cell>
          <cell r="C109">
            <v>5</v>
          </cell>
          <cell r="D109">
            <v>5</v>
          </cell>
        </row>
        <row r="110">
          <cell r="B110" t="str">
            <v>DRILLS FOREMAN</v>
          </cell>
          <cell r="C110">
            <v>6</v>
          </cell>
          <cell r="D110">
            <v>6</v>
          </cell>
        </row>
        <row r="111">
          <cell r="B111" t="str">
            <v>Engineer</v>
          </cell>
          <cell r="C111">
            <v>1</v>
          </cell>
          <cell r="D111">
            <v>1</v>
          </cell>
        </row>
        <row r="112">
          <cell r="B112" t="str">
            <v>Electrical Foreman</v>
          </cell>
          <cell r="C112">
            <v>4</v>
          </cell>
          <cell r="D112">
            <v>4</v>
          </cell>
        </row>
        <row r="113">
          <cell r="B113" t="str">
            <v>Plant Foreman</v>
          </cell>
          <cell r="C113">
            <v>4</v>
          </cell>
          <cell r="D113">
            <v>4</v>
          </cell>
        </row>
        <row r="114">
          <cell r="B114" t="str">
            <v>GES Plant</v>
          </cell>
          <cell r="C114">
            <v>1</v>
          </cell>
          <cell r="D114">
            <v>1</v>
          </cell>
        </row>
        <row r="115">
          <cell r="B115" t="str">
            <v>GES TMM</v>
          </cell>
          <cell r="C115">
            <v>1</v>
          </cell>
          <cell r="D115">
            <v>1</v>
          </cell>
        </row>
      </sheetData>
      <sheetData sheetId="1" refreshError="1"/>
      <sheetData sheetId="2" refreshError="1"/>
      <sheetData sheetId="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sheetPr>
  <dimension ref="A1:O65"/>
  <sheetViews>
    <sheetView tabSelected="1" topLeftCell="A36" zoomScale="80" zoomScaleNormal="80" workbookViewId="0">
      <selection activeCell="D56" sqref="D56:L56"/>
    </sheetView>
  </sheetViews>
  <sheetFormatPr defaultRowHeight="14.4"/>
  <cols>
    <col min="1" max="1" width="42.6640625" bestFit="1" customWidth="1"/>
    <col min="2" max="2" width="21" bestFit="1" customWidth="1"/>
    <col min="3" max="3" width="21.109375" bestFit="1" customWidth="1"/>
    <col min="4" max="4" width="16.6640625" bestFit="1" customWidth="1"/>
    <col min="5" max="5" width="19.109375" customWidth="1"/>
    <col min="6" max="6" width="21.5546875" customWidth="1"/>
    <col min="7" max="7" width="16.33203125" bestFit="1" customWidth="1"/>
    <col min="8" max="8" width="28" bestFit="1" customWidth="1"/>
    <col min="9" max="9" width="13.5546875" customWidth="1"/>
    <col min="10" max="11" width="19.88671875" customWidth="1"/>
    <col min="12" max="12" width="35.6640625" customWidth="1"/>
    <col min="13" max="13" width="15.5546875" customWidth="1"/>
    <col min="14" max="14" width="22.6640625" customWidth="1"/>
    <col min="15" max="15" width="19.33203125" bestFit="1" customWidth="1"/>
  </cols>
  <sheetData>
    <row r="1" spans="1:15" ht="21">
      <c r="E1" s="1" t="s">
        <v>0</v>
      </c>
      <c r="F1" s="1"/>
      <c r="G1" s="1"/>
      <c r="J1" s="17"/>
      <c r="K1" s="17"/>
      <c r="L1" s="17"/>
      <c r="M1" s="17"/>
    </row>
    <row r="2" spans="1:15">
      <c r="A2" s="8" t="s">
        <v>7</v>
      </c>
      <c r="B2" s="8" t="s">
        <v>63</v>
      </c>
      <c r="H2" s="30"/>
      <c r="I2" s="63" t="s">
        <v>12</v>
      </c>
      <c r="J2" s="63" t="s">
        <v>13</v>
      </c>
      <c r="K2" s="63" t="s">
        <v>15</v>
      </c>
      <c r="L2" s="63" t="s">
        <v>16</v>
      </c>
      <c r="M2" s="7" t="s">
        <v>40</v>
      </c>
    </row>
    <row r="3" spans="1:15">
      <c r="H3" s="26" t="s">
        <v>28</v>
      </c>
      <c r="I3" s="83">
        <v>721261</v>
      </c>
      <c r="J3" s="83">
        <v>628129</v>
      </c>
      <c r="K3" s="83">
        <v>26713</v>
      </c>
      <c r="L3" s="83">
        <v>24466</v>
      </c>
      <c r="M3" s="108">
        <f>L3-K3</f>
        <v>-2247</v>
      </c>
      <c r="N3" s="18"/>
      <c r="O3" s="19"/>
    </row>
    <row r="4" spans="1:15">
      <c r="A4" s="8" t="s">
        <v>32</v>
      </c>
      <c r="B4" s="16">
        <v>45989</v>
      </c>
      <c r="C4" s="16">
        <v>45995</v>
      </c>
      <c r="D4" s="8"/>
      <c r="H4" s="26" t="s">
        <v>29</v>
      </c>
      <c r="I4" s="83">
        <v>660801</v>
      </c>
      <c r="J4" s="83">
        <v>608131</v>
      </c>
      <c r="K4" s="83">
        <v>21818</v>
      </c>
      <c r="L4" s="83">
        <v>17186</v>
      </c>
      <c r="M4" s="108">
        <f>L4-K4</f>
        <v>-4632</v>
      </c>
      <c r="N4" s="18"/>
      <c r="O4" s="19"/>
    </row>
    <row r="5" spans="1:15">
      <c r="J5" s="17"/>
      <c r="K5" s="17"/>
      <c r="L5" s="17"/>
      <c r="M5" s="17"/>
    </row>
    <row r="6" spans="1:15" ht="15" customHeight="1">
      <c r="A6" s="141" t="s">
        <v>1</v>
      </c>
      <c r="B6" s="141"/>
      <c r="C6" s="141"/>
      <c r="D6" s="141"/>
      <c r="E6" s="141"/>
      <c r="F6" s="141"/>
      <c r="G6" s="141"/>
      <c r="H6" s="141"/>
      <c r="I6" s="141"/>
      <c r="J6" s="141"/>
      <c r="K6" s="141"/>
      <c r="L6" s="141"/>
      <c r="N6" s="17"/>
    </row>
    <row r="7" spans="1:15" ht="15.75" customHeight="1">
      <c r="A7" s="3"/>
      <c r="B7" s="5" t="s">
        <v>6</v>
      </c>
      <c r="C7" s="6" t="s">
        <v>14</v>
      </c>
      <c r="D7" s="145" t="s">
        <v>4</v>
      </c>
      <c r="E7" s="145"/>
      <c r="F7" s="145"/>
      <c r="G7" s="145"/>
      <c r="H7" s="145"/>
      <c r="I7" s="145"/>
      <c r="J7" s="145"/>
      <c r="K7" s="145"/>
      <c r="L7" s="145"/>
    </row>
    <row r="8" spans="1:15">
      <c r="A8" s="2" t="s">
        <v>3</v>
      </c>
      <c r="B8" s="61">
        <v>1</v>
      </c>
      <c r="C8" s="61">
        <v>1</v>
      </c>
      <c r="D8" s="146" t="s">
        <v>69</v>
      </c>
      <c r="E8" s="146"/>
      <c r="F8" s="146"/>
      <c r="G8" s="146"/>
      <c r="H8" s="146"/>
      <c r="I8" s="146"/>
      <c r="J8" s="146"/>
      <c r="K8" s="146"/>
      <c r="L8" s="146"/>
    </row>
    <row r="9" spans="1:15">
      <c r="A9" s="2" t="s">
        <v>2</v>
      </c>
      <c r="B9" s="61">
        <v>0</v>
      </c>
      <c r="C9" s="61">
        <v>0</v>
      </c>
      <c r="D9" s="146"/>
      <c r="E9" s="146"/>
      <c r="F9" s="146"/>
      <c r="G9" s="146"/>
      <c r="H9" s="146"/>
      <c r="I9" s="146"/>
      <c r="J9" s="146"/>
      <c r="K9" s="146"/>
      <c r="L9" s="146"/>
    </row>
    <row r="10" spans="1:15" ht="14.25" customHeight="1">
      <c r="A10" s="2" t="s">
        <v>5</v>
      </c>
      <c r="B10" s="61">
        <v>5</v>
      </c>
      <c r="C10" s="61">
        <v>0</v>
      </c>
      <c r="D10" s="147" t="s">
        <v>72</v>
      </c>
      <c r="E10" s="147"/>
      <c r="F10" s="147"/>
      <c r="G10" s="147"/>
      <c r="H10" s="147"/>
      <c r="I10" s="147"/>
      <c r="J10" s="147"/>
      <c r="K10" s="147"/>
      <c r="L10" s="147"/>
    </row>
    <row r="11" spans="1:15">
      <c r="A11" s="2" t="s">
        <v>62</v>
      </c>
      <c r="B11" s="61">
        <v>0</v>
      </c>
      <c r="C11" s="61">
        <v>0</v>
      </c>
      <c r="D11" s="148"/>
      <c r="E11" s="148"/>
      <c r="F11" s="148"/>
      <c r="G11" s="148"/>
      <c r="H11" s="148"/>
      <c r="I11" s="148"/>
      <c r="J11" s="148"/>
      <c r="K11" s="148"/>
      <c r="L11" s="148"/>
    </row>
    <row r="12" spans="1:15" ht="15" customHeight="1">
      <c r="A12" s="141" t="s">
        <v>8</v>
      </c>
      <c r="B12" s="141"/>
      <c r="C12" s="141"/>
      <c r="D12" s="141"/>
      <c r="E12" s="141"/>
      <c r="F12" s="141"/>
      <c r="G12" s="141"/>
      <c r="H12" s="141"/>
      <c r="I12" s="141"/>
      <c r="J12" s="141"/>
      <c r="K12" s="141"/>
      <c r="L12" s="141"/>
    </row>
    <row r="13" spans="1:15" ht="15" customHeight="1">
      <c r="A13" s="9"/>
      <c r="B13" s="6" t="s">
        <v>9</v>
      </c>
      <c r="C13" s="6" t="s">
        <v>10</v>
      </c>
      <c r="D13" s="6" t="s">
        <v>33</v>
      </c>
      <c r="E13" s="6" t="s">
        <v>34</v>
      </c>
      <c r="F13" s="142" t="s">
        <v>35</v>
      </c>
      <c r="G13" s="144"/>
      <c r="H13" s="143" t="s">
        <v>4</v>
      </c>
      <c r="I13" s="143"/>
      <c r="J13" s="143"/>
      <c r="K13" s="143"/>
      <c r="L13" s="144"/>
    </row>
    <row r="14" spans="1:15" ht="15" customHeight="1">
      <c r="A14" s="4" t="s">
        <v>22</v>
      </c>
      <c r="B14" s="64">
        <v>215</v>
      </c>
      <c r="C14" s="29">
        <v>131</v>
      </c>
      <c r="D14" s="29">
        <v>78</v>
      </c>
      <c r="E14" s="29">
        <f>B14-C14-D14</f>
        <v>6</v>
      </c>
      <c r="F14" s="134">
        <f>C14/B14</f>
        <v>0.6093023255813953</v>
      </c>
      <c r="G14" s="135"/>
      <c r="H14" s="136"/>
      <c r="I14" s="136"/>
      <c r="J14" s="136"/>
      <c r="K14" s="136"/>
      <c r="L14" s="137"/>
    </row>
    <row r="15" spans="1:15" ht="15" customHeight="1">
      <c r="A15" s="4" t="s">
        <v>20</v>
      </c>
      <c r="B15" s="64">
        <v>215</v>
      </c>
      <c r="C15" s="29">
        <v>163</v>
      </c>
      <c r="D15" s="29">
        <v>34</v>
      </c>
      <c r="E15" s="29">
        <f>B15-C15-D15</f>
        <v>18</v>
      </c>
      <c r="F15" s="134">
        <f t="shared" ref="F15:F18" si="0">C15/B15</f>
        <v>0.75813953488372088</v>
      </c>
      <c r="G15" s="135"/>
      <c r="H15" s="136"/>
      <c r="I15" s="136"/>
      <c r="J15" s="136"/>
      <c r="K15" s="136"/>
      <c r="L15" s="137"/>
    </row>
    <row r="16" spans="1:15" ht="15" customHeight="1">
      <c r="A16" s="4" t="s">
        <v>64</v>
      </c>
      <c r="B16" s="64">
        <v>215</v>
      </c>
      <c r="C16" s="29">
        <v>171</v>
      </c>
      <c r="D16" s="29">
        <v>23</v>
      </c>
      <c r="E16" s="29">
        <f>B16-C16-D16</f>
        <v>21</v>
      </c>
      <c r="F16" s="134">
        <f t="shared" si="0"/>
        <v>0.79534883720930227</v>
      </c>
      <c r="G16" s="135"/>
      <c r="H16" s="136"/>
      <c r="I16" s="136"/>
      <c r="J16" s="136"/>
      <c r="K16" s="136"/>
      <c r="L16" s="137"/>
    </row>
    <row r="17" spans="1:12" ht="15" customHeight="1">
      <c r="A17" s="4" t="s">
        <v>21</v>
      </c>
      <c r="B17" s="64">
        <v>215</v>
      </c>
      <c r="C17" s="29">
        <v>172</v>
      </c>
      <c r="D17" s="29">
        <v>23</v>
      </c>
      <c r="E17" s="29">
        <f t="shared" ref="E17:E18" si="1">B17-C17-D17</f>
        <v>20</v>
      </c>
      <c r="F17" s="134">
        <f t="shared" si="0"/>
        <v>0.8</v>
      </c>
      <c r="G17" s="135"/>
      <c r="H17" s="136"/>
      <c r="I17" s="136"/>
      <c r="J17" s="136"/>
      <c r="K17" s="136"/>
      <c r="L17" s="137"/>
    </row>
    <row r="18" spans="1:12" ht="15" customHeight="1">
      <c r="A18" s="4" t="s">
        <v>65</v>
      </c>
      <c r="B18" s="64">
        <v>215</v>
      </c>
      <c r="C18" s="29">
        <v>173</v>
      </c>
      <c r="D18" s="89">
        <v>19</v>
      </c>
      <c r="E18" s="29">
        <f t="shared" si="1"/>
        <v>23</v>
      </c>
      <c r="F18" s="134">
        <f t="shared" si="0"/>
        <v>0.8046511627906977</v>
      </c>
      <c r="G18" s="135"/>
      <c r="H18" s="136"/>
      <c r="I18" s="136"/>
      <c r="J18" s="136"/>
      <c r="K18" s="136"/>
      <c r="L18" s="137"/>
    </row>
    <row r="19" spans="1:12" ht="15" hidden="1" customHeight="1">
      <c r="A19" s="4" t="s">
        <v>31</v>
      </c>
      <c r="B19" s="61"/>
      <c r="C19" s="29"/>
      <c r="D19" s="61"/>
      <c r="E19" s="29">
        <f t="shared" ref="E19:E20" si="2">B19-C19-D19</f>
        <v>0</v>
      </c>
      <c r="F19" s="134" t="e">
        <f t="shared" ref="F19:F20" si="3">C19/B19</f>
        <v>#DIV/0!</v>
      </c>
      <c r="G19" s="135"/>
      <c r="H19" s="136"/>
      <c r="I19" s="136"/>
      <c r="J19" s="136"/>
      <c r="K19" s="136"/>
      <c r="L19" s="137"/>
    </row>
    <row r="20" spans="1:12" ht="15" hidden="1" customHeight="1">
      <c r="A20" s="4" t="s">
        <v>30</v>
      </c>
      <c r="B20" s="61"/>
      <c r="C20" s="29"/>
      <c r="D20" s="61"/>
      <c r="E20" s="29">
        <f t="shared" si="2"/>
        <v>0</v>
      </c>
      <c r="F20" s="134" t="e">
        <f t="shared" si="3"/>
        <v>#DIV/0!</v>
      </c>
      <c r="G20" s="135"/>
      <c r="H20" s="136"/>
      <c r="I20" s="136"/>
      <c r="J20" s="136"/>
      <c r="K20" s="136"/>
      <c r="L20" s="137"/>
    </row>
    <row r="21" spans="1:12" ht="15.6">
      <c r="A21" s="141" t="s">
        <v>11</v>
      </c>
      <c r="B21" s="141"/>
      <c r="C21" s="141"/>
      <c r="D21" s="141"/>
      <c r="E21" s="141"/>
      <c r="F21" s="141"/>
      <c r="G21" s="141"/>
      <c r="H21" s="141"/>
      <c r="I21" s="141"/>
      <c r="J21" s="141"/>
      <c r="K21" s="141"/>
      <c r="L21" s="141"/>
    </row>
    <row r="22" spans="1:12" ht="12.6" customHeight="1">
      <c r="A22" s="796" t="s">
        <v>489</v>
      </c>
      <c r="B22" s="796" t="s">
        <v>490</v>
      </c>
      <c r="C22" s="796" t="s">
        <v>491</v>
      </c>
      <c r="D22" s="796" t="s">
        <v>492</v>
      </c>
      <c r="E22" s="796" t="s">
        <v>493</v>
      </c>
      <c r="F22" s="796" t="s">
        <v>494</v>
      </c>
      <c r="G22" s="796" t="s">
        <v>495</v>
      </c>
      <c r="H22" s="120" t="s">
        <v>4</v>
      </c>
      <c r="I22" s="120"/>
      <c r="J22" s="120"/>
      <c r="K22" s="120"/>
      <c r="L22" s="121"/>
    </row>
    <row r="23" spans="1:12">
      <c r="A23" s="797" t="s">
        <v>496</v>
      </c>
      <c r="B23" s="798">
        <v>13545915.369999999</v>
      </c>
      <c r="C23" s="798">
        <v>13407699.970000001</v>
      </c>
      <c r="D23" s="799">
        <v>-138215.39999999851</v>
      </c>
      <c r="E23" s="800">
        <v>66479114.460000038</v>
      </c>
      <c r="F23" s="801">
        <v>67482151.919999987</v>
      </c>
      <c r="G23" s="802">
        <v>1003037.4599999487</v>
      </c>
      <c r="H23" s="122"/>
      <c r="I23" s="123"/>
      <c r="J23" s="123"/>
      <c r="K23" s="123"/>
      <c r="L23" s="124"/>
    </row>
    <row r="24" spans="1:12" s="109" customFormat="1">
      <c r="A24" s="797" t="s">
        <v>497</v>
      </c>
      <c r="B24" s="798">
        <v>1082582.1000000001</v>
      </c>
      <c r="C24" s="798">
        <v>787163.2300000001</v>
      </c>
      <c r="D24" s="799">
        <v>-295418.87</v>
      </c>
      <c r="E24" s="800">
        <v>5926125.96</v>
      </c>
      <c r="F24" s="801">
        <v>3935816.149999999</v>
      </c>
      <c r="G24" s="803">
        <v>-1990309.810000001</v>
      </c>
      <c r="H24" s="115"/>
      <c r="I24" s="116"/>
      <c r="J24" s="116"/>
      <c r="K24" s="116"/>
      <c r="L24" s="117"/>
    </row>
    <row r="25" spans="1:12">
      <c r="A25" s="797" t="s">
        <v>498</v>
      </c>
      <c r="B25" s="798">
        <v>2262957.4900000002</v>
      </c>
      <c r="C25" s="798">
        <v>2262957.4900000002</v>
      </c>
      <c r="D25" s="799">
        <v>0</v>
      </c>
      <c r="E25" s="800">
        <v>958243.77000000142</v>
      </c>
      <c r="F25" s="801">
        <v>11314787.449999999</v>
      </c>
      <c r="G25" s="802">
        <v>10356543.679999998</v>
      </c>
      <c r="H25" s="122"/>
      <c r="I25" s="123"/>
      <c r="J25" s="123"/>
      <c r="K25" s="123"/>
      <c r="L25" s="124"/>
    </row>
    <row r="26" spans="1:12">
      <c r="A26" s="797" t="s">
        <v>499</v>
      </c>
      <c r="B26" s="798">
        <v>5986897.0100000044</v>
      </c>
      <c r="C26" s="798">
        <v>7130561.5</v>
      </c>
      <c r="D26" s="804">
        <v>1143664.4899999956</v>
      </c>
      <c r="E26" s="800">
        <v>31789553.34999992</v>
      </c>
      <c r="F26" s="801">
        <v>37708465.5</v>
      </c>
      <c r="G26" s="802">
        <v>5918912.1500000805</v>
      </c>
      <c r="H26" s="68"/>
      <c r="I26" s="69"/>
      <c r="J26" s="69"/>
      <c r="K26" s="69"/>
      <c r="L26" s="70"/>
    </row>
    <row r="27" spans="1:12" s="109" customFormat="1">
      <c r="A27" s="797" t="s">
        <v>500</v>
      </c>
      <c r="B27" s="798">
        <v>2902533.12</v>
      </c>
      <c r="C27" s="798">
        <v>3767889.76</v>
      </c>
      <c r="D27" s="804">
        <v>865356.63999999966</v>
      </c>
      <c r="E27" s="800">
        <v>19422762.960000001</v>
      </c>
      <c r="F27" s="801">
        <v>19411921.52</v>
      </c>
      <c r="G27" s="803">
        <v>-10841.440000001341</v>
      </c>
      <c r="H27" s="115"/>
      <c r="I27" s="118"/>
      <c r="J27" s="118"/>
      <c r="K27" s="118"/>
      <c r="L27" s="119"/>
    </row>
    <row r="28" spans="1:12" ht="19.95" customHeight="1">
      <c r="A28" s="797" t="s">
        <v>501</v>
      </c>
      <c r="B28" s="798">
        <v>1613947.03</v>
      </c>
      <c r="C28" s="798">
        <v>1848208.8</v>
      </c>
      <c r="D28" s="804">
        <v>234261.77000000002</v>
      </c>
      <c r="E28" s="800">
        <v>6139422.839999998</v>
      </c>
      <c r="F28" s="801">
        <v>9194556.6899999995</v>
      </c>
      <c r="G28" s="802">
        <v>3055133.8500000015</v>
      </c>
      <c r="H28" s="125"/>
      <c r="I28" s="126"/>
      <c r="J28" s="126"/>
      <c r="K28" s="126"/>
      <c r="L28" s="127"/>
    </row>
    <row r="29" spans="1:12">
      <c r="A29" s="797" t="s">
        <v>502</v>
      </c>
      <c r="B29" s="798">
        <v>98190.139999999985</v>
      </c>
      <c r="C29" s="798">
        <v>225133</v>
      </c>
      <c r="D29" s="804">
        <v>126942.86000000002</v>
      </c>
      <c r="E29" s="800">
        <v>775716.06</v>
      </c>
      <c r="F29" s="801">
        <v>1204667.5</v>
      </c>
      <c r="G29" s="802">
        <v>428951.43999999994</v>
      </c>
      <c r="H29" s="122"/>
      <c r="I29" s="123"/>
      <c r="J29" s="123"/>
      <c r="K29" s="123"/>
      <c r="L29" s="124"/>
    </row>
    <row r="30" spans="1:12">
      <c r="A30" s="805" t="s">
        <v>503</v>
      </c>
      <c r="B30" s="806">
        <v>27493022.260000005</v>
      </c>
      <c r="C30" s="806">
        <v>29429613.750000004</v>
      </c>
      <c r="D30" s="807">
        <v>1936591.4899999967</v>
      </c>
      <c r="E30" s="808">
        <v>131490939.39999996</v>
      </c>
      <c r="F30" s="809">
        <v>150252366.72999999</v>
      </c>
      <c r="G30" s="810">
        <v>18761427.330000028</v>
      </c>
      <c r="H30" s="122"/>
      <c r="I30" s="123"/>
      <c r="J30" s="123"/>
      <c r="K30" s="123"/>
      <c r="L30" s="124"/>
    </row>
    <row r="31" spans="1:12" ht="36.75" customHeight="1">
      <c r="A31" s="141" t="s">
        <v>39</v>
      </c>
      <c r="B31" s="141"/>
      <c r="C31" s="141"/>
      <c r="D31" s="141"/>
      <c r="E31" s="141"/>
      <c r="F31" s="141"/>
      <c r="G31" s="141"/>
      <c r="H31" s="141"/>
      <c r="I31" s="141"/>
      <c r="J31" s="141"/>
      <c r="K31" s="141"/>
      <c r="L31" s="141"/>
    </row>
    <row r="32" spans="1:12" ht="15.6">
      <c r="A32" s="138" t="s">
        <v>17</v>
      </c>
      <c r="B32" s="139"/>
      <c r="C32" s="139"/>
      <c r="D32" s="139"/>
      <c r="E32" s="140"/>
      <c r="F32" s="2" t="s">
        <v>18</v>
      </c>
      <c r="G32" s="2" t="s">
        <v>19</v>
      </c>
      <c r="H32" s="142" t="s">
        <v>4</v>
      </c>
      <c r="I32" s="143"/>
      <c r="J32" s="143"/>
      <c r="K32" s="143"/>
      <c r="L32" s="144"/>
    </row>
    <row r="33" spans="1:15">
      <c r="A33" s="155" t="s">
        <v>511</v>
      </c>
      <c r="B33" s="156"/>
      <c r="C33" s="156"/>
      <c r="D33" s="156"/>
      <c r="E33" s="157"/>
      <c r="F33" s="14"/>
      <c r="G33" s="14"/>
      <c r="H33" s="152"/>
      <c r="I33" s="153"/>
      <c r="J33" s="153"/>
      <c r="K33" s="153"/>
      <c r="L33" s="154"/>
    </row>
    <row r="34" spans="1:15" ht="15" customHeight="1">
      <c r="A34" s="155" t="s">
        <v>510</v>
      </c>
      <c r="B34" s="156"/>
      <c r="C34" s="156"/>
      <c r="D34" s="156"/>
      <c r="E34" s="157"/>
      <c r="F34" s="14"/>
      <c r="G34" s="14"/>
      <c r="H34" s="152"/>
      <c r="I34" s="153"/>
      <c r="J34" s="153"/>
      <c r="K34" s="153"/>
      <c r="L34" s="154"/>
    </row>
    <row r="35" spans="1:15" ht="14.4" customHeight="1">
      <c r="A35" s="155" t="s">
        <v>71</v>
      </c>
      <c r="B35" s="156"/>
      <c r="C35" s="156"/>
      <c r="D35" s="156"/>
      <c r="E35" s="157"/>
      <c r="F35" s="14"/>
      <c r="G35" s="15"/>
      <c r="H35" s="152"/>
      <c r="I35" s="153"/>
      <c r="J35" s="153"/>
      <c r="K35" s="153"/>
      <c r="L35" s="154"/>
    </row>
    <row r="36" spans="1:15" ht="14.4" customHeight="1">
      <c r="A36" s="155" t="s">
        <v>505</v>
      </c>
      <c r="B36" s="156"/>
      <c r="C36" s="156"/>
      <c r="D36" s="156"/>
      <c r="E36" s="157"/>
      <c r="F36" s="14"/>
      <c r="G36" s="15"/>
      <c r="H36" s="152"/>
      <c r="I36" s="153"/>
      <c r="J36" s="153"/>
      <c r="K36" s="153"/>
      <c r="L36" s="154"/>
    </row>
    <row r="37" spans="1:15" ht="14.4" customHeight="1">
      <c r="A37" s="155" t="s">
        <v>506</v>
      </c>
      <c r="B37" s="156"/>
      <c r="C37" s="156"/>
      <c r="D37" s="156"/>
      <c r="E37" s="157"/>
      <c r="F37" s="14"/>
      <c r="G37" s="15"/>
      <c r="H37" s="152"/>
      <c r="I37" s="153"/>
      <c r="J37" s="153"/>
      <c r="K37" s="153"/>
      <c r="L37" s="154"/>
    </row>
    <row r="38" spans="1:15" s="90" customFormat="1" ht="14.4" customHeight="1">
      <c r="A38" s="155" t="s">
        <v>507</v>
      </c>
      <c r="B38" s="156"/>
      <c r="C38" s="156"/>
      <c r="D38" s="156"/>
      <c r="E38" s="157"/>
      <c r="F38" s="14"/>
      <c r="G38" s="15"/>
      <c r="H38" s="104"/>
      <c r="I38" s="105"/>
      <c r="J38" s="105"/>
      <c r="K38" s="105"/>
      <c r="L38" s="106"/>
    </row>
    <row r="39" spans="1:15" s="71" customFormat="1">
      <c r="A39" s="155" t="s">
        <v>509</v>
      </c>
      <c r="B39" s="156"/>
      <c r="C39" s="156"/>
      <c r="D39" s="156"/>
      <c r="E39" s="157"/>
      <c r="F39" s="81"/>
      <c r="G39" s="81"/>
      <c r="H39" s="152"/>
      <c r="I39" s="153"/>
      <c r="J39" s="153"/>
      <c r="K39" s="153"/>
      <c r="L39" s="154"/>
    </row>
    <row r="40" spans="1:15" s="90" customFormat="1">
      <c r="A40" s="155" t="s">
        <v>508</v>
      </c>
      <c r="B40" s="156"/>
      <c r="C40" s="156"/>
      <c r="D40" s="156"/>
      <c r="E40" s="157"/>
      <c r="F40" s="103"/>
      <c r="G40" s="103"/>
      <c r="H40" s="104"/>
      <c r="I40" s="105"/>
      <c r="J40" s="105"/>
      <c r="K40" s="105"/>
      <c r="L40" s="106"/>
    </row>
    <row r="41" spans="1:15">
      <c r="A41" s="155"/>
      <c r="B41" s="156"/>
      <c r="C41" s="156"/>
      <c r="D41" s="156"/>
      <c r="E41" s="157"/>
      <c r="F41" s="14"/>
      <c r="G41" s="15"/>
      <c r="H41" s="159"/>
      <c r="I41" s="160"/>
      <c r="J41" s="160"/>
      <c r="K41" s="160"/>
      <c r="L41" s="161"/>
    </row>
    <row r="42" spans="1:15">
      <c r="A42" s="65"/>
      <c r="B42" s="62" t="s">
        <v>22</v>
      </c>
      <c r="C42" s="62" t="s">
        <v>20</v>
      </c>
      <c r="D42" s="62" t="s">
        <v>64</v>
      </c>
      <c r="E42" s="62" t="s">
        <v>21</v>
      </c>
      <c r="F42" s="62" t="s">
        <v>65</v>
      </c>
      <c r="G42" s="62" t="s">
        <v>66</v>
      </c>
      <c r="H42" s="152"/>
      <c r="I42" s="153"/>
      <c r="J42" s="153"/>
      <c r="K42" s="153"/>
      <c r="L42" s="154"/>
    </row>
    <row r="43" spans="1:15" ht="21.75" customHeight="1">
      <c r="A43" s="2" t="s">
        <v>25</v>
      </c>
      <c r="B43" s="82">
        <v>0.55000000000000004</v>
      </c>
      <c r="C43" s="82">
        <v>0.53</v>
      </c>
      <c r="D43" s="82">
        <v>0.56999999999999995</v>
      </c>
      <c r="E43" s="82">
        <v>0.68</v>
      </c>
      <c r="F43" s="82">
        <v>0.81</v>
      </c>
      <c r="G43" s="11">
        <f>AVERAGE(B43:F43)</f>
        <v>0.628</v>
      </c>
      <c r="H43" s="152" t="s">
        <v>70</v>
      </c>
      <c r="I43" s="153"/>
      <c r="J43" s="153"/>
      <c r="K43" s="153"/>
      <c r="L43" s="154"/>
      <c r="M43" s="24"/>
      <c r="O43" s="23"/>
    </row>
    <row r="44" spans="1:15" ht="21.75" customHeight="1">
      <c r="A44" s="2" t="s">
        <v>26</v>
      </c>
      <c r="B44" s="82">
        <v>0.73</v>
      </c>
      <c r="C44" s="82">
        <v>0.56999999999999995</v>
      </c>
      <c r="D44" s="82">
        <v>0.64</v>
      </c>
      <c r="E44" s="82">
        <v>0.76</v>
      </c>
      <c r="F44" s="82">
        <v>0.61</v>
      </c>
      <c r="G44" s="11">
        <f t="shared" ref="G44:G47" si="4">AVERAGE(B44:F44)</f>
        <v>0.66200000000000003</v>
      </c>
      <c r="H44" s="152" t="s">
        <v>504</v>
      </c>
      <c r="I44" s="153"/>
      <c r="J44" s="153"/>
      <c r="K44" s="153"/>
      <c r="L44" s="154"/>
      <c r="M44" s="24"/>
      <c r="O44" s="23"/>
    </row>
    <row r="45" spans="1:15">
      <c r="A45" s="2" t="s">
        <v>23</v>
      </c>
      <c r="B45" s="82">
        <v>0.97</v>
      </c>
      <c r="C45" s="82">
        <v>0.87</v>
      </c>
      <c r="D45" s="82">
        <v>0.83</v>
      </c>
      <c r="E45" s="82">
        <v>0.9</v>
      </c>
      <c r="F45" s="82">
        <v>0.92</v>
      </c>
      <c r="G45" s="11">
        <f t="shared" si="4"/>
        <v>0.89800000000000002</v>
      </c>
      <c r="H45" s="152"/>
      <c r="I45" s="153"/>
      <c r="J45" s="153"/>
      <c r="K45" s="153"/>
      <c r="L45" s="154"/>
    </row>
    <row r="46" spans="1:15">
      <c r="A46" s="2" t="s">
        <v>24</v>
      </c>
      <c r="B46" s="82">
        <v>0.99</v>
      </c>
      <c r="C46" s="82">
        <v>0.9</v>
      </c>
      <c r="D46" s="82">
        <v>0.94</v>
      </c>
      <c r="E46" s="82">
        <v>0.86</v>
      </c>
      <c r="F46" s="82">
        <v>0.98</v>
      </c>
      <c r="G46" s="11">
        <f t="shared" si="4"/>
        <v>0.93399999999999994</v>
      </c>
      <c r="H46" s="162"/>
      <c r="I46" s="163"/>
      <c r="J46" s="163"/>
      <c r="K46" s="163"/>
      <c r="L46" s="164"/>
    </row>
    <row r="47" spans="1:15">
      <c r="A47" s="2" t="s">
        <v>27</v>
      </c>
      <c r="B47" s="82">
        <v>0.81</v>
      </c>
      <c r="C47" s="82">
        <v>0.97</v>
      </c>
      <c r="D47" s="82">
        <v>0.99</v>
      </c>
      <c r="E47" s="82">
        <v>0.93</v>
      </c>
      <c r="F47" s="82">
        <v>0.88</v>
      </c>
      <c r="G47" s="11">
        <f t="shared" si="4"/>
        <v>0.91600000000000004</v>
      </c>
      <c r="H47" s="155"/>
      <c r="I47" s="156"/>
      <c r="J47" s="156"/>
      <c r="K47" s="156"/>
      <c r="L47" s="157"/>
    </row>
    <row r="48" spans="1:15">
      <c r="A48" s="26"/>
      <c r="B48" s="165"/>
      <c r="C48" s="166"/>
      <c r="D48" s="166"/>
      <c r="E48" s="166"/>
      <c r="F48" s="167"/>
      <c r="G48" s="27"/>
      <c r="H48" s="25"/>
      <c r="I48" s="20"/>
      <c r="J48" s="20"/>
      <c r="K48" s="20"/>
      <c r="L48" s="21"/>
    </row>
    <row r="49" spans="1:14">
      <c r="A49" s="28" t="s">
        <v>68</v>
      </c>
      <c r="B49" s="28"/>
      <c r="C49" s="28"/>
      <c r="D49" s="28"/>
      <c r="E49" s="28"/>
      <c r="F49" s="28"/>
      <c r="G49" s="28"/>
      <c r="H49" s="28"/>
      <c r="I49" s="28"/>
      <c r="J49" s="28"/>
      <c r="K49" s="28"/>
      <c r="L49" s="28"/>
      <c r="N49">
        <f>1198+1853+1991</f>
        <v>5042</v>
      </c>
    </row>
    <row r="50" spans="1:14">
      <c r="A50" s="12"/>
      <c r="B50" s="10" t="s">
        <v>9</v>
      </c>
      <c r="C50" s="10"/>
      <c r="D50" s="143"/>
      <c r="E50" s="143"/>
      <c r="F50" s="143"/>
      <c r="G50" s="143"/>
      <c r="H50" s="143"/>
      <c r="I50" s="143"/>
      <c r="J50" s="143"/>
      <c r="K50" s="143"/>
      <c r="L50" s="144"/>
    </row>
    <row r="51" spans="1:14" ht="15" customHeight="1">
      <c r="A51" s="4" t="s">
        <v>23</v>
      </c>
      <c r="B51" s="13">
        <v>6</v>
      </c>
      <c r="C51" s="13">
        <v>6</v>
      </c>
      <c r="D51" s="149"/>
      <c r="E51" s="150"/>
      <c r="F51" s="150"/>
      <c r="G51" s="150"/>
      <c r="H51" s="150"/>
      <c r="I51" s="150"/>
      <c r="J51" s="150"/>
      <c r="K51" s="150"/>
      <c r="L51" s="151"/>
    </row>
    <row r="52" spans="1:14" ht="15" customHeight="1">
      <c r="A52" s="2" t="s">
        <v>24</v>
      </c>
      <c r="B52" s="13">
        <v>6</v>
      </c>
      <c r="C52" s="13">
        <v>6</v>
      </c>
      <c r="D52" s="149"/>
      <c r="E52" s="150"/>
      <c r="F52" s="150"/>
      <c r="G52" s="150"/>
      <c r="H52" s="150"/>
      <c r="I52" s="150"/>
      <c r="J52" s="150"/>
      <c r="K52" s="150"/>
      <c r="L52" s="151"/>
    </row>
    <row r="53" spans="1:14" ht="15" customHeight="1">
      <c r="A53" s="2" t="s">
        <v>25</v>
      </c>
      <c r="B53" s="13">
        <v>9</v>
      </c>
      <c r="C53" s="13">
        <v>8</v>
      </c>
      <c r="D53" s="149" t="s">
        <v>512</v>
      </c>
      <c r="E53" s="150"/>
      <c r="F53" s="150"/>
      <c r="G53" s="150"/>
      <c r="H53" s="150"/>
      <c r="I53" s="150"/>
      <c r="J53" s="150"/>
      <c r="K53" s="150"/>
      <c r="L53" s="151"/>
      <c r="M53" t="s">
        <v>54</v>
      </c>
    </row>
    <row r="54" spans="1:14" ht="15" customHeight="1">
      <c r="A54" s="2" t="s">
        <v>26</v>
      </c>
      <c r="B54" s="22">
        <v>6</v>
      </c>
      <c r="C54" s="13">
        <v>6</v>
      </c>
      <c r="D54" s="149" t="s">
        <v>514</v>
      </c>
      <c r="E54" s="150"/>
      <c r="F54" s="150"/>
      <c r="G54" s="150"/>
      <c r="H54" s="150"/>
      <c r="I54" s="150"/>
      <c r="J54" s="150"/>
      <c r="K54" s="150"/>
      <c r="L54" s="151"/>
    </row>
    <row r="55" spans="1:14" ht="15" customHeight="1">
      <c r="A55" s="2" t="s">
        <v>27</v>
      </c>
      <c r="B55" s="13">
        <v>6</v>
      </c>
      <c r="C55" s="111">
        <v>5</v>
      </c>
      <c r="D55" s="149" t="s">
        <v>513</v>
      </c>
      <c r="E55" s="150"/>
      <c r="F55" s="150"/>
      <c r="G55" s="150"/>
      <c r="H55" s="150"/>
      <c r="I55" s="150"/>
      <c r="J55" s="150"/>
      <c r="K55" s="150"/>
      <c r="L55" s="151"/>
    </row>
    <row r="56" spans="1:14" ht="15" customHeight="1">
      <c r="A56" s="2" t="s">
        <v>36</v>
      </c>
      <c r="B56" s="13">
        <v>3</v>
      </c>
      <c r="C56" s="111">
        <v>3</v>
      </c>
      <c r="D56" s="149"/>
      <c r="E56" s="150"/>
      <c r="F56" s="150"/>
      <c r="G56" s="150"/>
      <c r="H56" s="150"/>
      <c r="I56" s="150"/>
      <c r="J56" s="150"/>
      <c r="K56" s="150"/>
      <c r="L56" s="151"/>
    </row>
    <row r="57" spans="1:14" ht="15" customHeight="1">
      <c r="A57" s="2" t="s">
        <v>37</v>
      </c>
      <c r="B57" s="13">
        <v>3</v>
      </c>
      <c r="C57" s="13">
        <v>3</v>
      </c>
      <c r="D57" s="149"/>
      <c r="E57" s="150"/>
      <c r="F57" s="150"/>
      <c r="G57" s="150"/>
      <c r="H57" s="150"/>
      <c r="I57" s="150"/>
      <c r="J57" s="150"/>
      <c r="K57" s="150"/>
      <c r="L57" s="151"/>
    </row>
    <row r="58" spans="1:14">
      <c r="A58" s="158" t="s">
        <v>38</v>
      </c>
      <c r="B58" s="158"/>
      <c r="C58" s="158"/>
      <c r="D58" s="158"/>
      <c r="E58" s="158"/>
      <c r="F58" s="158"/>
      <c r="G58" s="158"/>
      <c r="H58" s="158"/>
      <c r="I58" s="158"/>
      <c r="J58" s="158"/>
      <c r="K58" s="158"/>
      <c r="L58" s="158"/>
    </row>
    <row r="59" spans="1:14">
      <c r="C59" s="23"/>
    </row>
    <row r="60" spans="1:14">
      <c r="A60" s="67" t="s">
        <v>67</v>
      </c>
    </row>
    <row r="65" spans="2:6">
      <c r="B65" s="82"/>
      <c r="C65" s="82"/>
      <c r="D65" s="82"/>
      <c r="E65" s="82"/>
      <c r="F65" s="114"/>
    </row>
  </sheetData>
  <mergeCells count="59">
    <mergeCell ref="A58:L58"/>
    <mergeCell ref="D56:L56"/>
    <mergeCell ref="H41:L41"/>
    <mergeCell ref="H45:L45"/>
    <mergeCell ref="D51:L51"/>
    <mergeCell ref="H46:L46"/>
    <mergeCell ref="B48:F48"/>
    <mergeCell ref="A41:E41"/>
    <mergeCell ref="H44:L44"/>
    <mergeCell ref="D52:L52"/>
    <mergeCell ref="D55:L55"/>
    <mergeCell ref="D57:L57"/>
    <mergeCell ref="D53:L53"/>
    <mergeCell ref="D50:L50"/>
    <mergeCell ref="H42:L42"/>
    <mergeCell ref="H47:L47"/>
    <mergeCell ref="D54:L54"/>
    <mergeCell ref="H39:L39"/>
    <mergeCell ref="H43:L43"/>
    <mergeCell ref="H33:L33"/>
    <mergeCell ref="A33:E33"/>
    <mergeCell ref="A35:E35"/>
    <mergeCell ref="H35:L35"/>
    <mergeCell ref="H36:L36"/>
    <mergeCell ref="A36:E36"/>
    <mergeCell ref="H34:L34"/>
    <mergeCell ref="A34:E34"/>
    <mergeCell ref="A38:E38"/>
    <mergeCell ref="A40:E40"/>
    <mergeCell ref="H37:L37"/>
    <mergeCell ref="A37:E37"/>
    <mergeCell ref="A39:E39"/>
    <mergeCell ref="D11:L11"/>
    <mergeCell ref="H13:L13"/>
    <mergeCell ref="F13:G13"/>
    <mergeCell ref="F15:G15"/>
    <mergeCell ref="F16:G16"/>
    <mergeCell ref="H15:L15"/>
    <mergeCell ref="H14:L14"/>
    <mergeCell ref="H16:L16"/>
    <mergeCell ref="F14:G14"/>
    <mergeCell ref="A12:L12"/>
    <mergeCell ref="A6:L6"/>
    <mergeCell ref="D7:L7"/>
    <mergeCell ref="D8:L8"/>
    <mergeCell ref="D9:L9"/>
    <mergeCell ref="D10:L10"/>
    <mergeCell ref="F17:G17"/>
    <mergeCell ref="F18:G18"/>
    <mergeCell ref="H17:L17"/>
    <mergeCell ref="A32:E32"/>
    <mergeCell ref="H18:L18"/>
    <mergeCell ref="A21:L21"/>
    <mergeCell ref="H19:L19"/>
    <mergeCell ref="H20:L20"/>
    <mergeCell ref="F20:G20"/>
    <mergeCell ref="F19:G19"/>
    <mergeCell ref="A31:L31"/>
    <mergeCell ref="H32:L32"/>
  </mergeCells>
  <conditionalFormatting sqref="N34:N36">
    <cfRule type="cellIs" dxfId="111" priority="34" operator="between">
      <formula>1</formula>
      <formula>79.9</formula>
    </cfRule>
    <cfRule type="cellIs" dxfId="110" priority="35" operator="between">
      <formula>80</formula>
      <formula>84.9</formula>
    </cfRule>
    <cfRule type="cellIs" dxfId="109" priority="36" operator="greaterThan">
      <formula>85</formula>
    </cfRule>
  </conditionalFormatting>
  <conditionalFormatting sqref="G43:G48 B48 B43:F43">
    <cfRule type="cellIs" dxfId="108" priority="27" operator="greaterThan">
      <formula>0.849</formula>
    </cfRule>
    <cfRule type="cellIs" dxfId="107" priority="28" operator="between">
      <formula>0.01</formula>
      <formula>0.799</formula>
    </cfRule>
    <cfRule type="cellIs" dxfId="106" priority="29" operator="between">
      <formula>0.8</formula>
      <formula>0.849</formula>
    </cfRule>
  </conditionalFormatting>
  <conditionalFormatting sqref="N37:N42">
    <cfRule type="cellIs" dxfId="105" priority="24" operator="between">
      <formula>1</formula>
      <formula>79.9</formula>
    </cfRule>
    <cfRule type="cellIs" dxfId="104" priority="25" operator="between">
      <formula>80</formula>
      <formula>84.9</formula>
    </cfRule>
    <cfRule type="cellIs" dxfId="103" priority="26" operator="greaterThan">
      <formula>85</formula>
    </cfRule>
  </conditionalFormatting>
  <conditionalFormatting sqref="B44:F47">
    <cfRule type="cellIs" dxfId="102" priority="21" operator="greaterThan">
      <formula>0.849</formula>
    </cfRule>
    <cfRule type="cellIs" dxfId="101" priority="22" operator="between">
      <formula>0.01</formula>
      <formula>0.799</formula>
    </cfRule>
    <cfRule type="cellIs" dxfId="100" priority="23" operator="between">
      <formula>0.8</formula>
      <formula>0.849</formula>
    </cfRule>
  </conditionalFormatting>
  <conditionalFormatting sqref="B65:F65">
    <cfRule type="cellIs" dxfId="99" priority="1" operator="greaterThan">
      <formula>0.849</formula>
    </cfRule>
    <cfRule type="cellIs" dxfId="98" priority="2" operator="between">
      <formula>0.01</formula>
      <formula>0.799</formula>
    </cfRule>
    <cfRule type="cellIs" dxfId="97" priority="3" operator="between">
      <formula>0.8</formula>
      <formula>0.849</formula>
    </cfRule>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97"/>
  <sheetViews>
    <sheetView topLeftCell="A97" zoomScale="90" zoomScaleNormal="90" workbookViewId="0">
      <selection activeCell="B20" sqref="B20"/>
    </sheetView>
  </sheetViews>
  <sheetFormatPr defaultColWidth="9" defaultRowHeight="14.4"/>
  <cols>
    <col min="1" max="1" width="13.5546875" style="109" customWidth="1"/>
    <col min="2" max="2" width="49" style="109" customWidth="1"/>
    <col min="3" max="3" width="19.109375" style="109" customWidth="1"/>
    <col min="4" max="4" width="30" style="109" customWidth="1"/>
    <col min="5" max="5" width="16" style="109" customWidth="1"/>
    <col min="6" max="6" width="12.88671875" style="109" customWidth="1"/>
    <col min="7" max="7" width="34" style="109" customWidth="1"/>
    <col min="8" max="8" width="31.44140625" style="109" customWidth="1"/>
    <col min="9" max="9" width="24.5546875" style="109" customWidth="1"/>
    <col min="10" max="10" width="15.88671875" style="109" customWidth="1"/>
    <col min="11" max="11" width="5.33203125" style="109" customWidth="1"/>
    <col min="12" max="12" width="70.88671875" style="109" bestFit="1" customWidth="1"/>
    <col min="13" max="13" width="9.5546875" style="109" customWidth="1"/>
    <col min="14" max="14" width="15.6640625" style="109" customWidth="1"/>
    <col min="15" max="15" width="16.109375" style="109" customWidth="1"/>
    <col min="16" max="16" width="13.44140625" style="109" customWidth="1"/>
    <col min="17" max="17" width="47.109375" style="109" customWidth="1"/>
    <col min="18" max="20" width="12.109375" style="109" customWidth="1"/>
    <col min="21" max="21" width="12.6640625" style="109" customWidth="1"/>
    <col min="22" max="22" width="10.33203125" style="109" customWidth="1"/>
    <col min="23" max="24" width="12.109375" style="109" customWidth="1"/>
    <col min="25" max="25" width="12.88671875" style="109" customWidth="1"/>
    <col min="26" max="26" width="13.109375" style="109" customWidth="1"/>
    <col min="27" max="27" width="12.109375" style="109" customWidth="1"/>
    <col min="28" max="29" width="11.6640625" style="109" customWidth="1"/>
    <col min="30" max="30" width="11.44140625" style="109" customWidth="1"/>
    <col min="31" max="31" width="12.6640625" style="109" customWidth="1"/>
    <col min="32" max="33" width="11.6640625" style="109" customWidth="1"/>
    <col min="34" max="34" width="12.109375" style="109" customWidth="1"/>
    <col min="35" max="35" width="11.6640625" style="109" customWidth="1"/>
    <col min="36" max="40" width="12.109375" style="109" customWidth="1"/>
    <col min="41" max="41" width="13.5546875" style="109" customWidth="1"/>
    <col min="42" max="42" width="12.109375" style="109" customWidth="1"/>
    <col min="43" max="43" width="11.44140625" style="109" customWidth="1"/>
    <col min="44" max="44" width="11.6640625" style="109" customWidth="1"/>
    <col min="45" max="45" width="12" style="109" customWidth="1"/>
    <col min="46" max="46" width="12.6640625" style="109" customWidth="1"/>
    <col min="47" max="47" width="11.6640625" style="109" customWidth="1"/>
    <col min="48" max="49" width="12" style="109" customWidth="1"/>
    <col min="50" max="50" width="11.5546875" style="109" customWidth="1"/>
    <col min="51" max="51" width="12.5546875" style="109" customWidth="1"/>
    <col min="52" max="52" width="12.109375" style="109" customWidth="1"/>
    <col min="53" max="53" width="12.5546875" style="109" customWidth="1"/>
    <col min="54" max="54" width="12.6640625" style="109" customWidth="1"/>
    <col min="55" max="55" width="12.44140625" style="109" customWidth="1"/>
    <col min="56" max="56" width="12.5546875" style="109" customWidth="1"/>
    <col min="57" max="57" width="12" style="109" customWidth="1"/>
    <col min="58" max="58" width="11.44140625" style="109" customWidth="1"/>
    <col min="59" max="60" width="11.6640625" style="109" customWidth="1"/>
    <col min="61" max="64" width="12" style="109" customWidth="1"/>
    <col min="65" max="68" width="11.6640625" style="109" customWidth="1"/>
    <col min="69" max="16384" width="9" style="109"/>
  </cols>
  <sheetData>
    <row r="1" spans="2:17" ht="33.6">
      <c r="B1" s="177" t="s">
        <v>76</v>
      </c>
      <c r="C1" s="177"/>
      <c r="D1" s="177"/>
      <c r="E1" s="177"/>
      <c r="F1" s="177"/>
      <c r="G1" s="177"/>
      <c r="H1" s="177"/>
      <c r="I1" s="177"/>
      <c r="J1" s="177"/>
      <c r="K1" s="177"/>
      <c r="L1" s="177"/>
      <c r="M1" s="177"/>
    </row>
    <row r="2" spans="2:17" ht="31.2">
      <c r="B2" s="178" t="s">
        <v>77</v>
      </c>
      <c r="C2" s="179"/>
      <c r="D2" s="179"/>
      <c r="E2" s="179"/>
      <c r="F2" s="179"/>
      <c r="G2" s="179"/>
      <c r="H2" s="179"/>
      <c r="I2" s="179"/>
      <c r="J2" s="179"/>
      <c r="K2" s="179"/>
      <c r="L2" s="179"/>
      <c r="M2" s="179"/>
    </row>
    <row r="3" spans="2:17" ht="21.6" thickBot="1">
      <c r="B3" s="180" t="s">
        <v>78</v>
      </c>
      <c r="C3" s="181">
        <v>45995</v>
      </c>
    </row>
    <row r="4" spans="2:17" ht="27.75" customHeight="1" thickBot="1">
      <c r="B4" s="180" t="s">
        <v>79</v>
      </c>
      <c r="C4" s="182" t="s">
        <v>80</v>
      </c>
    </row>
    <row r="5" spans="2:17" ht="15" thickBot="1">
      <c r="I5" s="183"/>
    </row>
    <row r="6" spans="2:17" s="112" customFormat="1" ht="42.75" customHeight="1">
      <c r="B6" s="184" t="s">
        <v>81</v>
      </c>
      <c r="C6" s="185" t="s">
        <v>82</v>
      </c>
      <c r="D6" s="185" t="s">
        <v>10</v>
      </c>
      <c r="E6" s="185" t="s">
        <v>83</v>
      </c>
      <c r="F6" s="185" t="s">
        <v>84</v>
      </c>
      <c r="G6" s="186" t="s">
        <v>85</v>
      </c>
      <c r="H6" s="187" t="s">
        <v>86</v>
      </c>
      <c r="I6" s="188"/>
      <c r="J6" s="189" t="s">
        <v>87</v>
      </c>
      <c r="K6" s="190"/>
      <c r="L6" s="191" t="s">
        <v>88</v>
      </c>
      <c r="M6" s="192"/>
      <c r="O6" s="109"/>
      <c r="P6" s="109"/>
      <c r="Q6" s="109"/>
    </row>
    <row r="7" spans="2:17">
      <c r="B7" s="193" t="s">
        <v>25</v>
      </c>
      <c r="C7" s="194">
        <v>2</v>
      </c>
      <c r="D7" s="194">
        <v>2</v>
      </c>
      <c r="E7" s="195">
        <f t="shared" ref="E7:E13" si="0">IF(ISERROR(D7/C7),"",D7/C7)</f>
        <v>1</v>
      </c>
      <c r="F7" s="196">
        <v>1</v>
      </c>
      <c r="G7" s="197"/>
      <c r="H7" s="198" t="s">
        <v>89</v>
      </c>
      <c r="I7" s="199"/>
      <c r="J7" s="200"/>
      <c r="K7" s="201"/>
      <c r="L7" s="202"/>
      <c r="M7" s="203"/>
    </row>
    <row r="8" spans="2:17">
      <c r="B8" s="193" t="s">
        <v>26</v>
      </c>
      <c r="C8" s="194">
        <v>3</v>
      </c>
      <c r="D8" s="204">
        <v>3</v>
      </c>
      <c r="E8" s="205">
        <f t="shared" si="0"/>
        <v>1</v>
      </c>
      <c r="F8" s="196">
        <v>1</v>
      </c>
      <c r="G8" s="197"/>
      <c r="H8" s="198" t="s">
        <v>90</v>
      </c>
      <c r="I8" s="206"/>
      <c r="J8" s="207"/>
      <c r="K8" s="208"/>
      <c r="L8" s="209" t="s">
        <v>91</v>
      </c>
      <c r="M8" s="203"/>
    </row>
    <row r="9" spans="2:17">
      <c r="B9" s="193" t="s">
        <v>23</v>
      </c>
      <c r="C9" s="194">
        <v>4</v>
      </c>
      <c r="D9" s="194">
        <v>3</v>
      </c>
      <c r="E9" s="205">
        <f t="shared" si="0"/>
        <v>0.75</v>
      </c>
      <c r="F9" s="196">
        <v>1</v>
      </c>
      <c r="G9" s="210"/>
      <c r="H9" s="211"/>
      <c r="I9" s="212"/>
      <c r="J9" s="207"/>
      <c r="K9" s="208"/>
      <c r="L9" s="196" t="s">
        <v>92</v>
      </c>
      <c r="M9" s="203"/>
    </row>
    <row r="10" spans="2:17">
      <c r="B10" s="193" t="s">
        <v>24</v>
      </c>
      <c r="C10" s="194">
        <v>2</v>
      </c>
      <c r="D10" s="194">
        <v>2</v>
      </c>
      <c r="E10" s="205">
        <f t="shared" si="0"/>
        <v>1</v>
      </c>
      <c r="F10" s="196">
        <v>1</v>
      </c>
      <c r="G10" s="213"/>
      <c r="H10" s="214"/>
      <c r="I10" s="212"/>
      <c r="J10" s="207"/>
      <c r="K10" s="208"/>
      <c r="L10" s="215"/>
      <c r="M10" s="203"/>
    </row>
    <row r="11" spans="2:17" ht="19.5" customHeight="1">
      <c r="B11" s="193" t="s">
        <v>93</v>
      </c>
      <c r="C11" s="194">
        <v>1</v>
      </c>
      <c r="D11" s="194">
        <v>1</v>
      </c>
      <c r="E11" s="205">
        <f t="shared" si="0"/>
        <v>1</v>
      </c>
      <c r="F11" s="196">
        <v>1</v>
      </c>
      <c r="G11" s="216"/>
      <c r="H11" s="217"/>
      <c r="I11" s="212"/>
      <c r="J11" s="207"/>
      <c r="K11" s="208"/>
      <c r="L11" s="218"/>
      <c r="M11" s="203"/>
    </row>
    <row r="12" spans="2:17" ht="15.75" customHeight="1">
      <c r="B12" s="219" t="s">
        <v>94</v>
      </c>
      <c r="C12" s="220">
        <v>8</v>
      </c>
      <c r="D12" s="220">
        <v>8</v>
      </c>
      <c r="E12" s="205">
        <f t="shared" si="0"/>
        <v>1</v>
      </c>
      <c r="F12" s="221">
        <v>1</v>
      </c>
      <c r="G12" s="222"/>
      <c r="H12" s="223"/>
      <c r="I12" s="212"/>
      <c r="J12" s="207"/>
      <c r="K12" s="224"/>
      <c r="L12" s="218"/>
      <c r="M12" s="225"/>
    </row>
    <row r="13" spans="2:17" ht="15" thickBot="1">
      <c r="B13" s="226" t="s">
        <v>95</v>
      </c>
      <c r="C13" s="227">
        <v>8</v>
      </c>
      <c r="D13" s="227">
        <v>8</v>
      </c>
      <c r="E13" s="228">
        <f t="shared" si="0"/>
        <v>1</v>
      </c>
      <c r="F13" s="229">
        <v>1</v>
      </c>
      <c r="G13" s="230"/>
      <c r="H13" s="231"/>
      <c r="I13" s="232"/>
      <c r="J13" s="233"/>
      <c r="K13" s="234"/>
      <c r="L13" s="235"/>
      <c r="M13" s="236"/>
    </row>
    <row r="31" spans="2:2" ht="18">
      <c r="B31" s="237" t="s">
        <v>96</v>
      </c>
    </row>
    <row r="32" spans="2:2" ht="15" thickBot="1"/>
    <row r="33" spans="2:13" ht="28.8">
      <c r="B33" s="184" t="s">
        <v>81</v>
      </c>
      <c r="C33" s="185" t="s">
        <v>82</v>
      </c>
      <c r="D33" s="185" t="s">
        <v>10</v>
      </c>
      <c r="E33" s="185" t="s">
        <v>83</v>
      </c>
      <c r="F33" s="185" t="s">
        <v>84</v>
      </c>
      <c r="G33" s="187" t="s">
        <v>97</v>
      </c>
      <c r="H33" s="188" t="s">
        <v>4</v>
      </c>
      <c r="I33" s="188"/>
      <c r="J33" s="238"/>
      <c r="K33" s="238"/>
      <c r="L33" s="239"/>
      <c r="M33" s="238"/>
    </row>
    <row r="34" spans="2:13">
      <c r="B34" s="193" t="s">
        <v>25</v>
      </c>
      <c r="C34" s="194">
        <v>0</v>
      </c>
      <c r="D34" s="204"/>
      <c r="E34" s="205" t="str">
        <f t="shared" ref="E34:E40" si="1">IF(ISERROR(D34/C34),"",D34/C34)</f>
        <v/>
      </c>
      <c r="F34" s="196">
        <v>0.95</v>
      </c>
      <c r="G34" s="240"/>
      <c r="H34" s="241"/>
      <c r="I34" s="242"/>
      <c r="J34" s="243"/>
      <c r="K34" s="243"/>
      <c r="L34" s="243"/>
      <c r="M34" s="244"/>
    </row>
    <row r="35" spans="2:13">
      <c r="B35" s="193" t="s">
        <v>26</v>
      </c>
      <c r="C35" s="194">
        <v>1</v>
      </c>
      <c r="D35" s="204">
        <v>1</v>
      </c>
      <c r="E35" s="205">
        <f t="shared" si="1"/>
        <v>1</v>
      </c>
      <c r="F35" s="196">
        <v>0.95</v>
      </c>
      <c r="G35" s="240"/>
      <c r="H35" s="241"/>
      <c r="I35" s="245"/>
      <c r="J35" s="244"/>
      <c r="K35" s="244"/>
      <c r="L35" s="246"/>
      <c r="M35" s="244"/>
    </row>
    <row r="36" spans="2:13">
      <c r="B36" s="193" t="s">
        <v>23</v>
      </c>
      <c r="C36" s="194">
        <v>3</v>
      </c>
      <c r="D36" s="194">
        <v>3</v>
      </c>
      <c r="E36" s="205">
        <f t="shared" si="1"/>
        <v>1</v>
      </c>
      <c r="F36" s="196">
        <v>0.95</v>
      </c>
      <c r="G36" s="247"/>
      <c r="H36" s="248"/>
      <c r="I36" s="249"/>
      <c r="J36" s="244"/>
      <c r="K36" s="244"/>
      <c r="L36" s="244"/>
      <c r="M36" s="244"/>
    </row>
    <row r="37" spans="2:13">
      <c r="B37" s="193" t="s">
        <v>24</v>
      </c>
      <c r="C37" s="194">
        <v>3</v>
      </c>
      <c r="D37" s="194">
        <v>3</v>
      </c>
      <c r="E37" s="205">
        <f t="shared" si="1"/>
        <v>1</v>
      </c>
      <c r="F37" s="196">
        <v>0.95</v>
      </c>
      <c r="G37" s="250"/>
      <c r="H37" s="251"/>
      <c r="I37" s="249"/>
      <c r="J37" s="244"/>
      <c r="K37" s="244"/>
      <c r="L37" s="244"/>
      <c r="M37" s="244"/>
    </row>
    <row r="38" spans="2:13">
      <c r="B38" s="193" t="s">
        <v>93</v>
      </c>
      <c r="C38" s="194">
        <v>2</v>
      </c>
      <c r="D38" s="194">
        <v>2</v>
      </c>
      <c r="E38" s="205">
        <f t="shared" si="1"/>
        <v>1</v>
      </c>
      <c r="F38" s="196">
        <v>0.95</v>
      </c>
      <c r="G38" s="240"/>
      <c r="H38" s="252"/>
      <c r="I38" s="249"/>
      <c r="J38" s="244"/>
      <c r="K38" s="244"/>
      <c r="L38" s="243"/>
      <c r="M38" s="244"/>
    </row>
    <row r="39" spans="2:13">
      <c r="B39" s="219" t="s">
        <v>94</v>
      </c>
      <c r="C39" s="220">
        <v>2</v>
      </c>
      <c r="D39" s="220">
        <v>2</v>
      </c>
      <c r="E39" s="205">
        <f t="shared" si="1"/>
        <v>1</v>
      </c>
      <c r="F39" s="221">
        <v>0.95</v>
      </c>
      <c r="G39" s="253"/>
      <c r="H39" s="254"/>
      <c r="I39" s="242"/>
      <c r="J39" s="255"/>
      <c r="K39" s="255"/>
      <c r="L39" s="243"/>
      <c r="M39" s="255"/>
    </row>
    <row r="40" spans="2:13" ht="15" thickBot="1">
      <c r="B40" s="226"/>
      <c r="C40" s="227"/>
      <c r="D40" s="227"/>
      <c r="E40" s="228" t="str">
        <f t="shared" si="1"/>
        <v/>
      </c>
      <c r="F40" s="256"/>
      <c r="G40" s="257"/>
      <c r="H40" s="258"/>
      <c r="I40" s="259"/>
      <c r="J40" s="255"/>
      <c r="K40" s="255"/>
      <c r="L40" s="255"/>
      <c r="M40" s="255"/>
    </row>
    <row r="60" spans="2:17" ht="24" thickBot="1">
      <c r="B60" s="260" t="s">
        <v>98</v>
      </c>
      <c r="C60" s="260"/>
      <c r="D60" s="260"/>
    </row>
    <row r="61" spans="2:17" ht="30" customHeight="1">
      <c r="B61" s="184" t="s">
        <v>81</v>
      </c>
      <c r="C61" s="185" t="s">
        <v>99</v>
      </c>
      <c r="D61" s="185" t="s">
        <v>100</v>
      </c>
      <c r="E61" s="185" t="s">
        <v>101</v>
      </c>
      <c r="F61" s="185" t="s">
        <v>102</v>
      </c>
      <c r="G61" s="261" t="s">
        <v>103</v>
      </c>
      <c r="H61" s="185" t="s">
        <v>104</v>
      </c>
      <c r="I61" s="262" t="s">
        <v>105</v>
      </c>
      <c r="J61" s="263" t="s">
        <v>88</v>
      </c>
      <c r="K61" s="263"/>
      <c r="L61" s="263"/>
      <c r="M61" s="264"/>
      <c r="N61" s="129" t="s">
        <v>106</v>
      </c>
      <c r="O61" s="129" t="s">
        <v>73</v>
      </c>
      <c r="P61" s="130" t="s">
        <v>74</v>
      </c>
      <c r="Q61" s="130" t="s">
        <v>75</v>
      </c>
    </row>
    <row r="62" spans="2:17">
      <c r="B62" s="193" t="s">
        <v>25</v>
      </c>
      <c r="C62" s="265">
        <f t="shared" ref="C62:C67" si="2">C7</f>
        <v>2</v>
      </c>
      <c r="D62" s="266">
        <v>2</v>
      </c>
      <c r="E62" s="265">
        <v>2</v>
      </c>
      <c r="F62" s="266"/>
      <c r="G62" s="265"/>
      <c r="H62" s="266"/>
      <c r="I62" s="267">
        <f>IF(ISERROR((D62+F62+H62)/(C62+E62+G62)),"",(D62+F62+H62)/(C62+E62+G62))</f>
        <v>0.5</v>
      </c>
      <c r="J62" s="268"/>
      <c r="K62" s="268"/>
      <c r="L62" s="268"/>
      <c r="M62" s="269"/>
      <c r="N62" s="131"/>
      <c r="O62" s="131"/>
      <c r="P62" s="132">
        <v>0</v>
      </c>
      <c r="Q62" s="132"/>
    </row>
    <row r="63" spans="2:17">
      <c r="B63" s="193" t="s">
        <v>26</v>
      </c>
      <c r="C63" s="265">
        <f t="shared" si="2"/>
        <v>3</v>
      </c>
      <c r="D63" s="266">
        <v>3</v>
      </c>
      <c r="E63" s="265">
        <v>3</v>
      </c>
      <c r="F63" s="266"/>
      <c r="G63" s="265"/>
      <c r="H63" s="266"/>
      <c r="I63" s="267">
        <f t="shared" ref="I63:I67" si="3">IF(ISERROR((D63+F63+H63)/(C63+E63+G63)),"",(D63+F63+H63)/(C63+E63+G63))</f>
        <v>0.5</v>
      </c>
      <c r="J63" s="268"/>
      <c r="K63" s="268"/>
      <c r="L63" s="268"/>
      <c r="M63" s="269"/>
      <c r="N63" s="131"/>
      <c r="O63" s="131"/>
      <c r="P63" s="132">
        <v>0</v>
      </c>
      <c r="Q63" s="132"/>
    </row>
    <row r="64" spans="2:17">
      <c r="B64" s="193" t="s">
        <v>23</v>
      </c>
      <c r="C64" s="265">
        <v>0</v>
      </c>
      <c r="D64" s="266"/>
      <c r="E64" s="265"/>
      <c r="F64" s="266"/>
      <c r="G64" s="265"/>
      <c r="H64" s="266"/>
      <c r="I64" s="267" t="str">
        <f t="shared" si="3"/>
        <v/>
      </c>
      <c r="J64" s="270"/>
      <c r="K64" s="270"/>
      <c r="L64" s="270"/>
      <c r="M64" s="271"/>
      <c r="N64" s="131"/>
      <c r="O64" s="131"/>
      <c r="P64" s="132">
        <v>0</v>
      </c>
      <c r="Q64" s="132"/>
    </row>
    <row r="65" spans="2:17">
      <c r="B65" s="193" t="s">
        <v>24</v>
      </c>
      <c r="C65" s="265">
        <v>0</v>
      </c>
      <c r="D65" s="266"/>
      <c r="E65" s="265"/>
      <c r="F65" s="266"/>
      <c r="G65" s="265"/>
      <c r="H65" s="266"/>
      <c r="I65" s="267" t="str">
        <f t="shared" si="3"/>
        <v/>
      </c>
      <c r="J65" s="270"/>
      <c r="K65" s="270"/>
      <c r="L65" s="270"/>
      <c r="M65" s="271"/>
      <c r="N65" s="131"/>
      <c r="O65" s="131"/>
      <c r="P65" s="132">
        <v>0</v>
      </c>
      <c r="Q65" s="132"/>
    </row>
    <row r="66" spans="2:17" ht="18.75" customHeight="1">
      <c r="B66" s="193" t="s">
        <v>27</v>
      </c>
      <c r="C66" s="265">
        <f t="shared" si="2"/>
        <v>1</v>
      </c>
      <c r="D66" s="266">
        <v>1</v>
      </c>
      <c r="E66" s="265"/>
      <c r="F66" s="266"/>
      <c r="G66" s="265"/>
      <c r="H66" s="266"/>
      <c r="I66" s="267">
        <f t="shared" si="3"/>
        <v>1</v>
      </c>
      <c r="J66" s="272"/>
      <c r="K66" s="270"/>
      <c r="L66" s="270"/>
      <c r="M66" s="271"/>
      <c r="N66" s="131"/>
      <c r="O66" s="131"/>
      <c r="P66" s="132">
        <v>0</v>
      </c>
      <c r="Q66" s="132"/>
    </row>
    <row r="67" spans="2:17" ht="18.75" customHeight="1">
      <c r="B67" s="193" t="s">
        <v>94</v>
      </c>
      <c r="C67" s="265">
        <f t="shared" si="2"/>
        <v>8</v>
      </c>
      <c r="D67" s="266">
        <v>8</v>
      </c>
      <c r="E67" s="265"/>
      <c r="F67" s="266"/>
      <c r="G67" s="265"/>
      <c r="H67" s="266"/>
      <c r="I67" s="267">
        <f t="shared" si="3"/>
        <v>1</v>
      </c>
      <c r="J67" s="272"/>
      <c r="K67" s="270"/>
      <c r="L67" s="270"/>
      <c r="M67" s="271"/>
      <c r="N67" s="131"/>
      <c r="O67" s="131"/>
      <c r="P67" s="132">
        <v>0</v>
      </c>
      <c r="Q67" s="133"/>
    </row>
    <row r="68" spans="2:17">
      <c r="B68" s="273"/>
    </row>
    <row r="69" spans="2:17">
      <c r="B69" s="273"/>
    </row>
    <row r="70" spans="2:17">
      <c r="B70" s="273"/>
    </row>
    <row r="71" spans="2:17">
      <c r="B71" s="273"/>
    </row>
    <row r="72" spans="2:17">
      <c r="B72" s="273"/>
    </row>
    <row r="73" spans="2:17">
      <c r="B73" s="273"/>
    </row>
    <row r="74" spans="2:17">
      <c r="B74" s="273"/>
    </row>
    <row r="75" spans="2:17">
      <c r="B75" s="273"/>
    </row>
    <row r="76" spans="2:17">
      <c r="B76" s="273"/>
    </row>
    <row r="77" spans="2:17">
      <c r="B77" s="273"/>
    </row>
    <row r="78" spans="2:17">
      <c r="B78" s="273"/>
    </row>
    <row r="79" spans="2:17">
      <c r="B79" s="273"/>
    </row>
    <row r="80" spans="2:17">
      <c r="B80" s="273"/>
    </row>
    <row r="81" spans="1:9">
      <c r="B81" s="273"/>
    </row>
    <row r="82" spans="1:9">
      <c r="B82" s="273"/>
    </row>
    <row r="83" spans="1:9">
      <c r="B83" s="273"/>
    </row>
    <row r="84" spans="1:9">
      <c r="B84" s="273"/>
    </row>
    <row r="85" spans="1:9">
      <c r="B85" s="273"/>
    </row>
    <row r="86" spans="1:9">
      <c r="B86" s="273"/>
    </row>
    <row r="87" spans="1:9">
      <c r="B87" s="273"/>
    </row>
    <row r="88" spans="1:9">
      <c r="B88" s="273"/>
    </row>
    <row r="89" spans="1:9" ht="23.4">
      <c r="B89" s="274" t="s">
        <v>107</v>
      </c>
    </row>
    <row r="90" spans="1:9">
      <c r="B90" s="273"/>
    </row>
    <row r="91" spans="1:9">
      <c r="B91" s="275" t="s">
        <v>108</v>
      </c>
    </row>
    <row r="92" spans="1:9">
      <c r="B92" s="275" t="s">
        <v>109</v>
      </c>
      <c r="C92" s="275" t="s">
        <v>110</v>
      </c>
      <c r="D92" s="275" t="s">
        <v>111</v>
      </c>
      <c r="E92" s="275" t="s">
        <v>112</v>
      </c>
      <c r="F92" s="275" t="s">
        <v>113</v>
      </c>
      <c r="G92" s="276"/>
      <c r="H92" s="276" t="s">
        <v>114</v>
      </c>
      <c r="I92" s="277"/>
    </row>
    <row r="93" spans="1:9">
      <c r="A93" s="278" t="s">
        <v>115</v>
      </c>
      <c r="B93" s="279"/>
      <c r="C93" s="280"/>
      <c r="D93" s="281"/>
      <c r="E93" s="282"/>
      <c r="F93" s="283"/>
      <c r="G93" s="284"/>
      <c r="H93" s="280"/>
    </row>
    <row r="94" spans="1:9">
      <c r="B94" s="279"/>
      <c r="C94" s="280"/>
      <c r="D94" s="281"/>
      <c r="E94" s="282"/>
      <c r="F94" s="285"/>
      <c r="G94" s="286"/>
      <c r="H94" s="280"/>
      <c r="I94" s="277"/>
    </row>
    <row r="95" spans="1:9">
      <c r="B95" s="279"/>
      <c r="C95" s="280"/>
      <c r="D95" s="282"/>
      <c r="E95" s="287"/>
      <c r="F95" s="288"/>
      <c r="G95" s="288"/>
      <c r="H95" s="280"/>
    </row>
    <row r="96" spans="1:9">
      <c r="B96" s="289"/>
      <c r="C96" s="280"/>
      <c r="D96" s="287"/>
      <c r="E96" s="287"/>
      <c r="F96" s="288"/>
      <c r="G96" s="288"/>
      <c r="H96" s="280"/>
    </row>
    <row r="97" spans="1:9">
      <c r="B97" s="279"/>
      <c r="C97" s="280"/>
      <c r="D97" s="287"/>
      <c r="E97" s="287"/>
      <c r="F97" s="288"/>
      <c r="G97" s="288"/>
      <c r="H97" s="290"/>
    </row>
    <row r="98" spans="1:9">
      <c r="B98" s="279"/>
      <c r="C98" s="280"/>
      <c r="D98" s="287"/>
      <c r="E98" s="287"/>
      <c r="F98" s="288"/>
      <c r="G98" s="288"/>
      <c r="H98" s="280"/>
      <c r="I98" s="277"/>
    </row>
    <row r="99" spans="1:9">
      <c r="A99" s="291" t="s">
        <v>116</v>
      </c>
      <c r="B99" s="292"/>
      <c r="C99" s="293"/>
      <c r="D99" s="294"/>
      <c r="E99" s="294"/>
      <c r="F99" s="293"/>
      <c r="G99" s="288"/>
      <c r="H99" s="288"/>
    </row>
    <row r="100" spans="1:9">
      <c r="A100" s="110"/>
      <c r="B100" s="292"/>
      <c r="C100" s="293"/>
      <c r="D100" s="295"/>
      <c r="E100" s="295"/>
      <c r="F100" s="286"/>
      <c r="G100" s="288"/>
      <c r="H100" s="288"/>
    </row>
    <row r="101" spans="1:9">
      <c r="A101" s="110"/>
      <c r="B101" s="292"/>
      <c r="C101" s="293"/>
      <c r="D101" s="295"/>
      <c r="E101" s="295"/>
      <c r="F101" s="286"/>
      <c r="G101" s="288"/>
      <c r="H101" s="288"/>
    </row>
    <row r="102" spans="1:9">
      <c r="B102" s="292"/>
      <c r="C102" s="293"/>
      <c r="D102" s="296"/>
      <c r="E102" s="296"/>
      <c r="F102" s="286"/>
      <c r="G102" s="288"/>
      <c r="H102" s="288"/>
    </row>
    <row r="103" spans="1:9">
      <c r="B103" s="292"/>
      <c r="C103" s="293"/>
      <c r="D103" s="296"/>
      <c r="E103" s="297"/>
      <c r="F103" s="286"/>
      <c r="G103" s="288"/>
      <c r="H103" s="288"/>
    </row>
    <row r="104" spans="1:9">
      <c r="B104" s="276"/>
      <c r="C104" s="298"/>
      <c r="D104" s="299"/>
      <c r="E104" s="299"/>
      <c r="F104" s="286"/>
      <c r="G104" s="288"/>
      <c r="H104" s="288"/>
    </row>
    <row r="105" spans="1:9" ht="23.4">
      <c r="B105" s="300"/>
      <c r="C105" s="300"/>
    </row>
    <row r="106" spans="1:9" ht="23.4">
      <c r="B106" s="301"/>
      <c r="C106" s="301"/>
    </row>
    <row r="107" spans="1:9" s="112" customFormat="1" ht="28.8">
      <c r="B107" s="302" t="s">
        <v>117</v>
      </c>
      <c r="C107" s="302" t="s">
        <v>118</v>
      </c>
      <c r="D107" s="302" t="s">
        <v>119</v>
      </c>
      <c r="E107" s="302" t="s">
        <v>120</v>
      </c>
      <c r="F107" s="302" t="s">
        <v>121</v>
      </c>
      <c r="G107" s="302" t="s">
        <v>122</v>
      </c>
      <c r="H107" s="129" t="s">
        <v>123</v>
      </c>
    </row>
    <row r="108" spans="1:9">
      <c r="B108" s="284" t="s">
        <v>124</v>
      </c>
      <c r="C108" s="303">
        <v>4</v>
      </c>
      <c r="D108" s="194">
        <v>4</v>
      </c>
      <c r="F108" s="194"/>
      <c r="G108" s="205">
        <f>IF(ISERROR(D108/C108),"",D108/C108)</f>
        <v>1</v>
      </c>
      <c r="H108" s="254"/>
      <c r="I108" s="23"/>
    </row>
    <row r="109" spans="1:9">
      <c r="B109" s="284" t="s">
        <v>125</v>
      </c>
      <c r="C109" s="204">
        <v>5</v>
      </c>
      <c r="D109" s="204">
        <v>5</v>
      </c>
      <c r="E109" s="194"/>
      <c r="F109" s="194"/>
      <c r="G109" s="205">
        <f t="shared" ref="G109:G115" si="4">IF(ISERROR(D109/C109),"",D109/C109)</f>
        <v>1</v>
      </c>
      <c r="H109" s="304"/>
    </row>
    <row r="110" spans="1:9">
      <c r="B110" s="284" t="s">
        <v>126</v>
      </c>
      <c r="C110" s="204">
        <v>6</v>
      </c>
      <c r="D110" s="194">
        <v>6</v>
      </c>
      <c r="E110" s="194"/>
      <c r="F110" s="194"/>
      <c r="G110" s="205">
        <f t="shared" si="4"/>
        <v>1</v>
      </c>
      <c r="H110" s="305"/>
    </row>
    <row r="111" spans="1:9">
      <c r="B111" s="284" t="s">
        <v>127</v>
      </c>
      <c r="C111" s="204">
        <v>1</v>
      </c>
      <c r="D111" s="194">
        <v>1</v>
      </c>
      <c r="E111" s="194"/>
      <c r="F111" s="194"/>
      <c r="G111" s="205">
        <f t="shared" si="4"/>
        <v>1</v>
      </c>
      <c r="H111" s="305"/>
    </row>
    <row r="112" spans="1:9">
      <c r="B112" s="306" t="s">
        <v>128</v>
      </c>
      <c r="C112" s="204">
        <v>4</v>
      </c>
      <c r="D112" s="204">
        <v>4</v>
      </c>
      <c r="E112" s="194"/>
      <c r="F112" s="194"/>
      <c r="G112" s="205">
        <f t="shared" si="4"/>
        <v>1</v>
      </c>
      <c r="H112" s="305"/>
      <c r="I112" s="284"/>
    </row>
    <row r="113" spans="2:8">
      <c r="B113" s="307" t="s">
        <v>129</v>
      </c>
      <c r="C113" s="204">
        <v>4</v>
      </c>
      <c r="D113" s="204">
        <v>4</v>
      </c>
      <c r="E113" s="194"/>
      <c r="F113" s="194"/>
      <c r="G113" s="205">
        <f t="shared" si="4"/>
        <v>1</v>
      </c>
      <c r="H113" s="305"/>
    </row>
    <row r="114" spans="2:8">
      <c r="B114" s="308" t="s">
        <v>130</v>
      </c>
      <c r="C114" s="204">
        <v>1</v>
      </c>
      <c r="D114" s="204">
        <v>1</v>
      </c>
      <c r="E114" s="194"/>
      <c r="F114" s="194"/>
      <c r="G114" s="205">
        <f t="shared" si="4"/>
        <v>1</v>
      </c>
      <c r="H114" s="305"/>
    </row>
    <row r="115" spans="2:8">
      <c r="B115" s="284" t="s">
        <v>131</v>
      </c>
      <c r="C115" s="194">
        <v>1</v>
      </c>
      <c r="D115" s="194">
        <v>1</v>
      </c>
      <c r="E115" s="194"/>
      <c r="F115" s="194"/>
      <c r="G115" s="309">
        <f t="shared" si="4"/>
        <v>1</v>
      </c>
      <c r="H115" s="305"/>
    </row>
    <row r="116" spans="2:8">
      <c r="B116" s="273"/>
    </row>
    <row r="117" spans="2:8">
      <c r="B117" s="273"/>
    </row>
    <row r="118" spans="2:8">
      <c r="B118" s="273"/>
    </row>
    <row r="119" spans="2:8">
      <c r="B119" s="273"/>
    </row>
    <row r="120" spans="2:8">
      <c r="B120" s="273"/>
    </row>
    <row r="121" spans="2:8">
      <c r="B121" s="273"/>
    </row>
    <row r="122" spans="2:8">
      <c r="B122" s="273"/>
    </row>
    <row r="123" spans="2:8">
      <c r="B123" s="273"/>
    </row>
    <row r="124" spans="2:8">
      <c r="B124" s="273"/>
    </row>
    <row r="125" spans="2:8">
      <c r="B125" s="273"/>
    </row>
    <row r="126" spans="2:8">
      <c r="B126" s="273"/>
    </row>
    <row r="127" spans="2:8">
      <c r="B127" s="273"/>
    </row>
    <row r="128" spans="2:8">
      <c r="B128" s="273"/>
    </row>
    <row r="129" spans="2:13">
      <c r="B129" s="273"/>
    </row>
    <row r="130" spans="2:13">
      <c r="B130" s="273"/>
    </row>
    <row r="131" spans="2:13">
      <c r="B131" s="273"/>
    </row>
    <row r="132" spans="2:13">
      <c r="B132" s="273"/>
    </row>
    <row r="133" spans="2:13">
      <c r="B133" s="273"/>
    </row>
    <row r="134" spans="2:13">
      <c r="B134" s="273"/>
    </row>
    <row r="135" spans="2:13">
      <c r="B135" s="273"/>
    </row>
    <row r="136" spans="2:13">
      <c r="B136" s="273"/>
    </row>
    <row r="137" spans="2:13">
      <c r="B137" s="273"/>
    </row>
    <row r="138" spans="2:13">
      <c r="B138" s="273"/>
    </row>
    <row r="139" spans="2:13">
      <c r="B139" s="273"/>
    </row>
    <row r="140" spans="2:13" ht="15" thickBot="1">
      <c r="B140" s="273"/>
    </row>
    <row r="141" spans="2:13" s="112" customFormat="1" ht="30" customHeight="1">
      <c r="B141" s="310" t="s">
        <v>132</v>
      </c>
      <c r="C141" s="311" t="s">
        <v>133</v>
      </c>
      <c r="D141" s="311" t="s">
        <v>134</v>
      </c>
      <c r="E141" s="312" t="s">
        <v>135</v>
      </c>
      <c r="F141" s="313"/>
      <c r="G141" s="314"/>
      <c r="H141" s="312" t="s">
        <v>136</v>
      </c>
      <c r="I141" s="313"/>
      <c r="J141" s="314"/>
      <c r="K141" s="315"/>
      <c r="L141" s="311" t="s">
        <v>137</v>
      </c>
      <c r="M141" s="316" t="s">
        <v>138</v>
      </c>
    </row>
    <row r="142" spans="2:13" ht="15" customHeight="1">
      <c r="B142" s="279" t="s">
        <v>139</v>
      </c>
      <c r="C142" s="279" t="s">
        <v>140</v>
      </c>
      <c r="D142" s="279" t="s">
        <v>141</v>
      </c>
      <c r="E142" s="317" t="s">
        <v>142</v>
      </c>
      <c r="F142" s="317"/>
      <c r="G142" s="317"/>
      <c r="H142" s="317" t="s">
        <v>142</v>
      </c>
      <c r="I142" s="317"/>
      <c r="J142" s="317"/>
      <c r="K142" s="318"/>
      <c r="L142" s="319">
        <v>1884095</v>
      </c>
      <c r="M142" s="320"/>
    </row>
    <row r="143" spans="2:13" ht="15" customHeight="1">
      <c r="B143" s="279" t="s">
        <v>143</v>
      </c>
      <c r="C143" s="279" t="s">
        <v>144</v>
      </c>
      <c r="D143" s="279" t="s">
        <v>141</v>
      </c>
      <c r="E143" s="317" t="s">
        <v>142</v>
      </c>
      <c r="F143" s="317"/>
      <c r="G143" s="317"/>
      <c r="H143" s="317" t="s">
        <v>142</v>
      </c>
      <c r="I143" s="317"/>
      <c r="J143" s="317"/>
      <c r="K143" s="318"/>
      <c r="L143" s="319">
        <v>1884100</v>
      </c>
      <c r="M143" s="320"/>
    </row>
    <row r="144" spans="2:13" ht="15" customHeight="1">
      <c r="B144" s="279" t="s">
        <v>145</v>
      </c>
      <c r="C144" s="279" t="s">
        <v>146</v>
      </c>
      <c r="D144" s="279" t="s">
        <v>141</v>
      </c>
      <c r="E144" s="317" t="s">
        <v>142</v>
      </c>
      <c r="F144" s="317"/>
      <c r="G144" s="317"/>
      <c r="H144" s="317" t="s">
        <v>142</v>
      </c>
      <c r="I144" s="317"/>
      <c r="J144" s="317"/>
      <c r="K144" s="318"/>
      <c r="L144" s="319">
        <v>1885247</v>
      </c>
      <c r="M144" s="320"/>
    </row>
    <row r="145" spans="2:13" ht="15.75" customHeight="1">
      <c r="B145" s="279" t="s">
        <v>147</v>
      </c>
      <c r="C145" s="321" t="s">
        <v>148</v>
      </c>
      <c r="D145" s="321" t="s">
        <v>141</v>
      </c>
      <c r="E145" s="317" t="s">
        <v>142</v>
      </c>
      <c r="F145" s="317"/>
      <c r="G145" s="317"/>
      <c r="H145" s="317" t="s">
        <v>142</v>
      </c>
      <c r="I145" s="317"/>
      <c r="J145" s="317"/>
      <c r="K145" s="318"/>
      <c r="L145" s="322">
        <v>1881614</v>
      </c>
      <c r="M145" s="323"/>
    </row>
    <row r="146" spans="2:13" ht="15.75" customHeight="1">
      <c r="B146" s="324"/>
      <c r="C146" s="325"/>
      <c r="D146" s="279"/>
      <c r="E146" s="317"/>
      <c r="F146" s="317"/>
      <c r="G146" s="317"/>
      <c r="H146" s="317"/>
      <c r="I146" s="317"/>
      <c r="J146" s="317"/>
      <c r="K146" s="318"/>
      <c r="L146" s="326"/>
      <c r="M146" s="327"/>
    </row>
    <row r="147" spans="2:13" ht="15.75" customHeight="1">
      <c r="B147" s="328"/>
      <c r="C147" s="321"/>
      <c r="D147" s="279"/>
      <c r="E147" s="317"/>
      <c r="F147" s="317"/>
      <c r="G147" s="317"/>
      <c r="H147" s="317"/>
      <c r="I147" s="317"/>
      <c r="J147" s="317"/>
      <c r="K147" s="318"/>
      <c r="L147" s="329"/>
      <c r="M147" s="327"/>
    </row>
    <row r="148" spans="2:13" ht="16.5" customHeight="1" thickBot="1">
      <c r="B148" s="330" t="s">
        <v>149</v>
      </c>
      <c r="C148" s="331" t="s">
        <v>150</v>
      </c>
      <c r="D148" s="279" t="s">
        <v>151</v>
      </c>
      <c r="E148" s="317" t="s">
        <v>152</v>
      </c>
      <c r="F148" s="317"/>
      <c r="G148" s="317"/>
      <c r="H148" s="317"/>
      <c r="I148" s="317"/>
      <c r="J148" s="317"/>
      <c r="K148" s="332"/>
      <c r="L148" s="333">
        <v>1883436</v>
      </c>
      <c r="M148" s="334"/>
    </row>
    <row r="149" spans="2:13" ht="16.2" thickBot="1">
      <c r="B149" s="335" t="s">
        <v>153</v>
      </c>
      <c r="C149" s="331" t="s">
        <v>154</v>
      </c>
      <c r="D149" s="279" t="s">
        <v>151</v>
      </c>
      <c r="E149" s="317"/>
      <c r="F149" s="317"/>
      <c r="G149" s="317"/>
      <c r="H149" s="317"/>
      <c r="I149" s="317"/>
      <c r="J149" s="317"/>
      <c r="K149" s="318"/>
      <c r="L149" s="333">
        <v>1887513</v>
      </c>
      <c r="M149" s="336"/>
    </row>
    <row r="150" spans="2:13" ht="16.2" thickBot="1">
      <c r="B150" s="337" t="s">
        <v>155</v>
      </c>
      <c r="C150" s="331" t="s">
        <v>140</v>
      </c>
      <c r="D150" s="279" t="s">
        <v>151</v>
      </c>
      <c r="E150" s="317" t="s">
        <v>156</v>
      </c>
      <c r="F150" s="317"/>
      <c r="G150" s="317"/>
      <c r="H150" s="317"/>
      <c r="I150" s="317"/>
      <c r="J150" s="317"/>
      <c r="K150" s="318"/>
      <c r="L150" s="333">
        <v>1874265</v>
      </c>
      <c r="M150" s="336"/>
    </row>
    <row r="151" spans="2:13" ht="16.2" thickBot="1">
      <c r="B151" s="328" t="s">
        <v>157</v>
      </c>
      <c r="C151" s="331" t="s">
        <v>144</v>
      </c>
      <c r="D151" s="279" t="s">
        <v>151</v>
      </c>
      <c r="E151" s="317"/>
      <c r="F151" s="317"/>
      <c r="G151" s="317"/>
      <c r="H151" s="317"/>
      <c r="I151" s="317"/>
      <c r="J151" s="317"/>
      <c r="K151" s="318"/>
      <c r="L151" s="333">
        <v>1880718</v>
      </c>
      <c r="M151" s="336"/>
    </row>
    <row r="152" spans="2:13" s="113" customFormat="1" ht="18.600000000000001" thickBot="1">
      <c r="B152" s="338" t="s">
        <v>158</v>
      </c>
      <c r="C152" s="331" t="s">
        <v>146</v>
      </c>
      <c r="D152" s="279" t="s">
        <v>151</v>
      </c>
      <c r="E152" s="317"/>
      <c r="F152" s="317"/>
      <c r="G152" s="317"/>
      <c r="H152" s="317" t="s">
        <v>159</v>
      </c>
      <c r="I152" s="317"/>
      <c r="J152" s="317"/>
      <c r="K152" s="318"/>
      <c r="L152" s="333">
        <v>1853836</v>
      </c>
      <c r="M152" s="327"/>
    </row>
    <row r="153" spans="2:13" s="113" customFormat="1" ht="18.600000000000001" thickBot="1">
      <c r="B153" s="339" t="s">
        <v>160</v>
      </c>
      <c r="C153" s="331" t="s">
        <v>148</v>
      </c>
      <c r="D153" s="279" t="s">
        <v>151</v>
      </c>
      <c r="E153" s="317"/>
      <c r="F153" s="317"/>
      <c r="G153" s="317"/>
      <c r="H153" s="317" t="s">
        <v>161</v>
      </c>
      <c r="I153" s="317"/>
      <c r="J153" s="317"/>
      <c r="K153" s="318"/>
      <c r="L153" s="340"/>
      <c r="M153" s="323"/>
    </row>
    <row r="154" spans="2:13" ht="15" customHeight="1">
      <c r="B154" s="339"/>
      <c r="C154" s="341"/>
      <c r="D154" s="342"/>
      <c r="E154" s="317"/>
      <c r="F154" s="317"/>
      <c r="G154" s="317"/>
      <c r="H154" s="317"/>
      <c r="I154" s="317"/>
      <c r="J154" s="317"/>
      <c r="K154" s="343"/>
      <c r="L154" s="344"/>
      <c r="M154" s="345"/>
    </row>
    <row r="155" spans="2:13" ht="15.6">
      <c r="B155" s="339" t="s">
        <v>162</v>
      </c>
      <c r="C155" s="341" t="s">
        <v>163</v>
      </c>
      <c r="D155" s="341" t="s">
        <v>164</v>
      </c>
      <c r="E155" s="317" t="s">
        <v>142</v>
      </c>
      <c r="F155" s="317"/>
      <c r="G155" s="317"/>
      <c r="H155" s="317" t="s">
        <v>142</v>
      </c>
      <c r="I155" s="317"/>
      <c r="J155" s="317"/>
      <c r="K155" s="318"/>
      <c r="L155" s="344">
        <v>1887516</v>
      </c>
      <c r="M155" s="346"/>
    </row>
    <row r="156" spans="2:13" ht="15.6">
      <c r="B156" s="339" t="s">
        <v>165</v>
      </c>
      <c r="C156" s="341" t="s">
        <v>140</v>
      </c>
      <c r="D156" s="341" t="s">
        <v>164</v>
      </c>
      <c r="E156" s="317" t="s">
        <v>142</v>
      </c>
      <c r="F156" s="317"/>
      <c r="G156" s="317"/>
      <c r="H156" s="317" t="s">
        <v>142</v>
      </c>
      <c r="I156" s="317"/>
      <c r="J156" s="317"/>
      <c r="K156" s="318"/>
      <c r="L156" s="344">
        <v>1887516</v>
      </c>
      <c r="M156" s="346"/>
    </row>
    <row r="157" spans="2:13" ht="19.5" customHeight="1">
      <c r="B157" s="339" t="s">
        <v>166</v>
      </c>
      <c r="C157" s="341" t="s">
        <v>140</v>
      </c>
      <c r="D157" s="341" t="s">
        <v>164</v>
      </c>
      <c r="E157" s="317" t="s">
        <v>142</v>
      </c>
      <c r="F157" s="317"/>
      <c r="G157" s="317"/>
      <c r="H157" s="317" t="s">
        <v>142</v>
      </c>
      <c r="I157" s="317"/>
      <c r="J157" s="317"/>
      <c r="K157" s="318"/>
      <c r="L157" s="344">
        <v>1896498</v>
      </c>
      <c r="M157" s="346"/>
    </row>
    <row r="158" spans="2:13" ht="19.5" customHeight="1">
      <c r="B158" s="347" t="s">
        <v>167</v>
      </c>
      <c r="C158" s="341" t="s">
        <v>146</v>
      </c>
      <c r="D158" s="341" t="s">
        <v>164</v>
      </c>
      <c r="E158" s="317" t="s">
        <v>142</v>
      </c>
      <c r="F158" s="317"/>
      <c r="G158" s="317"/>
      <c r="H158" s="317" t="s">
        <v>142</v>
      </c>
      <c r="I158" s="317"/>
      <c r="J158" s="317"/>
      <c r="K158" s="318"/>
      <c r="L158" s="348">
        <v>1893074</v>
      </c>
      <c r="M158" s="346"/>
    </row>
    <row r="159" spans="2:13" ht="19.5" customHeight="1">
      <c r="B159" s="292" t="s">
        <v>168</v>
      </c>
      <c r="C159" s="279" t="s">
        <v>148</v>
      </c>
      <c r="D159" s="341" t="s">
        <v>164</v>
      </c>
      <c r="E159" s="317" t="s">
        <v>142</v>
      </c>
      <c r="F159" s="317"/>
      <c r="G159" s="317"/>
      <c r="H159" s="317" t="s">
        <v>142</v>
      </c>
      <c r="I159" s="317"/>
      <c r="J159" s="317"/>
      <c r="K159" s="318"/>
      <c r="L159" s="348">
        <v>1853835</v>
      </c>
      <c r="M159" s="346"/>
    </row>
    <row r="160" spans="2:13" ht="19.5" customHeight="1">
      <c r="B160" s="292" t="s">
        <v>169</v>
      </c>
      <c r="C160" s="279" t="s">
        <v>170</v>
      </c>
      <c r="D160" s="341" t="s">
        <v>164</v>
      </c>
      <c r="E160" s="317" t="s">
        <v>142</v>
      </c>
      <c r="F160" s="317"/>
      <c r="G160" s="317"/>
      <c r="H160" s="317" t="s">
        <v>142</v>
      </c>
      <c r="I160" s="317"/>
      <c r="J160" s="317"/>
      <c r="K160" s="318"/>
      <c r="L160" s="348">
        <v>1883443</v>
      </c>
      <c r="M160" s="346"/>
    </row>
    <row r="161" spans="2:13" ht="24" customHeight="1">
      <c r="B161" s="318" t="s">
        <v>171</v>
      </c>
      <c r="C161" s="279" t="s">
        <v>170</v>
      </c>
      <c r="D161" s="341" t="s">
        <v>164</v>
      </c>
      <c r="E161" s="317" t="s">
        <v>142</v>
      </c>
      <c r="F161" s="317"/>
      <c r="G161" s="317"/>
      <c r="H161" s="317" t="s">
        <v>142</v>
      </c>
      <c r="I161" s="317"/>
      <c r="J161" s="317"/>
      <c r="K161" s="318"/>
      <c r="L161" s="349">
        <v>1880723</v>
      </c>
      <c r="M161" s="346"/>
    </row>
    <row r="162" spans="2:13" ht="19.5" customHeight="1">
      <c r="B162" s="292" t="s">
        <v>172</v>
      </c>
      <c r="C162" s="341" t="s">
        <v>170</v>
      </c>
      <c r="D162" s="341" t="s">
        <v>164</v>
      </c>
      <c r="E162" s="317" t="s">
        <v>142</v>
      </c>
      <c r="F162" s="317"/>
      <c r="G162" s="317"/>
      <c r="H162" s="317" t="s">
        <v>142</v>
      </c>
      <c r="I162" s="317"/>
      <c r="J162" s="317"/>
      <c r="K162" s="318"/>
      <c r="L162" s="318">
        <v>1889543</v>
      </c>
      <c r="M162" s="346"/>
    </row>
    <row r="163" spans="2:13" ht="15.6">
      <c r="B163" s="279"/>
      <c r="C163" s="341"/>
      <c r="D163" s="341"/>
      <c r="E163" s="317"/>
      <c r="F163" s="317"/>
      <c r="G163" s="317"/>
      <c r="H163" s="317"/>
      <c r="I163" s="317"/>
      <c r="J163" s="317"/>
      <c r="K163" s="318"/>
      <c r="L163" s="318"/>
      <c r="M163" s="346"/>
    </row>
    <row r="164" spans="2:13" ht="15.6">
      <c r="B164" s="350" t="s">
        <v>173</v>
      </c>
      <c r="C164" s="341" t="s">
        <v>154</v>
      </c>
      <c r="D164" s="341" t="s">
        <v>174</v>
      </c>
      <c r="E164" s="317" t="s">
        <v>142</v>
      </c>
      <c r="F164" s="317"/>
      <c r="G164" s="317"/>
      <c r="H164" s="317" t="s">
        <v>142</v>
      </c>
      <c r="I164" s="317"/>
      <c r="J164" s="317"/>
      <c r="K164" s="318"/>
      <c r="L164" s="349">
        <v>1884454</v>
      </c>
      <c r="M164" s="346"/>
    </row>
    <row r="165" spans="2:13" ht="15.6">
      <c r="B165" s="351" t="s">
        <v>175</v>
      </c>
      <c r="C165" s="352" t="s">
        <v>148</v>
      </c>
      <c r="D165" s="341" t="s">
        <v>174</v>
      </c>
      <c r="E165" s="317" t="s">
        <v>176</v>
      </c>
      <c r="F165" s="317"/>
      <c r="G165" s="317"/>
      <c r="H165" s="317" t="s">
        <v>177</v>
      </c>
      <c r="I165" s="317"/>
      <c r="J165" s="317"/>
      <c r="K165" s="318"/>
      <c r="L165" s="318">
        <v>1880763</v>
      </c>
      <c r="M165" s="336"/>
    </row>
    <row r="166" spans="2:13" ht="15.6">
      <c r="B166" s="279" t="s">
        <v>178</v>
      </c>
      <c r="C166" s="341" t="s">
        <v>144</v>
      </c>
      <c r="D166" s="353" t="s">
        <v>174</v>
      </c>
      <c r="E166" s="317" t="s">
        <v>142</v>
      </c>
      <c r="F166" s="317"/>
      <c r="G166" s="317"/>
      <c r="H166" s="317" t="s">
        <v>142</v>
      </c>
      <c r="I166" s="317"/>
      <c r="J166" s="317"/>
      <c r="K166" s="318"/>
      <c r="L166" s="341">
        <v>1882703</v>
      </c>
      <c r="M166" s="336"/>
    </row>
    <row r="167" spans="2:13" ht="15.6">
      <c r="B167" s="279" t="s">
        <v>179</v>
      </c>
      <c r="C167" s="341" t="s">
        <v>148</v>
      </c>
      <c r="D167" s="353" t="s">
        <v>174</v>
      </c>
      <c r="E167" s="317" t="s">
        <v>142</v>
      </c>
      <c r="F167" s="317"/>
      <c r="G167" s="317"/>
      <c r="H167" s="317" t="s">
        <v>142</v>
      </c>
      <c r="I167" s="317"/>
      <c r="J167" s="317"/>
      <c r="K167" s="318"/>
      <c r="L167" s="341">
        <v>1884357</v>
      </c>
      <c r="M167" s="336"/>
    </row>
    <row r="168" spans="2:13" ht="15.6">
      <c r="B168" s="279" t="s">
        <v>180</v>
      </c>
      <c r="C168" s="341" t="s">
        <v>170</v>
      </c>
      <c r="D168" s="353" t="s">
        <v>174</v>
      </c>
      <c r="E168" s="317" t="s">
        <v>181</v>
      </c>
      <c r="F168" s="317"/>
      <c r="G168" s="317"/>
      <c r="H168" s="317" t="s">
        <v>182</v>
      </c>
      <c r="I168" s="317"/>
      <c r="J168" s="317"/>
      <c r="K168" s="318"/>
      <c r="L168" s="341">
        <v>1882702</v>
      </c>
      <c r="M168" s="336"/>
    </row>
    <row r="169" spans="2:13" ht="15.6">
      <c r="B169" s="194"/>
      <c r="C169" s="341"/>
      <c r="D169" s="353"/>
      <c r="E169" s="317"/>
      <c r="F169" s="317"/>
      <c r="G169" s="317"/>
      <c r="H169" s="317"/>
      <c r="I169" s="317"/>
      <c r="J169" s="317"/>
      <c r="K169" s="318"/>
      <c r="L169" s="341"/>
      <c r="M169" s="336"/>
    </row>
    <row r="170" spans="2:13" ht="18">
      <c r="B170" s="347" t="s">
        <v>183</v>
      </c>
      <c r="C170" s="354" t="s">
        <v>140</v>
      </c>
      <c r="D170" s="355" t="s">
        <v>184</v>
      </c>
      <c r="E170" s="356" t="s">
        <v>185</v>
      </c>
      <c r="F170" s="356"/>
      <c r="G170" s="356"/>
      <c r="H170" s="356" t="s">
        <v>186</v>
      </c>
      <c r="I170" s="356"/>
      <c r="J170" s="356"/>
      <c r="K170" s="347"/>
      <c r="L170" s="357">
        <v>1881812</v>
      </c>
      <c r="M170" s="358"/>
    </row>
    <row r="171" spans="2:13" ht="18">
      <c r="B171" s="347" t="s">
        <v>187</v>
      </c>
      <c r="C171" s="354" t="s">
        <v>140</v>
      </c>
      <c r="D171" s="355" t="s">
        <v>184</v>
      </c>
      <c r="E171" s="356" t="s">
        <v>188</v>
      </c>
      <c r="F171" s="356"/>
      <c r="G171" s="356"/>
      <c r="H171" s="356" t="s">
        <v>186</v>
      </c>
      <c r="I171" s="356"/>
      <c r="J171" s="356"/>
      <c r="K171" s="347"/>
      <c r="L171" s="357">
        <v>1881813</v>
      </c>
      <c r="M171" s="358"/>
    </row>
    <row r="172" spans="2:13" ht="18">
      <c r="B172" s="347" t="s">
        <v>189</v>
      </c>
      <c r="C172" s="347" t="s">
        <v>140</v>
      </c>
      <c r="D172" s="359" t="s">
        <v>184</v>
      </c>
      <c r="E172" s="356" t="s">
        <v>142</v>
      </c>
      <c r="F172" s="356"/>
      <c r="G172" s="356"/>
      <c r="H172" s="356" t="s">
        <v>142</v>
      </c>
      <c r="I172" s="356"/>
      <c r="J172" s="356"/>
      <c r="K172" s="347"/>
      <c r="L172" s="347">
        <v>1881814</v>
      </c>
      <c r="M172" s="358"/>
    </row>
    <row r="173" spans="2:13" ht="18">
      <c r="B173" s="347" t="s">
        <v>190</v>
      </c>
      <c r="C173" s="347" t="s">
        <v>140</v>
      </c>
      <c r="D173" s="359" t="s">
        <v>184</v>
      </c>
      <c r="E173" s="356" t="s">
        <v>142</v>
      </c>
      <c r="F173" s="356"/>
      <c r="G173" s="356"/>
      <c r="H173" s="356" t="s">
        <v>142</v>
      </c>
      <c r="I173" s="356"/>
      <c r="J173" s="356"/>
      <c r="K173" s="347"/>
      <c r="L173" s="347">
        <v>1881815</v>
      </c>
      <c r="M173" s="358"/>
    </row>
    <row r="174" spans="2:13">
      <c r="B174" s="194"/>
      <c r="C174" s="194"/>
      <c r="D174" s="360"/>
      <c r="E174" s="317"/>
      <c r="F174" s="317"/>
      <c r="G174" s="317"/>
      <c r="H174" s="317"/>
      <c r="I174" s="317"/>
      <c r="J174" s="317"/>
      <c r="K174" s="194"/>
      <c r="L174" s="194"/>
      <c r="M174" s="298"/>
    </row>
    <row r="175" spans="2:13">
      <c r="B175" s="288"/>
      <c r="C175" s="288"/>
      <c r="D175" s="288"/>
      <c r="E175" s="361"/>
      <c r="F175" s="361"/>
      <c r="G175" s="361"/>
      <c r="H175" s="361"/>
      <c r="I175" s="361"/>
      <c r="J175" s="361"/>
      <c r="K175" s="288"/>
      <c r="L175" s="288"/>
      <c r="M175" s="298"/>
    </row>
    <row r="176" spans="2:13">
      <c r="B176" s="288"/>
      <c r="C176" s="288"/>
      <c r="D176" s="288"/>
      <c r="E176" s="361"/>
      <c r="F176" s="361"/>
      <c r="G176" s="361"/>
      <c r="H176" s="361"/>
      <c r="I176" s="361"/>
      <c r="J176" s="361"/>
      <c r="K176" s="288"/>
      <c r="L176" s="288"/>
      <c r="M176" s="298"/>
    </row>
    <row r="177" spans="2:13">
      <c r="B177" s="288"/>
      <c r="C177" s="288"/>
      <c r="D177" s="288"/>
      <c r="E177" s="361"/>
      <c r="F177" s="361"/>
      <c r="G177" s="361"/>
      <c r="H177" s="361"/>
      <c r="I177" s="361"/>
      <c r="J177" s="361"/>
      <c r="K177" s="288"/>
      <c r="L177" s="288"/>
      <c r="M177" s="298"/>
    </row>
    <row r="178" spans="2:13">
      <c r="B178" s="288"/>
      <c r="C178" s="288"/>
      <c r="D178" s="288"/>
      <c r="E178" s="362"/>
      <c r="F178" s="363"/>
      <c r="G178" s="364"/>
      <c r="H178" s="362"/>
      <c r="I178" s="363"/>
      <c r="J178" s="364"/>
      <c r="K178" s="288"/>
      <c r="L178" s="288"/>
      <c r="M178" s="288"/>
    </row>
    <row r="179" spans="2:13">
      <c r="B179" s="288"/>
      <c r="C179" s="288"/>
      <c r="D179" s="288"/>
      <c r="E179" s="362"/>
      <c r="F179" s="363"/>
      <c r="G179" s="364"/>
      <c r="H179" s="362"/>
      <c r="I179" s="363"/>
      <c r="J179" s="364"/>
      <c r="K179" s="288"/>
      <c r="L179" s="288"/>
      <c r="M179" s="288"/>
    </row>
    <row r="180" spans="2:13">
      <c r="B180" s="194"/>
      <c r="C180" s="194"/>
      <c r="D180" s="360"/>
      <c r="E180" s="317"/>
      <c r="F180" s="317"/>
      <c r="G180" s="317"/>
      <c r="H180" s="317"/>
      <c r="I180" s="317"/>
      <c r="J180" s="317"/>
      <c r="K180" s="194"/>
      <c r="L180" s="194"/>
      <c r="M180" s="194"/>
    </row>
    <row r="181" spans="2:13">
      <c r="B181" s="194"/>
      <c r="C181" s="194"/>
      <c r="D181" s="360"/>
      <c r="E181" s="317"/>
      <c r="F181" s="317"/>
      <c r="G181" s="317"/>
      <c r="H181" s="317"/>
      <c r="I181" s="317"/>
      <c r="J181" s="317"/>
      <c r="K181" s="194"/>
      <c r="L181" s="194"/>
      <c r="M181" s="194"/>
    </row>
    <row r="182" spans="2:13">
      <c r="B182" s="194"/>
      <c r="C182" s="194"/>
      <c r="D182" s="360"/>
      <c r="E182" s="317"/>
      <c r="F182" s="317"/>
      <c r="G182" s="317"/>
      <c r="H182" s="317"/>
      <c r="I182" s="317"/>
      <c r="J182" s="317"/>
      <c r="K182" s="194"/>
      <c r="L182" s="194"/>
      <c r="M182" s="194"/>
    </row>
    <row r="183" spans="2:13">
      <c r="B183" s="194"/>
      <c r="C183" s="194"/>
      <c r="D183" s="360"/>
      <c r="E183" s="317"/>
      <c r="F183" s="317"/>
      <c r="G183" s="317"/>
      <c r="H183" s="317"/>
      <c r="I183" s="317"/>
      <c r="J183" s="317"/>
      <c r="K183" s="194"/>
      <c r="L183" s="194"/>
      <c r="M183" s="194"/>
    </row>
    <row r="184" spans="2:13">
      <c r="B184" s="194"/>
      <c r="C184" s="194"/>
      <c r="D184" s="360"/>
      <c r="E184" s="317"/>
      <c r="F184" s="317"/>
      <c r="G184" s="317"/>
      <c r="H184" s="317"/>
      <c r="I184" s="317"/>
      <c r="J184" s="317"/>
      <c r="K184" s="194"/>
      <c r="L184" s="194"/>
      <c r="M184" s="288"/>
    </row>
    <row r="185" spans="2:13">
      <c r="B185" s="288"/>
      <c r="C185" s="288"/>
      <c r="D185" s="288"/>
      <c r="E185" s="362"/>
      <c r="F185" s="363"/>
      <c r="G185" s="364"/>
      <c r="H185" s="362"/>
      <c r="I185" s="363"/>
      <c r="J185" s="364"/>
      <c r="K185" s="288"/>
      <c r="L185" s="288"/>
      <c r="M185" s="288"/>
    </row>
    <row r="186" spans="2:13">
      <c r="B186" s="288"/>
      <c r="C186" s="288"/>
      <c r="D186" s="288"/>
      <c r="E186" s="362"/>
      <c r="F186" s="363"/>
      <c r="G186" s="364"/>
      <c r="H186" s="362"/>
      <c r="I186" s="363"/>
      <c r="J186" s="364"/>
      <c r="K186" s="288"/>
      <c r="L186" s="288"/>
      <c r="M186" s="288"/>
    </row>
    <row r="187" spans="2:13">
      <c r="B187" s="288"/>
      <c r="C187" s="288"/>
      <c r="D187" s="288"/>
      <c r="E187" s="362"/>
      <c r="F187" s="363"/>
      <c r="G187" s="364"/>
      <c r="H187" s="362"/>
      <c r="I187" s="363"/>
      <c r="J187" s="364"/>
      <c r="K187" s="288"/>
      <c r="L187" s="288"/>
      <c r="M187" s="288"/>
    </row>
    <row r="188" spans="2:13">
      <c r="B188" s="288"/>
      <c r="C188" s="288"/>
      <c r="D188" s="288"/>
      <c r="E188" s="362"/>
      <c r="F188" s="363"/>
      <c r="G188" s="364"/>
      <c r="H188" s="362"/>
      <c r="I188" s="363"/>
      <c r="J188" s="364"/>
      <c r="K188" s="288"/>
      <c r="L188" s="288"/>
      <c r="M188" s="288"/>
    </row>
    <row r="189" spans="2:13">
      <c r="B189" s="288"/>
      <c r="C189" s="288"/>
      <c r="D189" s="288"/>
      <c r="E189" s="362"/>
      <c r="F189" s="363"/>
      <c r="G189" s="364"/>
      <c r="H189" s="362"/>
      <c r="I189" s="363"/>
      <c r="J189" s="364"/>
      <c r="K189" s="288"/>
      <c r="L189" s="288"/>
      <c r="M189" s="288"/>
    </row>
    <row r="190" spans="2:13">
      <c r="B190" s="194"/>
      <c r="C190" s="194"/>
      <c r="D190" s="360"/>
      <c r="E190" s="317"/>
      <c r="F190" s="317"/>
      <c r="G190" s="317"/>
      <c r="H190" s="317"/>
      <c r="I190" s="317"/>
      <c r="J190" s="317"/>
      <c r="K190" s="194"/>
      <c r="L190" s="194"/>
      <c r="M190" s="194"/>
    </row>
    <row r="191" spans="2:13">
      <c r="B191" s="194"/>
      <c r="C191" s="194"/>
      <c r="D191" s="360"/>
      <c r="E191" s="317"/>
      <c r="F191" s="317"/>
      <c r="G191" s="317"/>
      <c r="H191" s="317"/>
      <c r="I191" s="317"/>
      <c r="J191" s="317"/>
      <c r="K191" s="194"/>
      <c r="L191" s="194"/>
      <c r="M191" s="194"/>
    </row>
    <row r="192" spans="2:13">
      <c r="B192" s="194"/>
      <c r="C192" s="194"/>
      <c r="D192" s="360"/>
      <c r="E192" s="317"/>
      <c r="F192" s="317"/>
      <c r="G192" s="317"/>
      <c r="H192" s="317"/>
      <c r="I192" s="317"/>
      <c r="J192" s="317"/>
      <c r="K192" s="194"/>
      <c r="L192" s="194"/>
      <c r="M192" s="194"/>
    </row>
    <row r="193" spans="2:13">
      <c r="B193" s="194"/>
      <c r="C193" s="194"/>
      <c r="D193" s="360"/>
      <c r="E193" s="317"/>
      <c r="F193" s="317"/>
      <c r="G193" s="317"/>
      <c r="H193" s="317"/>
      <c r="I193" s="317"/>
      <c r="J193" s="317"/>
      <c r="K193" s="194"/>
      <c r="L193" s="194"/>
      <c r="M193" s="194"/>
    </row>
    <row r="194" spans="2:13">
      <c r="B194" s="194"/>
      <c r="C194" s="194"/>
      <c r="D194" s="360"/>
      <c r="E194" s="317"/>
      <c r="F194" s="317"/>
      <c r="G194" s="317"/>
      <c r="H194" s="317"/>
      <c r="I194" s="317"/>
      <c r="J194" s="317"/>
      <c r="K194" s="194"/>
      <c r="L194" s="194"/>
      <c r="M194" s="288"/>
    </row>
    <row r="195" spans="2:13">
      <c r="B195" s="288"/>
      <c r="C195" s="288"/>
      <c r="D195" s="288"/>
      <c r="E195" s="362"/>
      <c r="F195" s="363"/>
      <c r="G195" s="364"/>
      <c r="H195" s="362"/>
      <c r="I195" s="363"/>
      <c r="J195" s="364"/>
      <c r="K195" s="288"/>
      <c r="L195" s="288"/>
      <c r="M195" s="288"/>
    </row>
    <row r="196" spans="2:13">
      <c r="B196" s="288"/>
      <c r="C196" s="288"/>
      <c r="D196" s="288"/>
      <c r="E196" s="362"/>
      <c r="F196" s="363"/>
      <c r="G196" s="364"/>
      <c r="H196" s="362"/>
      <c r="I196" s="363"/>
      <c r="J196" s="364"/>
      <c r="K196" s="288"/>
      <c r="L196" s="288"/>
      <c r="M196" s="288"/>
    </row>
    <row r="197" spans="2:13">
      <c r="B197" s="288"/>
      <c r="C197" s="288"/>
      <c r="D197" s="288"/>
      <c r="E197" s="362"/>
      <c r="F197" s="363"/>
      <c r="G197" s="364"/>
      <c r="H197" s="362"/>
      <c r="I197" s="363"/>
      <c r="J197" s="364"/>
      <c r="K197" s="288"/>
      <c r="L197" s="288"/>
      <c r="M197" s="288"/>
    </row>
  </sheetData>
  <mergeCells count="122">
    <mergeCell ref="E197:G197"/>
    <mergeCell ref="H197:J197"/>
    <mergeCell ref="E194:G194"/>
    <mergeCell ref="H194:J194"/>
    <mergeCell ref="E195:G195"/>
    <mergeCell ref="H195:J195"/>
    <mergeCell ref="E196:G196"/>
    <mergeCell ref="H196:J196"/>
    <mergeCell ref="E191:G191"/>
    <mergeCell ref="H191:J191"/>
    <mergeCell ref="E192:G192"/>
    <mergeCell ref="H192:J192"/>
    <mergeCell ref="E193:G193"/>
    <mergeCell ref="H193:J193"/>
    <mergeCell ref="E188:G188"/>
    <mergeCell ref="H188:J188"/>
    <mergeCell ref="E189:G189"/>
    <mergeCell ref="H189:J189"/>
    <mergeCell ref="E190:G190"/>
    <mergeCell ref="H190:J190"/>
    <mergeCell ref="E185:G185"/>
    <mergeCell ref="H185:J185"/>
    <mergeCell ref="E186:G186"/>
    <mergeCell ref="H186:J186"/>
    <mergeCell ref="E187:G187"/>
    <mergeCell ref="H187:J187"/>
    <mergeCell ref="E182:G182"/>
    <mergeCell ref="H182:J182"/>
    <mergeCell ref="E183:G183"/>
    <mergeCell ref="H183:J183"/>
    <mergeCell ref="E184:G184"/>
    <mergeCell ref="H184:J184"/>
    <mergeCell ref="E179:G179"/>
    <mergeCell ref="H179:J179"/>
    <mergeCell ref="E180:G180"/>
    <mergeCell ref="H180:J180"/>
    <mergeCell ref="E181:G181"/>
    <mergeCell ref="H181:J181"/>
    <mergeCell ref="E176:G176"/>
    <mergeCell ref="H176:J176"/>
    <mergeCell ref="E177:G177"/>
    <mergeCell ref="H177:J177"/>
    <mergeCell ref="E178:G178"/>
    <mergeCell ref="H178:J178"/>
    <mergeCell ref="E173:G173"/>
    <mergeCell ref="H173:J173"/>
    <mergeCell ref="E174:G174"/>
    <mergeCell ref="H174:J174"/>
    <mergeCell ref="E175:G175"/>
    <mergeCell ref="H175:J175"/>
    <mergeCell ref="E170:G170"/>
    <mergeCell ref="H170:J170"/>
    <mergeCell ref="E171:G171"/>
    <mergeCell ref="H171:J171"/>
    <mergeCell ref="E172:G172"/>
    <mergeCell ref="H172:J172"/>
    <mergeCell ref="E167:G167"/>
    <mergeCell ref="H167:J167"/>
    <mergeCell ref="E168:G168"/>
    <mergeCell ref="H168:J168"/>
    <mergeCell ref="E169:G169"/>
    <mergeCell ref="H169:J169"/>
    <mergeCell ref="E164:G164"/>
    <mergeCell ref="H164:J164"/>
    <mergeCell ref="E165:G165"/>
    <mergeCell ref="H165:J165"/>
    <mergeCell ref="E166:G166"/>
    <mergeCell ref="H166:J166"/>
    <mergeCell ref="E161:G161"/>
    <mergeCell ref="H161:J161"/>
    <mergeCell ref="E162:G162"/>
    <mergeCell ref="H162:J162"/>
    <mergeCell ref="E163:G163"/>
    <mergeCell ref="H163:J163"/>
    <mergeCell ref="E158:G158"/>
    <mergeCell ref="H158:J158"/>
    <mergeCell ref="E159:G159"/>
    <mergeCell ref="H159:J159"/>
    <mergeCell ref="E160:G160"/>
    <mergeCell ref="H160:J160"/>
    <mergeCell ref="E155:G155"/>
    <mergeCell ref="H155:J155"/>
    <mergeCell ref="E156:G156"/>
    <mergeCell ref="H156:J156"/>
    <mergeCell ref="E157:G157"/>
    <mergeCell ref="H157:J157"/>
    <mergeCell ref="E152:G152"/>
    <mergeCell ref="H152:J152"/>
    <mergeCell ref="E153:G153"/>
    <mergeCell ref="H153:J153"/>
    <mergeCell ref="E154:G154"/>
    <mergeCell ref="H154:J154"/>
    <mergeCell ref="E149:G149"/>
    <mergeCell ref="H149:J149"/>
    <mergeCell ref="E150:G150"/>
    <mergeCell ref="H150:J150"/>
    <mergeCell ref="E151:G151"/>
    <mergeCell ref="H151:J151"/>
    <mergeCell ref="E146:G146"/>
    <mergeCell ref="H146:J146"/>
    <mergeCell ref="E147:G147"/>
    <mergeCell ref="H147:J147"/>
    <mergeCell ref="E148:G148"/>
    <mergeCell ref="H148:J148"/>
    <mergeCell ref="E143:G143"/>
    <mergeCell ref="H143:J143"/>
    <mergeCell ref="E144:G144"/>
    <mergeCell ref="H144:J144"/>
    <mergeCell ref="E145:G145"/>
    <mergeCell ref="H145:J145"/>
    <mergeCell ref="J66:M66"/>
    <mergeCell ref="J67:M67"/>
    <mergeCell ref="E141:G141"/>
    <mergeCell ref="H141:J141"/>
    <mergeCell ref="E142:G142"/>
    <mergeCell ref="H142:J142"/>
    <mergeCell ref="B1:M1"/>
    <mergeCell ref="J61:M61"/>
    <mergeCell ref="J62:M62"/>
    <mergeCell ref="J63:M63"/>
    <mergeCell ref="J64:M64"/>
    <mergeCell ref="J65:M65"/>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Z42"/>
  <sheetViews>
    <sheetView workbookViewId="0">
      <selection sqref="A1:XFD1048576"/>
    </sheetView>
  </sheetViews>
  <sheetFormatPr defaultRowHeight="14.4"/>
  <cols>
    <col min="1" max="1" width="6.44140625" style="109" customWidth="1"/>
    <col min="2" max="2" width="7.88671875" style="109" customWidth="1"/>
    <col min="3" max="3" width="11.6640625" style="109" customWidth="1"/>
    <col min="4" max="7" width="7.88671875" style="109" customWidth="1"/>
    <col min="8" max="8" width="15.33203125" style="109" customWidth="1"/>
    <col min="9" max="9" width="16.88671875" style="109" customWidth="1"/>
    <col min="10" max="11" width="7.88671875" style="183" customWidth="1"/>
    <col min="12" max="12" width="10.5546875" style="183" customWidth="1"/>
    <col min="13" max="13" width="19.5546875" style="183" customWidth="1"/>
    <col min="14" max="15" width="7.88671875" style="183" customWidth="1"/>
    <col min="16" max="16" width="11.88671875" style="183" customWidth="1"/>
    <col min="17" max="18" width="7.88671875" style="183" customWidth="1"/>
    <col min="19" max="19" width="11.88671875" style="183" customWidth="1"/>
    <col min="20" max="21" width="7.88671875" style="183" customWidth="1"/>
    <col min="22" max="22" width="11.109375" style="109" customWidth="1"/>
    <col min="23" max="23" width="17" style="109" customWidth="1"/>
    <col min="24" max="24" width="42.109375" style="109" customWidth="1"/>
    <col min="25" max="25" width="13.33203125" style="109" customWidth="1"/>
    <col min="26" max="16384" width="8.88671875" style="109"/>
  </cols>
  <sheetData>
    <row r="1" spans="1:25" ht="47.4" thickTop="1" thickBot="1">
      <c r="B1" s="365" t="s">
        <v>191</v>
      </c>
      <c r="C1" s="366"/>
      <c r="D1" s="366"/>
      <c r="E1" s="366"/>
      <c r="F1" s="366"/>
      <c r="G1" s="366"/>
      <c r="H1" s="366"/>
      <c r="I1" s="366"/>
      <c r="J1" s="366"/>
      <c r="K1" s="366"/>
      <c r="L1" s="366"/>
      <c r="M1" s="366"/>
      <c r="N1" s="366"/>
      <c r="O1" s="366"/>
      <c r="P1" s="366"/>
      <c r="Q1" s="366"/>
      <c r="R1" s="366"/>
      <c r="S1" s="366"/>
      <c r="T1" s="366"/>
      <c r="U1" s="366"/>
      <c r="V1" s="366"/>
      <c r="W1" s="366"/>
    </row>
    <row r="2" spans="1:25" ht="29.4" thickTop="1">
      <c r="C2" s="179"/>
      <c r="D2" s="179"/>
      <c r="E2" s="179"/>
      <c r="F2" s="179"/>
      <c r="G2" s="179"/>
      <c r="H2" s="179"/>
      <c r="I2" s="179"/>
      <c r="J2" s="367"/>
      <c r="K2" s="367"/>
      <c r="L2" s="367"/>
      <c r="M2" s="367"/>
      <c r="N2" s="367"/>
      <c r="O2" s="367"/>
      <c r="P2" s="367"/>
      <c r="Q2" s="367"/>
      <c r="R2" s="367"/>
      <c r="S2" s="367"/>
      <c r="T2" s="367"/>
      <c r="U2" s="367"/>
      <c r="V2" s="179"/>
      <c r="W2" s="179"/>
    </row>
    <row r="3" spans="1:25" ht="21">
      <c r="B3" s="173" t="s">
        <v>78</v>
      </c>
      <c r="C3" s="173"/>
      <c r="D3" s="173"/>
      <c r="E3" s="368">
        <v>45995</v>
      </c>
      <c r="F3" s="368"/>
      <c r="G3" s="368"/>
      <c r="H3" s="368"/>
      <c r="I3" s="368"/>
      <c r="J3" s="368"/>
      <c r="K3" s="368"/>
      <c r="L3" s="369"/>
      <c r="M3" s="369"/>
      <c r="P3" s="370" t="s">
        <v>192</v>
      </c>
      <c r="Q3" s="370"/>
      <c r="R3" s="370"/>
      <c r="S3" s="370"/>
      <c r="T3" s="370"/>
      <c r="U3" s="370"/>
      <c r="V3" s="370"/>
      <c r="W3" s="370"/>
    </row>
    <row r="4" spans="1:25" ht="21.6" thickBot="1">
      <c r="B4" s="173" t="s">
        <v>79</v>
      </c>
      <c r="C4" s="173"/>
      <c r="D4" s="173"/>
      <c r="E4" s="371" t="s">
        <v>193</v>
      </c>
      <c r="F4" s="371"/>
      <c r="G4" s="371"/>
      <c r="H4" s="371"/>
      <c r="I4" s="371"/>
      <c r="J4" s="371"/>
      <c r="K4" s="371"/>
      <c r="L4" s="372"/>
      <c r="M4" s="372"/>
      <c r="P4" s="370"/>
      <c r="Q4" s="370"/>
      <c r="R4" s="370"/>
      <c r="S4" s="370"/>
      <c r="T4" s="370"/>
      <c r="U4" s="370"/>
      <c r="V4" s="370"/>
      <c r="W4" s="370"/>
    </row>
    <row r="5" spans="1:25" ht="15" thickBot="1"/>
    <row r="6" spans="1:25" ht="46.8" thickBot="1">
      <c r="B6" s="373" t="s">
        <v>194</v>
      </c>
      <c r="C6" s="374"/>
      <c r="D6" s="374"/>
      <c r="E6" s="374"/>
      <c r="F6" s="374"/>
      <c r="G6" s="375"/>
      <c r="H6" s="375"/>
      <c r="I6" s="375"/>
      <c r="J6" s="375"/>
      <c r="K6" s="375"/>
      <c r="L6" s="375"/>
      <c r="M6" s="375"/>
      <c r="N6" s="375"/>
      <c r="O6" s="375"/>
      <c r="P6" s="375"/>
      <c r="Q6" s="375"/>
      <c r="R6" s="375"/>
      <c r="S6" s="375"/>
      <c r="T6" s="375"/>
      <c r="U6" s="375"/>
      <c r="V6" s="375"/>
      <c r="W6" s="376"/>
    </row>
    <row r="7" spans="1:25" ht="47.4" thickTop="1" thickBot="1">
      <c r="B7" s="377"/>
      <c r="C7" s="378"/>
      <c r="D7" s="378"/>
      <c r="E7" s="378"/>
      <c r="F7" s="378"/>
      <c r="G7" s="379" t="s">
        <v>195</v>
      </c>
      <c r="H7" s="380"/>
      <c r="I7" s="380"/>
      <c r="J7" s="380"/>
      <c r="K7" s="380"/>
      <c r="L7" s="381"/>
      <c r="M7" s="382">
        <f>AVERAGE(M9:M21)</f>
        <v>0.73076923076923073</v>
      </c>
      <c r="N7" s="379" t="s">
        <v>196</v>
      </c>
      <c r="O7" s="380"/>
      <c r="P7" s="380"/>
      <c r="Q7" s="380"/>
      <c r="R7" s="380"/>
      <c r="S7" s="380"/>
      <c r="T7" s="380"/>
      <c r="U7" s="380"/>
      <c r="V7" s="380"/>
      <c r="W7" s="383">
        <f>AVERAGE(W9:W21)</f>
        <v>0.78461538461538471</v>
      </c>
    </row>
    <row r="8" spans="1:25" ht="94.8" thickTop="1" thickBot="1">
      <c r="B8" s="384" t="s">
        <v>197</v>
      </c>
      <c r="C8" s="385"/>
      <c r="D8" s="386"/>
      <c r="E8" s="387" t="s">
        <v>198</v>
      </c>
      <c r="F8" s="386"/>
      <c r="G8" s="388" t="s">
        <v>199</v>
      </c>
      <c r="H8" s="389"/>
      <c r="I8" s="390" t="s">
        <v>200</v>
      </c>
      <c r="J8" s="388" t="s">
        <v>201</v>
      </c>
      <c r="K8" s="391"/>
      <c r="L8" s="392" t="s">
        <v>202</v>
      </c>
      <c r="M8" s="393"/>
      <c r="N8" s="388" t="s">
        <v>203</v>
      </c>
      <c r="O8" s="389"/>
      <c r="P8" s="390" t="s">
        <v>204</v>
      </c>
      <c r="Q8" s="388" t="s">
        <v>205</v>
      </c>
      <c r="R8" s="389"/>
      <c r="S8" s="390" t="s">
        <v>206</v>
      </c>
      <c r="T8" s="394" t="s">
        <v>207</v>
      </c>
      <c r="U8" s="395"/>
      <c r="V8" s="396" t="s">
        <v>204</v>
      </c>
      <c r="W8" s="397"/>
      <c r="X8" s="398" t="s">
        <v>208</v>
      </c>
      <c r="Y8" s="399" t="s">
        <v>209</v>
      </c>
    </row>
    <row r="9" spans="1:25" s="31" customFormat="1" ht="21.75" customHeight="1" thickTop="1">
      <c r="A9" s="31">
        <v>1</v>
      </c>
      <c r="B9" s="400">
        <v>45989</v>
      </c>
      <c r="C9" s="401"/>
      <c r="D9" s="402"/>
      <c r="E9" s="403" t="s">
        <v>157</v>
      </c>
      <c r="F9" s="404"/>
      <c r="G9" s="405">
        <v>0.79166666666666663</v>
      </c>
      <c r="H9" s="406"/>
      <c r="I9" s="407">
        <v>0.25</v>
      </c>
      <c r="J9" s="408" t="s">
        <v>210</v>
      </c>
      <c r="K9" s="408"/>
      <c r="L9" s="409">
        <v>0.5</v>
      </c>
      <c r="M9" s="410">
        <f>I9+L9</f>
        <v>0.75</v>
      </c>
      <c r="N9" s="408" t="s">
        <v>210</v>
      </c>
      <c r="O9" s="408"/>
      <c r="P9" s="407">
        <v>0.25</v>
      </c>
      <c r="Q9" s="411" t="s">
        <v>211</v>
      </c>
      <c r="R9" s="404"/>
      <c r="S9" s="407">
        <v>0.2</v>
      </c>
      <c r="T9" s="408" t="s">
        <v>210</v>
      </c>
      <c r="U9" s="408"/>
      <c r="V9" s="407">
        <v>0.25</v>
      </c>
      <c r="W9" s="412">
        <f>P9+S9+V9</f>
        <v>0.7</v>
      </c>
      <c r="X9" s="413"/>
      <c r="Y9" s="346"/>
    </row>
    <row r="10" spans="1:25" s="31" customFormat="1" ht="21">
      <c r="A10" s="31">
        <v>2</v>
      </c>
      <c r="B10" s="414">
        <v>45989</v>
      </c>
      <c r="C10" s="415"/>
      <c r="D10" s="416"/>
      <c r="E10" s="417" t="s">
        <v>171</v>
      </c>
      <c r="F10" s="418"/>
      <c r="G10" s="419">
        <v>0.29166666666666669</v>
      </c>
      <c r="H10" s="420"/>
      <c r="I10" s="421">
        <v>0.5</v>
      </c>
      <c r="J10" s="422" t="s">
        <v>210</v>
      </c>
      <c r="K10" s="422"/>
      <c r="L10" s="423">
        <v>0.5</v>
      </c>
      <c r="M10" s="410">
        <f>I10+L10</f>
        <v>1</v>
      </c>
      <c r="N10" s="422" t="s">
        <v>210</v>
      </c>
      <c r="O10" s="422"/>
      <c r="P10" s="421">
        <v>0.25</v>
      </c>
      <c r="Q10" s="417" t="s">
        <v>212</v>
      </c>
      <c r="R10" s="418"/>
      <c r="S10" s="423">
        <v>0.5</v>
      </c>
      <c r="T10" s="422" t="s">
        <v>210</v>
      </c>
      <c r="U10" s="422"/>
      <c r="V10" s="421">
        <v>0.25</v>
      </c>
      <c r="W10" s="412">
        <f>P10+S10+V10</f>
        <v>1</v>
      </c>
      <c r="X10" s="424"/>
      <c r="Y10" s="346"/>
    </row>
    <row r="11" spans="1:25" s="31" customFormat="1" ht="21" customHeight="1">
      <c r="A11" s="31">
        <v>3</v>
      </c>
      <c r="B11" s="400">
        <v>45992</v>
      </c>
      <c r="C11" s="401"/>
      <c r="D11" s="402"/>
      <c r="E11" s="425" t="s">
        <v>155</v>
      </c>
      <c r="F11" s="426"/>
      <c r="G11" s="405">
        <v>0.29166666666666669</v>
      </c>
      <c r="H11" s="406"/>
      <c r="I11" s="407">
        <v>0.5</v>
      </c>
      <c r="J11" s="408" t="s">
        <v>210</v>
      </c>
      <c r="K11" s="408"/>
      <c r="L11" s="409">
        <v>0.5</v>
      </c>
      <c r="M11" s="410">
        <f t="shared" ref="M11" si="0">I11+L11</f>
        <v>1</v>
      </c>
      <c r="N11" s="408" t="s">
        <v>210</v>
      </c>
      <c r="O11" s="408"/>
      <c r="P11" s="407">
        <v>0.25</v>
      </c>
      <c r="Q11" s="403" t="s">
        <v>213</v>
      </c>
      <c r="R11" s="404"/>
      <c r="S11" s="407">
        <v>0.4</v>
      </c>
      <c r="T11" s="408" t="s">
        <v>210</v>
      </c>
      <c r="U11" s="408"/>
      <c r="V11" s="407">
        <v>0.25</v>
      </c>
      <c r="W11" s="412">
        <f t="shared" ref="W11" si="1">P11+S11+V11</f>
        <v>0.9</v>
      </c>
      <c r="X11" s="427"/>
      <c r="Y11" s="346"/>
    </row>
    <row r="12" spans="1:25" s="31" customFormat="1" ht="21">
      <c r="A12" s="31">
        <v>4</v>
      </c>
      <c r="B12" s="414">
        <v>45992</v>
      </c>
      <c r="C12" s="415"/>
      <c r="D12" s="416"/>
      <c r="E12" s="417" t="s">
        <v>214</v>
      </c>
      <c r="F12" s="418"/>
      <c r="G12" s="419"/>
      <c r="H12" s="420"/>
      <c r="I12" s="421"/>
      <c r="J12" s="422"/>
      <c r="K12" s="422"/>
      <c r="L12" s="423"/>
      <c r="M12" s="410">
        <f>I12+L12</f>
        <v>0</v>
      </c>
      <c r="N12" s="422"/>
      <c r="O12" s="422"/>
      <c r="P12" s="421"/>
      <c r="Q12" s="417"/>
      <c r="R12" s="418"/>
      <c r="S12" s="423"/>
      <c r="T12" s="422"/>
      <c r="U12" s="422"/>
      <c r="V12" s="421"/>
      <c r="W12" s="412">
        <f>P12+S12+V12</f>
        <v>0</v>
      </c>
      <c r="X12" s="428"/>
      <c r="Y12" s="346"/>
    </row>
    <row r="13" spans="1:25" s="31" customFormat="1" ht="21.75" customHeight="1">
      <c r="A13" s="31">
        <v>5</v>
      </c>
      <c r="B13" s="400">
        <v>45992</v>
      </c>
      <c r="C13" s="401"/>
      <c r="D13" s="402"/>
      <c r="E13" s="403" t="s">
        <v>173</v>
      </c>
      <c r="F13" s="404"/>
      <c r="G13" s="405" t="s">
        <v>215</v>
      </c>
      <c r="H13" s="406"/>
      <c r="I13" s="407">
        <v>0.5</v>
      </c>
      <c r="J13" s="408" t="s">
        <v>210</v>
      </c>
      <c r="K13" s="408"/>
      <c r="L13" s="409">
        <v>0.5</v>
      </c>
      <c r="M13" s="410">
        <f>I13+L13</f>
        <v>1</v>
      </c>
      <c r="N13" s="408" t="s">
        <v>210</v>
      </c>
      <c r="O13" s="408"/>
      <c r="P13" s="407">
        <v>0.25</v>
      </c>
      <c r="Q13" s="403" t="s">
        <v>216</v>
      </c>
      <c r="R13" s="404"/>
      <c r="S13" s="407">
        <v>0.5</v>
      </c>
      <c r="T13" s="408" t="s">
        <v>210</v>
      </c>
      <c r="U13" s="408"/>
      <c r="V13" s="407">
        <v>0.25</v>
      </c>
      <c r="W13" s="412">
        <f t="shared" ref="W13:W42" si="2">P13+S13+V13</f>
        <v>1</v>
      </c>
      <c r="X13" s="429"/>
      <c r="Y13" s="346"/>
    </row>
    <row r="14" spans="1:25" s="31" customFormat="1" ht="21" customHeight="1">
      <c r="A14" s="31">
        <v>6</v>
      </c>
      <c r="B14" s="414">
        <v>45992</v>
      </c>
      <c r="C14" s="415"/>
      <c r="D14" s="416"/>
      <c r="E14" s="417" t="s">
        <v>166</v>
      </c>
      <c r="F14" s="418"/>
      <c r="G14" s="419">
        <v>0.33333333333333331</v>
      </c>
      <c r="H14" s="420"/>
      <c r="I14" s="421">
        <v>0.25</v>
      </c>
      <c r="J14" s="422" t="s">
        <v>210</v>
      </c>
      <c r="K14" s="422"/>
      <c r="L14" s="423">
        <v>0.5</v>
      </c>
      <c r="M14" s="410">
        <f t="shared" ref="M14:M42" si="3">I14+L14</f>
        <v>0.75</v>
      </c>
      <c r="N14" s="422" t="s">
        <v>210</v>
      </c>
      <c r="O14" s="422"/>
      <c r="P14" s="421">
        <v>0.25</v>
      </c>
      <c r="Q14" s="417" t="s">
        <v>212</v>
      </c>
      <c r="R14" s="418"/>
      <c r="S14" s="423">
        <v>0.5</v>
      </c>
      <c r="T14" s="422" t="s">
        <v>210</v>
      </c>
      <c r="U14" s="422"/>
      <c r="V14" s="421">
        <v>0.25</v>
      </c>
      <c r="W14" s="412">
        <f t="shared" si="2"/>
        <v>1</v>
      </c>
      <c r="X14" s="430"/>
      <c r="Y14" s="346"/>
    </row>
    <row r="15" spans="1:25" s="31" customFormat="1" ht="21.75" customHeight="1">
      <c r="A15" s="31">
        <v>7</v>
      </c>
      <c r="B15" s="400">
        <v>45992</v>
      </c>
      <c r="C15" s="401"/>
      <c r="D15" s="402"/>
      <c r="E15" s="403" t="s">
        <v>165</v>
      </c>
      <c r="F15" s="404"/>
      <c r="G15" s="405">
        <v>0.33333333333333331</v>
      </c>
      <c r="H15" s="406"/>
      <c r="I15" s="407">
        <v>0.25</v>
      </c>
      <c r="J15" s="408" t="s">
        <v>210</v>
      </c>
      <c r="K15" s="408"/>
      <c r="L15" s="409">
        <v>0.5</v>
      </c>
      <c r="M15" s="410">
        <f>I15+L15</f>
        <v>0.75</v>
      </c>
      <c r="N15" s="408" t="s">
        <v>210</v>
      </c>
      <c r="O15" s="408"/>
      <c r="P15" s="407">
        <v>0.25</v>
      </c>
      <c r="Q15" s="403" t="s">
        <v>212</v>
      </c>
      <c r="R15" s="404"/>
      <c r="S15" s="407">
        <v>0.5</v>
      </c>
      <c r="T15" s="408" t="s">
        <v>210</v>
      </c>
      <c r="U15" s="408"/>
      <c r="V15" s="407">
        <v>0.25</v>
      </c>
      <c r="W15" s="412">
        <f>P15+S15+V15</f>
        <v>1</v>
      </c>
      <c r="X15" s="427"/>
      <c r="Y15" s="346"/>
    </row>
    <row r="16" spans="1:25" s="31" customFormat="1" ht="21.75" customHeight="1">
      <c r="A16" s="31">
        <v>8</v>
      </c>
      <c r="B16" s="414">
        <v>45993</v>
      </c>
      <c r="C16" s="415"/>
      <c r="D16" s="416"/>
      <c r="E16" s="417" t="s">
        <v>149</v>
      </c>
      <c r="F16" s="418"/>
      <c r="G16" s="419">
        <v>0.58333333333333337</v>
      </c>
      <c r="H16" s="420"/>
      <c r="I16" s="421">
        <v>0.25</v>
      </c>
      <c r="J16" s="422" t="s">
        <v>210</v>
      </c>
      <c r="K16" s="422"/>
      <c r="L16" s="423">
        <v>0.5</v>
      </c>
      <c r="M16" s="410">
        <f t="shared" ref="M16" si="4">I16+L16</f>
        <v>0.75</v>
      </c>
      <c r="N16" s="422" t="s">
        <v>210</v>
      </c>
      <c r="O16" s="422"/>
      <c r="P16" s="421">
        <v>0.25</v>
      </c>
      <c r="Q16" s="417" t="s">
        <v>211</v>
      </c>
      <c r="R16" s="418"/>
      <c r="S16" s="423">
        <v>0.2</v>
      </c>
      <c r="T16" s="422" t="s">
        <v>210</v>
      </c>
      <c r="U16" s="422"/>
      <c r="V16" s="421">
        <v>0.25</v>
      </c>
      <c r="W16" s="412">
        <f t="shared" ref="W16" si="5">P16+S16+V16</f>
        <v>0.7</v>
      </c>
      <c r="X16" s="431"/>
      <c r="Y16" s="346"/>
    </row>
    <row r="17" spans="1:26" s="31" customFormat="1" ht="21.75" customHeight="1">
      <c r="A17" s="31">
        <v>9</v>
      </c>
      <c r="B17" s="400">
        <v>45993</v>
      </c>
      <c r="C17" s="401"/>
      <c r="D17" s="402"/>
      <c r="E17" s="425" t="s">
        <v>178</v>
      </c>
      <c r="F17" s="426"/>
      <c r="G17" s="405" t="s">
        <v>215</v>
      </c>
      <c r="H17" s="406"/>
      <c r="I17" s="407">
        <v>0.25</v>
      </c>
      <c r="J17" s="408" t="s">
        <v>210</v>
      </c>
      <c r="K17" s="408"/>
      <c r="L17" s="409">
        <v>0.5</v>
      </c>
      <c r="M17" s="410">
        <f t="shared" si="3"/>
        <v>0.75</v>
      </c>
      <c r="N17" s="408" t="s">
        <v>210</v>
      </c>
      <c r="O17" s="408"/>
      <c r="P17" s="407">
        <v>0.25</v>
      </c>
      <c r="Q17" s="403" t="s">
        <v>216</v>
      </c>
      <c r="R17" s="404"/>
      <c r="S17" s="407">
        <v>0.5</v>
      </c>
      <c r="T17" s="408" t="s">
        <v>210</v>
      </c>
      <c r="U17" s="408"/>
      <c r="V17" s="407">
        <v>0.25</v>
      </c>
      <c r="W17" s="412">
        <f>P17+S17+V17</f>
        <v>1</v>
      </c>
      <c r="X17" s="432"/>
      <c r="Y17" s="346"/>
    </row>
    <row r="18" spans="1:26" ht="22.5" customHeight="1">
      <c r="A18" s="31">
        <v>10</v>
      </c>
      <c r="B18" s="414">
        <v>45993</v>
      </c>
      <c r="C18" s="415"/>
      <c r="D18" s="416"/>
      <c r="E18" s="417" t="s">
        <v>217</v>
      </c>
      <c r="F18" s="418"/>
      <c r="G18" s="419"/>
      <c r="H18" s="420"/>
      <c r="I18" s="421"/>
      <c r="J18" s="422"/>
      <c r="K18" s="422"/>
      <c r="L18" s="423"/>
      <c r="M18" s="410">
        <f>I18+L18</f>
        <v>0</v>
      </c>
      <c r="N18" s="422"/>
      <c r="O18" s="422"/>
      <c r="P18" s="421"/>
      <c r="Q18" s="417"/>
      <c r="R18" s="418"/>
      <c r="S18" s="421"/>
      <c r="T18" s="422"/>
      <c r="U18" s="422"/>
      <c r="V18" s="421"/>
      <c r="W18" s="412">
        <f>P18+S18+V18</f>
        <v>0</v>
      </c>
      <c r="X18" s="433"/>
      <c r="Y18" s="288"/>
      <c r="Z18" s="31"/>
    </row>
    <row r="19" spans="1:26" ht="21.75" customHeight="1">
      <c r="A19" s="31">
        <v>11</v>
      </c>
      <c r="B19" s="434">
        <v>45993</v>
      </c>
      <c r="C19" s="435"/>
      <c r="D19" s="435"/>
      <c r="E19" s="436" t="s">
        <v>172</v>
      </c>
      <c r="F19" s="437"/>
      <c r="G19" s="405">
        <v>0.29166666666666669</v>
      </c>
      <c r="H19" s="406"/>
      <c r="I19" s="407">
        <v>0.5</v>
      </c>
      <c r="J19" s="408" t="s">
        <v>210</v>
      </c>
      <c r="K19" s="408"/>
      <c r="L19" s="409">
        <v>0.5</v>
      </c>
      <c r="M19" s="410">
        <f t="shared" si="3"/>
        <v>1</v>
      </c>
      <c r="N19" s="408" t="s">
        <v>210</v>
      </c>
      <c r="O19" s="408"/>
      <c r="P19" s="407">
        <v>0.25</v>
      </c>
      <c r="Q19" s="403" t="s">
        <v>212</v>
      </c>
      <c r="R19" s="404"/>
      <c r="S19" s="407">
        <v>0.5</v>
      </c>
      <c r="T19" s="408" t="s">
        <v>210</v>
      </c>
      <c r="U19" s="408"/>
      <c r="V19" s="407">
        <v>0.25</v>
      </c>
      <c r="W19" s="412">
        <f>P19+S19+V19</f>
        <v>1</v>
      </c>
      <c r="X19" s="427"/>
      <c r="Y19" s="288"/>
      <c r="Z19" s="31"/>
    </row>
    <row r="20" spans="1:26" ht="21">
      <c r="A20" s="31">
        <v>12</v>
      </c>
      <c r="B20" s="414">
        <v>45994</v>
      </c>
      <c r="C20" s="415"/>
      <c r="D20" s="416"/>
      <c r="E20" s="417" t="s">
        <v>158</v>
      </c>
      <c r="F20" s="418"/>
      <c r="G20" s="419">
        <v>0.33333333333333331</v>
      </c>
      <c r="H20" s="420"/>
      <c r="I20" s="421">
        <v>0.25</v>
      </c>
      <c r="J20" s="422" t="s">
        <v>210</v>
      </c>
      <c r="K20" s="422"/>
      <c r="L20" s="423">
        <v>0.5</v>
      </c>
      <c r="M20" s="410">
        <f t="shared" si="3"/>
        <v>0.75</v>
      </c>
      <c r="N20" s="422" t="s">
        <v>210</v>
      </c>
      <c r="O20" s="422"/>
      <c r="P20" s="421">
        <v>0.25</v>
      </c>
      <c r="Q20" s="417" t="s">
        <v>213</v>
      </c>
      <c r="R20" s="418"/>
      <c r="S20" s="421">
        <v>0.4</v>
      </c>
      <c r="T20" s="422" t="s">
        <v>210</v>
      </c>
      <c r="U20" s="422"/>
      <c r="V20" s="421">
        <v>0.25</v>
      </c>
      <c r="W20" s="412">
        <f t="shared" si="2"/>
        <v>0.9</v>
      </c>
      <c r="X20" s="438"/>
      <c r="Y20" s="288"/>
    </row>
    <row r="21" spans="1:26" ht="21">
      <c r="A21" s="31">
        <v>13</v>
      </c>
      <c r="B21" s="400">
        <v>45994</v>
      </c>
      <c r="C21" s="401"/>
      <c r="D21" s="402"/>
      <c r="E21" s="425" t="s">
        <v>179</v>
      </c>
      <c r="F21" s="426"/>
      <c r="G21" s="405" t="s">
        <v>218</v>
      </c>
      <c r="H21" s="406"/>
      <c r="I21" s="407">
        <v>0.5</v>
      </c>
      <c r="J21" s="408" t="s">
        <v>210</v>
      </c>
      <c r="K21" s="408"/>
      <c r="L21" s="409">
        <v>0.5</v>
      </c>
      <c r="M21" s="410">
        <f t="shared" si="3"/>
        <v>1</v>
      </c>
      <c r="N21" s="408" t="s">
        <v>210</v>
      </c>
      <c r="O21" s="408"/>
      <c r="P21" s="407">
        <v>0.25</v>
      </c>
      <c r="Q21" s="403" t="s">
        <v>216</v>
      </c>
      <c r="R21" s="404"/>
      <c r="S21" s="407">
        <v>0.5</v>
      </c>
      <c r="T21" s="408" t="s">
        <v>210</v>
      </c>
      <c r="U21" s="408"/>
      <c r="V21" s="407">
        <v>0.25</v>
      </c>
      <c r="W21" s="412">
        <f t="shared" si="2"/>
        <v>1</v>
      </c>
      <c r="X21" s="439"/>
      <c r="Y21" s="288"/>
    </row>
    <row r="22" spans="1:26" ht="21">
      <c r="A22" s="31">
        <v>14</v>
      </c>
      <c r="B22" s="414">
        <v>45994</v>
      </c>
      <c r="C22" s="415"/>
      <c r="D22" s="416"/>
      <c r="E22" s="440" t="s">
        <v>168</v>
      </c>
      <c r="F22" s="441"/>
      <c r="G22" s="419">
        <v>0.33333333333333331</v>
      </c>
      <c r="H22" s="420"/>
      <c r="I22" s="421">
        <v>0.25</v>
      </c>
      <c r="J22" s="422" t="s">
        <v>210</v>
      </c>
      <c r="K22" s="422"/>
      <c r="L22" s="423">
        <v>0.5</v>
      </c>
      <c r="M22" s="410">
        <f t="shared" si="3"/>
        <v>0.75</v>
      </c>
      <c r="N22" s="422" t="s">
        <v>210</v>
      </c>
      <c r="O22" s="422"/>
      <c r="P22" s="421">
        <v>0.25</v>
      </c>
      <c r="Q22" s="417" t="s">
        <v>212</v>
      </c>
      <c r="R22" s="418"/>
      <c r="S22" s="423">
        <v>0.5</v>
      </c>
      <c r="T22" s="422" t="s">
        <v>210</v>
      </c>
      <c r="U22" s="422"/>
      <c r="V22" s="421">
        <v>0.25</v>
      </c>
      <c r="W22" s="412">
        <f t="shared" si="2"/>
        <v>1</v>
      </c>
      <c r="X22" s="442"/>
      <c r="Y22" s="288"/>
    </row>
    <row r="23" spans="1:26" ht="21">
      <c r="A23" s="31">
        <v>15</v>
      </c>
      <c r="B23" s="400">
        <v>45994</v>
      </c>
      <c r="C23" s="401"/>
      <c r="D23" s="402"/>
      <c r="E23" s="425" t="s">
        <v>167</v>
      </c>
      <c r="F23" s="426"/>
      <c r="G23" s="405">
        <v>0.33333333333333331</v>
      </c>
      <c r="H23" s="406"/>
      <c r="I23" s="407">
        <v>0.25</v>
      </c>
      <c r="J23" s="408" t="s">
        <v>210</v>
      </c>
      <c r="K23" s="408"/>
      <c r="L23" s="409">
        <v>0.5</v>
      </c>
      <c r="M23" s="410">
        <f t="shared" si="3"/>
        <v>0.75</v>
      </c>
      <c r="N23" s="408" t="s">
        <v>210</v>
      </c>
      <c r="O23" s="408"/>
      <c r="P23" s="407">
        <v>0.25</v>
      </c>
      <c r="Q23" s="403" t="s">
        <v>212</v>
      </c>
      <c r="R23" s="404"/>
      <c r="S23" s="407">
        <v>0.5</v>
      </c>
      <c r="T23" s="408" t="s">
        <v>210</v>
      </c>
      <c r="U23" s="408"/>
      <c r="V23" s="443">
        <v>0.25</v>
      </c>
      <c r="W23" s="412">
        <f t="shared" si="2"/>
        <v>1</v>
      </c>
      <c r="X23" s="439"/>
      <c r="Y23" s="288"/>
    </row>
    <row r="24" spans="1:26" ht="21">
      <c r="A24" s="31">
        <v>16</v>
      </c>
      <c r="B24" s="414">
        <v>45995</v>
      </c>
      <c r="C24" s="415"/>
      <c r="D24" s="416"/>
      <c r="E24" s="440" t="s">
        <v>160</v>
      </c>
      <c r="F24" s="441"/>
      <c r="G24" s="419"/>
      <c r="H24" s="420"/>
      <c r="I24" s="421"/>
      <c r="J24" s="422"/>
      <c r="K24" s="422"/>
      <c r="L24" s="423"/>
      <c r="M24" s="410">
        <f t="shared" si="3"/>
        <v>0</v>
      </c>
      <c r="N24" s="422"/>
      <c r="O24" s="422"/>
      <c r="P24" s="421"/>
      <c r="Q24" s="417"/>
      <c r="R24" s="418"/>
      <c r="S24" s="421"/>
      <c r="T24" s="422"/>
      <c r="U24" s="422"/>
      <c r="V24" s="444"/>
      <c r="W24" s="412">
        <f t="shared" si="2"/>
        <v>0</v>
      </c>
      <c r="X24" s="445"/>
      <c r="Y24" s="288"/>
    </row>
    <row r="25" spans="1:26" ht="21">
      <c r="A25" s="31">
        <v>17</v>
      </c>
      <c r="B25" s="400">
        <v>45995</v>
      </c>
      <c r="C25" s="401"/>
      <c r="D25" s="402"/>
      <c r="E25" s="425" t="s">
        <v>175</v>
      </c>
      <c r="F25" s="426"/>
      <c r="G25" s="405" t="s">
        <v>219</v>
      </c>
      <c r="H25" s="406"/>
      <c r="I25" s="446">
        <v>0</v>
      </c>
      <c r="J25" s="408" t="s">
        <v>210</v>
      </c>
      <c r="K25" s="408"/>
      <c r="L25" s="446">
        <v>0.5</v>
      </c>
      <c r="M25" s="410">
        <f t="shared" si="3"/>
        <v>0.5</v>
      </c>
      <c r="N25" s="408" t="s">
        <v>210</v>
      </c>
      <c r="O25" s="408"/>
      <c r="P25" s="446">
        <v>0.25</v>
      </c>
      <c r="Q25" s="403" t="s">
        <v>213</v>
      </c>
      <c r="R25" s="404"/>
      <c r="S25" s="446">
        <v>0.4</v>
      </c>
      <c r="T25" s="408" t="s">
        <v>210</v>
      </c>
      <c r="U25" s="408"/>
      <c r="V25" s="447">
        <v>0.25</v>
      </c>
      <c r="W25" s="412">
        <f t="shared" si="2"/>
        <v>0.9</v>
      </c>
      <c r="X25" s="439"/>
      <c r="Y25" s="288"/>
    </row>
    <row r="26" spans="1:26" ht="21">
      <c r="A26" s="31">
        <v>18</v>
      </c>
      <c r="B26" s="414">
        <v>45995</v>
      </c>
      <c r="C26" s="415"/>
      <c r="D26" s="416"/>
      <c r="E26" s="417" t="s">
        <v>169</v>
      </c>
      <c r="F26" s="418"/>
      <c r="G26" s="419">
        <v>0.29166666666666669</v>
      </c>
      <c r="H26" s="420"/>
      <c r="I26" s="421">
        <v>0.5</v>
      </c>
      <c r="J26" s="422" t="s">
        <v>210</v>
      </c>
      <c r="K26" s="422"/>
      <c r="L26" s="421">
        <v>0.5</v>
      </c>
      <c r="M26" s="410">
        <v>0</v>
      </c>
      <c r="N26" s="422" t="s">
        <v>210</v>
      </c>
      <c r="O26" s="422"/>
      <c r="P26" s="421">
        <v>0.25</v>
      </c>
      <c r="Q26" s="417" t="s">
        <v>212</v>
      </c>
      <c r="R26" s="418"/>
      <c r="S26" s="421">
        <v>0.5</v>
      </c>
      <c r="T26" s="422" t="s">
        <v>210</v>
      </c>
      <c r="U26" s="422"/>
      <c r="V26" s="444">
        <v>0.25</v>
      </c>
      <c r="W26" s="412">
        <f t="shared" si="2"/>
        <v>1</v>
      </c>
      <c r="X26" s="448"/>
      <c r="Y26" s="288"/>
    </row>
    <row r="27" spans="1:26" ht="21">
      <c r="A27" s="31">
        <v>19</v>
      </c>
      <c r="B27" s="400">
        <v>45995</v>
      </c>
      <c r="C27" s="401"/>
      <c r="D27" s="402"/>
      <c r="E27" s="425" t="s">
        <v>220</v>
      </c>
      <c r="F27" s="426"/>
      <c r="G27" s="405">
        <v>0.33333333333333331</v>
      </c>
      <c r="H27" s="406"/>
      <c r="I27" s="407">
        <v>0.25</v>
      </c>
      <c r="J27" s="449" t="s">
        <v>210</v>
      </c>
      <c r="K27" s="449"/>
      <c r="L27" s="409">
        <v>0.5</v>
      </c>
      <c r="M27" s="410">
        <f t="shared" si="3"/>
        <v>0.75</v>
      </c>
      <c r="N27" s="449" t="s">
        <v>210</v>
      </c>
      <c r="O27" s="449"/>
      <c r="P27" s="407">
        <v>0.25</v>
      </c>
      <c r="Q27" s="403" t="s">
        <v>212</v>
      </c>
      <c r="R27" s="404"/>
      <c r="S27" s="407">
        <v>0.5</v>
      </c>
      <c r="T27" s="408" t="s">
        <v>210</v>
      </c>
      <c r="U27" s="408"/>
      <c r="V27" s="407">
        <v>0.25</v>
      </c>
      <c r="W27" s="412">
        <f t="shared" si="2"/>
        <v>1</v>
      </c>
      <c r="X27" s="439"/>
      <c r="Y27" s="288"/>
    </row>
    <row r="28" spans="1:26" ht="21">
      <c r="A28" s="31">
        <v>20</v>
      </c>
      <c r="B28" s="414"/>
      <c r="C28" s="415"/>
      <c r="D28" s="416"/>
      <c r="E28" s="417"/>
      <c r="F28" s="418"/>
      <c r="G28" s="419"/>
      <c r="H28" s="420"/>
      <c r="I28" s="421"/>
      <c r="J28" s="422"/>
      <c r="K28" s="422"/>
      <c r="L28" s="421"/>
      <c r="M28" s="410">
        <f t="shared" si="3"/>
        <v>0</v>
      </c>
      <c r="N28" s="422"/>
      <c r="O28" s="422"/>
      <c r="P28" s="421"/>
      <c r="Q28" s="417"/>
      <c r="R28" s="418"/>
      <c r="S28" s="421"/>
      <c r="T28" s="422"/>
      <c r="U28" s="422"/>
      <c r="V28" s="444"/>
      <c r="W28" s="412">
        <f t="shared" si="2"/>
        <v>0</v>
      </c>
      <c r="X28" s="448"/>
      <c r="Y28" s="288"/>
    </row>
    <row r="29" spans="1:26" ht="21">
      <c r="A29" s="31">
        <v>21</v>
      </c>
      <c r="B29" s="400"/>
      <c r="C29" s="401"/>
      <c r="D29" s="402"/>
      <c r="E29" s="403"/>
      <c r="F29" s="404"/>
      <c r="G29" s="405"/>
      <c r="H29" s="406"/>
      <c r="I29" s="407"/>
      <c r="J29" s="403"/>
      <c r="K29" s="404"/>
      <c r="L29" s="407"/>
      <c r="M29" s="410">
        <f t="shared" si="3"/>
        <v>0</v>
      </c>
      <c r="N29" s="403"/>
      <c r="O29" s="404"/>
      <c r="P29" s="407"/>
      <c r="Q29" s="403"/>
      <c r="R29" s="404"/>
      <c r="S29" s="407"/>
      <c r="T29" s="403"/>
      <c r="U29" s="404"/>
      <c r="V29" s="450"/>
      <c r="W29" s="412">
        <f t="shared" si="2"/>
        <v>0</v>
      </c>
      <c r="X29" s="451"/>
      <c r="Y29" s="288"/>
    </row>
    <row r="30" spans="1:26" ht="21">
      <c r="A30" s="31">
        <v>22</v>
      </c>
      <c r="B30" s="414"/>
      <c r="C30" s="415"/>
      <c r="D30" s="416"/>
      <c r="E30" s="417"/>
      <c r="F30" s="418"/>
      <c r="G30" s="452"/>
      <c r="H30" s="452"/>
      <c r="I30" s="421"/>
      <c r="J30" s="422"/>
      <c r="K30" s="422"/>
      <c r="L30" s="421"/>
      <c r="M30" s="410">
        <f t="shared" si="3"/>
        <v>0</v>
      </c>
      <c r="N30" s="422"/>
      <c r="O30" s="422"/>
      <c r="P30" s="421"/>
      <c r="Q30" s="422"/>
      <c r="R30" s="422"/>
      <c r="S30" s="421"/>
      <c r="T30" s="422"/>
      <c r="U30" s="422"/>
      <c r="V30" s="444"/>
      <c r="W30" s="412">
        <f t="shared" si="2"/>
        <v>0</v>
      </c>
      <c r="X30" s="448"/>
      <c r="Y30" s="288"/>
    </row>
    <row r="31" spans="1:26" ht="21">
      <c r="A31" s="31">
        <v>23</v>
      </c>
      <c r="B31" s="400"/>
      <c r="C31" s="401"/>
      <c r="D31" s="402"/>
      <c r="E31" s="425"/>
      <c r="F31" s="426"/>
      <c r="G31" s="453"/>
      <c r="H31" s="453"/>
      <c r="I31" s="446"/>
      <c r="J31" s="449"/>
      <c r="K31" s="449"/>
      <c r="L31" s="446"/>
      <c r="M31" s="410">
        <f t="shared" si="3"/>
        <v>0</v>
      </c>
      <c r="N31" s="449"/>
      <c r="O31" s="449"/>
      <c r="P31" s="446"/>
      <c r="Q31" s="449"/>
      <c r="R31" s="449"/>
      <c r="S31" s="446"/>
      <c r="T31" s="408"/>
      <c r="U31" s="408"/>
      <c r="V31" s="447"/>
      <c r="W31" s="412">
        <f t="shared" si="2"/>
        <v>0</v>
      </c>
      <c r="X31" s="451"/>
      <c r="Y31" s="288"/>
    </row>
    <row r="32" spans="1:26" ht="21">
      <c r="A32" s="31">
        <v>24</v>
      </c>
      <c r="B32" s="414"/>
      <c r="C32" s="415"/>
      <c r="D32" s="416"/>
      <c r="E32" s="417"/>
      <c r="F32" s="418"/>
      <c r="G32" s="419"/>
      <c r="H32" s="420"/>
      <c r="I32" s="421"/>
      <c r="J32" s="417"/>
      <c r="K32" s="418"/>
      <c r="L32" s="421"/>
      <c r="M32" s="410">
        <f t="shared" si="3"/>
        <v>0</v>
      </c>
      <c r="N32" s="417"/>
      <c r="O32" s="418"/>
      <c r="P32" s="421"/>
      <c r="Q32" s="417"/>
      <c r="R32" s="418"/>
      <c r="S32" s="421"/>
      <c r="T32" s="417"/>
      <c r="U32" s="418"/>
      <c r="V32" s="454"/>
      <c r="W32" s="412">
        <f t="shared" si="2"/>
        <v>0</v>
      </c>
      <c r="X32" s="448"/>
      <c r="Y32" s="288"/>
    </row>
    <row r="33" spans="1:25" ht="21">
      <c r="A33" s="31">
        <v>25</v>
      </c>
      <c r="B33" s="400"/>
      <c r="C33" s="401"/>
      <c r="D33" s="402"/>
      <c r="E33" s="425"/>
      <c r="F33" s="426"/>
      <c r="G33" s="453"/>
      <c r="H33" s="453"/>
      <c r="I33" s="446"/>
      <c r="J33" s="449"/>
      <c r="K33" s="449"/>
      <c r="L33" s="446"/>
      <c r="M33" s="410">
        <f t="shared" si="3"/>
        <v>0</v>
      </c>
      <c r="N33" s="449"/>
      <c r="O33" s="449"/>
      <c r="P33" s="446"/>
      <c r="Q33" s="449"/>
      <c r="R33" s="449"/>
      <c r="S33" s="446"/>
      <c r="T33" s="449"/>
      <c r="U33" s="449"/>
      <c r="V33" s="447"/>
      <c r="W33" s="412">
        <f t="shared" si="2"/>
        <v>0</v>
      </c>
      <c r="X33" s="451"/>
      <c r="Y33" s="288"/>
    </row>
    <row r="34" spans="1:25" ht="21">
      <c r="A34" s="31">
        <v>26</v>
      </c>
      <c r="B34" s="414"/>
      <c r="C34" s="415"/>
      <c r="D34" s="416"/>
      <c r="E34" s="417"/>
      <c r="F34" s="418"/>
      <c r="G34" s="452"/>
      <c r="H34" s="452"/>
      <c r="I34" s="421"/>
      <c r="J34" s="422"/>
      <c r="K34" s="422"/>
      <c r="L34" s="421"/>
      <c r="M34" s="410">
        <f t="shared" si="3"/>
        <v>0</v>
      </c>
      <c r="N34" s="422"/>
      <c r="O34" s="422"/>
      <c r="P34" s="421"/>
      <c r="Q34" s="422"/>
      <c r="R34" s="422"/>
      <c r="S34" s="421"/>
      <c r="T34" s="422"/>
      <c r="U34" s="422"/>
      <c r="V34" s="444"/>
      <c r="W34" s="412">
        <f t="shared" si="2"/>
        <v>0</v>
      </c>
      <c r="X34" s="448"/>
      <c r="Y34" s="288"/>
    </row>
    <row r="35" spans="1:25" ht="21">
      <c r="A35" s="31">
        <v>27</v>
      </c>
      <c r="B35" s="400"/>
      <c r="C35" s="401"/>
      <c r="D35" s="402"/>
      <c r="E35" s="403"/>
      <c r="F35" s="404"/>
      <c r="G35" s="405"/>
      <c r="H35" s="406"/>
      <c r="I35" s="407"/>
      <c r="J35" s="403"/>
      <c r="K35" s="404"/>
      <c r="L35" s="407"/>
      <c r="M35" s="410">
        <f t="shared" si="3"/>
        <v>0</v>
      </c>
      <c r="N35" s="403"/>
      <c r="O35" s="404"/>
      <c r="P35" s="407"/>
      <c r="Q35" s="403"/>
      <c r="R35" s="404"/>
      <c r="S35" s="407"/>
      <c r="T35" s="403"/>
      <c r="U35" s="404"/>
      <c r="V35" s="450"/>
      <c r="W35" s="412">
        <f t="shared" si="2"/>
        <v>0</v>
      </c>
      <c r="X35" s="451"/>
      <c r="Y35" s="288"/>
    </row>
    <row r="36" spans="1:25" ht="21">
      <c r="A36" s="31">
        <v>28</v>
      </c>
      <c r="B36" s="414"/>
      <c r="C36" s="415"/>
      <c r="D36" s="416"/>
      <c r="E36" s="417"/>
      <c r="F36" s="418"/>
      <c r="G36" s="452"/>
      <c r="H36" s="452"/>
      <c r="I36" s="421"/>
      <c r="J36" s="422"/>
      <c r="K36" s="422"/>
      <c r="L36" s="421"/>
      <c r="M36" s="410">
        <f t="shared" si="3"/>
        <v>0</v>
      </c>
      <c r="N36" s="422"/>
      <c r="O36" s="422"/>
      <c r="P36" s="421"/>
      <c r="Q36" s="422"/>
      <c r="R36" s="422"/>
      <c r="S36" s="421"/>
      <c r="T36" s="422"/>
      <c r="U36" s="422"/>
      <c r="V36" s="444"/>
      <c r="W36" s="412">
        <f t="shared" si="2"/>
        <v>0</v>
      </c>
      <c r="X36" s="448"/>
      <c r="Y36" s="288"/>
    </row>
    <row r="37" spans="1:25" ht="21">
      <c r="A37" s="31">
        <v>29</v>
      </c>
      <c r="B37" s="400"/>
      <c r="C37" s="401"/>
      <c r="D37" s="402"/>
      <c r="E37" s="425"/>
      <c r="F37" s="426"/>
      <c r="G37" s="453"/>
      <c r="H37" s="453"/>
      <c r="I37" s="446"/>
      <c r="J37" s="449"/>
      <c r="K37" s="449"/>
      <c r="L37" s="446"/>
      <c r="M37" s="410">
        <f t="shared" si="3"/>
        <v>0</v>
      </c>
      <c r="N37" s="449"/>
      <c r="O37" s="449"/>
      <c r="P37" s="446"/>
      <c r="Q37" s="449"/>
      <c r="R37" s="449"/>
      <c r="S37" s="446"/>
      <c r="T37" s="449"/>
      <c r="U37" s="449"/>
      <c r="V37" s="447"/>
      <c r="W37" s="412">
        <f t="shared" si="2"/>
        <v>0</v>
      </c>
      <c r="X37" s="451"/>
      <c r="Y37" s="288"/>
    </row>
    <row r="38" spans="1:25" ht="21">
      <c r="A38" s="31">
        <v>30</v>
      </c>
      <c r="B38" s="414"/>
      <c r="C38" s="415"/>
      <c r="D38" s="416"/>
      <c r="E38" s="417"/>
      <c r="F38" s="418"/>
      <c r="G38" s="419"/>
      <c r="H38" s="420"/>
      <c r="I38" s="421"/>
      <c r="J38" s="417"/>
      <c r="K38" s="418"/>
      <c r="L38" s="421"/>
      <c r="M38" s="410">
        <f t="shared" si="3"/>
        <v>0</v>
      </c>
      <c r="N38" s="417"/>
      <c r="O38" s="418"/>
      <c r="P38" s="421"/>
      <c r="Q38" s="417"/>
      <c r="R38" s="418"/>
      <c r="S38" s="421"/>
      <c r="T38" s="417"/>
      <c r="U38" s="418"/>
      <c r="V38" s="454"/>
      <c r="W38" s="412">
        <f t="shared" si="2"/>
        <v>0</v>
      </c>
      <c r="X38" s="448"/>
      <c r="Y38" s="288"/>
    </row>
    <row r="39" spans="1:25" ht="21">
      <c r="A39" s="31">
        <v>31</v>
      </c>
      <c r="B39" s="400"/>
      <c r="C39" s="401"/>
      <c r="D39" s="402"/>
      <c r="E39" s="425"/>
      <c r="F39" s="426"/>
      <c r="G39" s="453"/>
      <c r="H39" s="453"/>
      <c r="I39" s="446"/>
      <c r="J39" s="449"/>
      <c r="K39" s="449"/>
      <c r="L39" s="446"/>
      <c r="M39" s="410">
        <f t="shared" si="3"/>
        <v>0</v>
      </c>
      <c r="N39" s="449"/>
      <c r="O39" s="449"/>
      <c r="P39" s="446"/>
      <c r="Q39" s="449"/>
      <c r="R39" s="449"/>
      <c r="S39" s="446"/>
      <c r="T39" s="449"/>
      <c r="U39" s="449"/>
      <c r="V39" s="447"/>
      <c r="W39" s="412">
        <f t="shared" si="2"/>
        <v>0</v>
      </c>
      <c r="X39" s="451"/>
      <c r="Y39" s="288"/>
    </row>
    <row r="40" spans="1:25" ht="21">
      <c r="A40" s="31">
        <v>32</v>
      </c>
      <c r="B40" s="414"/>
      <c r="C40" s="415"/>
      <c r="D40" s="416"/>
      <c r="E40" s="417"/>
      <c r="F40" s="418"/>
      <c r="G40" s="452"/>
      <c r="H40" s="452"/>
      <c r="I40" s="421"/>
      <c r="J40" s="422"/>
      <c r="K40" s="422"/>
      <c r="L40" s="421"/>
      <c r="M40" s="410">
        <f t="shared" si="3"/>
        <v>0</v>
      </c>
      <c r="N40" s="422"/>
      <c r="O40" s="422"/>
      <c r="P40" s="421"/>
      <c r="Q40" s="422"/>
      <c r="R40" s="422"/>
      <c r="S40" s="421"/>
      <c r="T40" s="422"/>
      <c r="U40" s="422"/>
      <c r="V40" s="444"/>
      <c r="W40" s="412">
        <f t="shared" si="2"/>
        <v>0</v>
      </c>
      <c r="X40" s="448"/>
      <c r="Y40" s="288"/>
    </row>
    <row r="41" spans="1:25" ht="21">
      <c r="A41" s="31">
        <v>33</v>
      </c>
      <c r="B41" s="400"/>
      <c r="C41" s="401"/>
      <c r="D41" s="402"/>
      <c r="E41" s="403"/>
      <c r="F41" s="404"/>
      <c r="G41" s="405"/>
      <c r="H41" s="406"/>
      <c r="I41" s="407"/>
      <c r="J41" s="403"/>
      <c r="K41" s="404"/>
      <c r="L41" s="407"/>
      <c r="M41" s="410">
        <f t="shared" si="3"/>
        <v>0</v>
      </c>
      <c r="N41" s="403"/>
      <c r="O41" s="404"/>
      <c r="P41" s="407"/>
      <c r="Q41" s="403"/>
      <c r="R41" s="404"/>
      <c r="S41" s="407"/>
      <c r="T41" s="403"/>
      <c r="U41" s="404"/>
      <c r="V41" s="450"/>
      <c r="W41" s="412">
        <f t="shared" si="2"/>
        <v>0</v>
      </c>
      <c r="X41" s="451"/>
      <c r="Y41" s="288"/>
    </row>
    <row r="42" spans="1:25" ht="21">
      <c r="A42" s="31">
        <v>34</v>
      </c>
      <c r="B42" s="414"/>
      <c r="C42" s="415"/>
      <c r="D42" s="416"/>
      <c r="E42" s="417"/>
      <c r="F42" s="418"/>
      <c r="G42" s="452"/>
      <c r="H42" s="452"/>
      <c r="I42" s="421"/>
      <c r="J42" s="422"/>
      <c r="K42" s="422"/>
      <c r="L42" s="421"/>
      <c r="M42" s="410">
        <f t="shared" si="3"/>
        <v>0</v>
      </c>
      <c r="N42" s="422"/>
      <c r="O42" s="422"/>
      <c r="P42" s="421"/>
      <c r="Q42" s="422"/>
      <c r="R42" s="422"/>
      <c r="S42" s="421"/>
      <c r="T42" s="422"/>
      <c r="U42" s="422"/>
      <c r="V42" s="444"/>
      <c r="W42" s="412">
        <f t="shared" si="2"/>
        <v>0</v>
      </c>
      <c r="X42" s="448"/>
      <c r="Y42" s="288"/>
    </row>
  </sheetData>
  <mergeCells count="256">
    <mergeCell ref="T42:U42"/>
    <mergeCell ref="B42:D42"/>
    <mergeCell ref="E42:F42"/>
    <mergeCell ref="G42:H42"/>
    <mergeCell ref="J42:K42"/>
    <mergeCell ref="N42:O42"/>
    <mergeCell ref="Q42:R42"/>
    <mergeCell ref="T40:U40"/>
    <mergeCell ref="B41:D41"/>
    <mergeCell ref="E41:F41"/>
    <mergeCell ref="G41:H41"/>
    <mergeCell ref="J41:K41"/>
    <mergeCell ref="N41:O41"/>
    <mergeCell ref="Q41:R41"/>
    <mergeCell ref="T41:U41"/>
    <mergeCell ref="B40:D40"/>
    <mergeCell ref="E40:F40"/>
    <mergeCell ref="G40:H40"/>
    <mergeCell ref="J40:K40"/>
    <mergeCell ref="N40:O40"/>
    <mergeCell ref="Q40:R40"/>
    <mergeCell ref="T38:U38"/>
    <mergeCell ref="B39:D39"/>
    <mergeCell ref="E39:F39"/>
    <mergeCell ref="G39:H39"/>
    <mergeCell ref="J39:K39"/>
    <mergeCell ref="N39:O39"/>
    <mergeCell ref="Q39:R39"/>
    <mergeCell ref="T39:U39"/>
    <mergeCell ref="B38:D38"/>
    <mergeCell ref="E38:F38"/>
    <mergeCell ref="G38:H38"/>
    <mergeCell ref="J38:K38"/>
    <mergeCell ref="N38:O38"/>
    <mergeCell ref="Q38:R38"/>
    <mergeCell ref="T36:U36"/>
    <mergeCell ref="B37:D37"/>
    <mergeCell ref="E37:F37"/>
    <mergeCell ref="G37:H37"/>
    <mergeCell ref="J37:K37"/>
    <mergeCell ref="N37:O37"/>
    <mergeCell ref="Q37:R37"/>
    <mergeCell ref="T37:U37"/>
    <mergeCell ref="B36:D36"/>
    <mergeCell ref="E36:F36"/>
    <mergeCell ref="G36:H36"/>
    <mergeCell ref="J36:K36"/>
    <mergeCell ref="N36:O36"/>
    <mergeCell ref="Q36:R36"/>
    <mergeCell ref="T34:U34"/>
    <mergeCell ref="B35:D35"/>
    <mergeCell ref="E35:F35"/>
    <mergeCell ref="G35:H35"/>
    <mergeCell ref="J35:K35"/>
    <mergeCell ref="N35:O35"/>
    <mergeCell ref="Q35:R35"/>
    <mergeCell ref="T35:U35"/>
    <mergeCell ref="B34:D34"/>
    <mergeCell ref="E34:F34"/>
    <mergeCell ref="G34:H34"/>
    <mergeCell ref="J34:K34"/>
    <mergeCell ref="N34:O34"/>
    <mergeCell ref="Q34:R34"/>
    <mergeCell ref="T32:U32"/>
    <mergeCell ref="B33:D33"/>
    <mergeCell ref="E33:F33"/>
    <mergeCell ref="G33:H33"/>
    <mergeCell ref="J33:K33"/>
    <mergeCell ref="N33:O33"/>
    <mergeCell ref="Q33:R33"/>
    <mergeCell ref="T33:U33"/>
    <mergeCell ref="B32:D32"/>
    <mergeCell ref="E32:F32"/>
    <mergeCell ref="G32:H32"/>
    <mergeCell ref="J32:K32"/>
    <mergeCell ref="N32:O32"/>
    <mergeCell ref="Q32:R32"/>
    <mergeCell ref="T30:U30"/>
    <mergeCell ref="B31:D31"/>
    <mergeCell ref="E31:F31"/>
    <mergeCell ref="G31:H31"/>
    <mergeCell ref="J31:K31"/>
    <mergeCell ref="N31:O31"/>
    <mergeCell ref="Q31:R31"/>
    <mergeCell ref="T31:U31"/>
    <mergeCell ref="B30:D30"/>
    <mergeCell ref="E30:F30"/>
    <mergeCell ref="G30:H30"/>
    <mergeCell ref="J30:K30"/>
    <mergeCell ref="N30:O30"/>
    <mergeCell ref="Q30:R30"/>
    <mergeCell ref="T28:U28"/>
    <mergeCell ref="B29:D29"/>
    <mergeCell ref="E29:F29"/>
    <mergeCell ref="G29:H29"/>
    <mergeCell ref="J29:K29"/>
    <mergeCell ref="N29:O29"/>
    <mergeCell ref="Q29:R29"/>
    <mergeCell ref="T29:U29"/>
    <mergeCell ref="B28:D28"/>
    <mergeCell ref="E28:F28"/>
    <mergeCell ref="G28:H28"/>
    <mergeCell ref="J28:K28"/>
    <mergeCell ref="N28:O28"/>
    <mergeCell ref="Q28:R28"/>
    <mergeCell ref="T26:U26"/>
    <mergeCell ref="B27:D27"/>
    <mergeCell ref="E27:F27"/>
    <mergeCell ref="G27:H27"/>
    <mergeCell ref="J27:K27"/>
    <mergeCell ref="N27:O27"/>
    <mergeCell ref="Q27:R27"/>
    <mergeCell ref="T27:U27"/>
    <mergeCell ref="B26:D26"/>
    <mergeCell ref="E26:F26"/>
    <mergeCell ref="G26:H26"/>
    <mergeCell ref="J26:K26"/>
    <mergeCell ref="N26:O26"/>
    <mergeCell ref="Q26:R26"/>
    <mergeCell ref="T24:U24"/>
    <mergeCell ref="B25:D25"/>
    <mergeCell ref="E25:F25"/>
    <mergeCell ref="G25:H25"/>
    <mergeCell ref="J25:K25"/>
    <mergeCell ref="N25:O25"/>
    <mergeCell ref="Q25:R25"/>
    <mergeCell ref="T25:U25"/>
    <mergeCell ref="B24:D24"/>
    <mergeCell ref="E24:F24"/>
    <mergeCell ref="G24:H24"/>
    <mergeCell ref="J24:K24"/>
    <mergeCell ref="N24:O24"/>
    <mergeCell ref="Q24:R24"/>
    <mergeCell ref="T22:U22"/>
    <mergeCell ref="B23:D23"/>
    <mergeCell ref="E23:F23"/>
    <mergeCell ref="G23:H23"/>
    <mergeCell ref="J23:K23"/>
    <mergeCell ref="N23:O23"/>
    <mergeCell ref="Q23:R23"/>
    <mergeCell ref="T23:U23"/>
    <mergeCell ref="B22:D22"/>
    <mergeCell ref="E22:F22"/>
    <mergeCell ref="G22:H22"/>
    <mergeCell ref="J22:K22"/>
    <mergeCell ref="N22:O22"/>
    <mergeCell ref="Q22:R22"/>
    <mergeCell ref="T20:U20"/>
    <mergeCell ref="B21:D21"/>
    <mergeCell ref="E21:F21"/>
    <mergeCell ref="G21:H21"/>
    <mergeCell ref="J21:K21"/>
    <mergeCell ref="N21:O21"/>
    <mergeCell ref="Q21:R21"/>
    <mergeCell ref="T21:U21"/>
    <mergeCell ref="B20:D20"/>
    <mergeCell ref="E20:F20"/>
    <mergeCell ref="G20:H20"/>
    <mergeCell ref="J20:K20"/>
    <mergeCell ref="N20:O20"/>
    <mergeCell ref="Q20:R20"/>
    <mergeCell ref="T18:U18"/>
    <mergeCell ref="B19:D19"/>
    <mergeCell ref="E19:F19"/>
    <mergeCell ref="G19:H19"/>
    <mergeCell ref="J19:K19"/>
    <mergeCell ref="N19:O19"/>
    <mergeCell ref="Q19:R19"/>
    <mergeCell ref="T19:U19"/>
    <mergeCell ref="B18:D18"/>
    <mergeCell ref="E18:F18"/>
    <mergeCell ref="G18:H18"/>
    <mergeCell ref="J18:K18"/>
    <mergeCell ref="N18:O18"/>
    <mergeCell ref="Q18:R18"/>
    <mergeCell ref="T16:U16"/>
    <mergeCell ref="B17:D17"/>
    <mergeCell ref="E17:F17"/>
    <mergeCell ref="G17:H17"/>
    <mergeCell ref="J17:K17"/>
    <mergeCell ref="N17:O17"/>
    <mergeCell ref="Q17:R17"/>
    <mergeCell ref="T17:U17"/>
    <mergeCell ref="B16:D16"/>
    <mergeCell ref="E16:F16"/>
    <mergeCell ref="G16:H16"/>
    <mergeCell ref="J16:K16"/>
    <mergeCell ref="N16:O16"/>
    <mergeCell ref="Q16:R16"/>
    <mergeCell ref="T14:U14"/>
    <mergeCell ref="B15:D15"/>
    <mergeCell ref="E15:F15"/>
    <mergeCell ref="G15:H15"/>
    <mergeCell ref="J15:K15"/>
    <mergeCell ref="N15:O15"/>
    <mergeCell ref="Q15:R15"/>
    <mergeCell ref="T15:U15"/>
    <mergeCell ref="B14:D14"/>
    <mergeCell ref="E14:F14"/>
    <mergeCell ref="G14:H14"/>
    <mergeCell ref="J14:K14"/>
    <mergeCell ref="N14:O14"/>
    <mergeCell ref="Q14:R14"/>
    <mergeCell ref="T12:U12"/>
    <mergeCell ref="B13:D13"/>
    <mergeCell ref="E13:F13"/>
    <mergeCell ref="G13:H13"/>
    <mergeCell ref="J13:K13"/>
    <mergeCell ref="N13:O13"/>
    <mergeCell ref="Q13:R13"/>
    <mergeCell ref="T13:U13"/>
    <mergeCell ref="B12:D12"/>
    <mergeCell ref="E12:F12"/>
    <mergeCell ref="G12:H12"/>
    <mergeCell ref="J12:K12"/>
    <mergeCell ref="N12:O12"/>
    <mergeCell ref="Q12:R12"/>
    <mergeCell ref="T10:U10"/>
    <mergeCell ref="B11:D11"/>
    <mergeCell ref="E11:F11"/>
    <mergeCell ref="G11:H11"/>
    <mergeCell ref="J11:K11"/>
    <mergeCell ref="N11:O11"/>
    <mergeCell ref="Q11:R11"/>
    <mergeCell ref="T11:U11"/>
    <mergeCell ref="B10:D10"/>
    <mergeCell ref="E10:F10"/>
    <mergeCell ref="G10:H10"/>
    <mergeCell ref="J10:K10"/>
    <mergeCell ref="N10:O10"/>
    <mergeCell ref="Q10:R10"/>
    <mergeCell ref="Q8:R8"/>
    <mergeCell ref="T8:U8"/>
    <mergeCell ref="B9:D9"/>
    <mergeCell ref="E9:F9"/>
    <mergeCell ref="G9:H9"/>
    <mergeCell ref="J9:K9"/>
    <mergeCell ref="N9:O9"/>
    <mergeCell ref="Q9:R9"/>
    <mergeCell ref="T9:U9"/>
    <mergeCell ref="B6:W6"/>
    <mergeCell ref="G7:L7"/>
    <mergeCell ref="M7:M8"/>
    <mergeCell ref="N7:V7"/>
    <mergeCell ref="W7:W8"/>
    <mergeCell ref="B8:D8"/>
    <mergeCell ref="E8:F8"/>
    <mergeCell ref="G8:H8"/>
    <mergeCell ref="J8:K8"/>
    <mergeCell ref="N8:O8"/>
    <mergeCell ref="B1:W1"/>
    <mergeCell ref="B3:D3"/>
    <mergeCell ref="E3:K3"/>
    <mergeCell ref="P3:W4"/>
    <mergeCell ref="B4:D4"/>
    <mergeCell ref="E4:K4"/>
  </mergeCells>
  <conditionalFormatting sqref="J9:L42">
    <cfRule type="cellIs" dxfId="96" priority="19" operator="equal">
      <formula>"Yes"</formula>
    </cfRule>
    <cfRule type="cellIs" dxfId="95" priority="20" operator="equal">
      <formula>"No"</formula>
    </cfRule>
  </conditionalFormatting>
  <conditionalFormatting sqref="M7:M8 W7:W8">
    <cfRule type="cellIs" dxfId="94" priority="95" operator="greaterThan">
      <formula>0.849999999999999</formula>
    </cfRule>
    <cfRule type="cellIs" dxfId="92" priority="96" operator="between">
      <formula>0.75</formula>
      <formula>0.85</formula>
    </cfRule>
    <cfRule type="cellIs" dxfId="93" priority="97" stopIfTrue="1" operator="lessThan">
      <formula>0.75</formula>
    </cfRule>
  </conditionalFormatting>
  <conditionalFormatting sqref="N9:O27">
    <cfRule type="cellIs" dxfId="91" priority="17" operator="equal">
      <formula>"Yes"</formula>
    </cfRule>
    <cfRule type="cellIs" dxfId="90" priority="18" operator="equal">
      <formula>"No"</formula>
    </cfRule>
  </conditionalFormatting>
  <conditionalFormatting sqref="N28:R28">
    <cfRule type="cellIs" dxfId="89" priority="57" operator="equal">
      <formula>"No"</formula>
    </cfRule>
  </conditionalFormatting>
  <conditionalFormatting sqref="N29:R42 P25:P26">
    <cfRule type="cellIs" dxfId="88" priority="92" operator="equal">
      <formula>"No"</formula>
    </cfRule>
  </conditionalFormatting>
  <conditionalFormatting sqref="P25:P26 N28:P42">
    <cfRule type="cellIs" dxfId="87" priority="93" operator="equal">
      <formula>"Yes"</formula>
    </cfRule>
  </conditionalFormatting>
  <conditionalFormatting sqref="Q9:R9">
    <cfRule type="cellIs" dxfId="86" priority="26" operator="equal">
      <formula>"No"</formula>
    </cfRule>
    <cfRule type="cellIs" dxfId="85" priority="27" stopIfTrue="1" operator="greaterThan">
      <formula>5.9999999999</formula>
    </cfRule>
    <cfRule type="cellIs" dxfId="84" priority="28" operator="between">
      <formula>0.1</formula>
      <formula>5.999</formula>
    </cfRule>
  </conditionalFormatting>
  <conditionalFormatting sqref="Q10:R10 Q12:R15">
    <cfRule type="cellIs" dxfId="83" priority="71" operator="between">
      <formula>0.1</formula>
      <formula>5.999</formula>
    </cfRule>
  </conditionalFormatting>
  <conditionalFormatting sqref="Q11:R11">
    <cfRule type="cellIs" dxfId="82" priority="21" operator="equal">
      <formula>"No"</formula>
    </cfRule>
    <cfRule type="cellIs" dxfId="81" priority="22" stopIfTrue="1" operator="greaterThan">
      <formula>5.9999999999</formula>
    </cfRule>
    <cfRule type="cellIs" dxfId="80" priority="23" operator="between">
      <formula>0.1</formula>
      <formula>5.999</formula>
    </cfRule>
  </conditionalFormatting>
  <conditionalFormatting sqref="Q12:R15 Q10:R10">
    <cfRule type="cellIs" dxfId="79" priority="70" stopIfTrue="1" operator="greaterThan">
      <formula>5.9999999999</formula>
    </cfRule>
  </conditionalFormatting>
  <conditionalFormatting sqref="Q12:R15">
    <cfRule type="cellIs" dxfId="78" priority="69" operator="equal">
      <formula>"No"</formula>
    </cfRule>
  </conditionalFormatting>
  <conditionalFormatting sqref="Q13:R13">
    <cfRule type="cellIs" dxfId="73" priority="60" stopIfTrue="1" operator="greaterThan">
      <formula>5.9999999999</formula>
    </cfRule>
    <cfRule type="cellIs" dxfId="74" priority="61" operator="between">
      <formula>0.1</formula>
      <formula>5.999</formula>
    </cfRule>
    <cfRule type="cellIs" dxfId="75" priority="62" stopIfTrue="1" operator="greaterThan">
      <formula>5.9999999999</formula>
    </cfRule>
    <cfRule type="cellIs" dxfId="76" priority="63" operator="between">
      <formula>0.1</formula>
      <formula>5.999</formula>
    </cfRule>
    <cfRule type="cellIs" dxfId="72" priority="64" stopIfTrue="1" operator="greaterThan">
      <formula>5.9999999999</formula>
    </cfRule>
    <cfRule type="cellIs" dxfId="69" priority="65" operator="between">
      <formula>0.1</formula>
      <formula>5.999</formula>
    </cfRule>
    <cfRule type="cellIs" dxfId="70" priority="66" operator="equal">
      <formula>"No"</formula>
    </cfRule>
    <cfRule type="cellIs" dxfId="71" priority="67" stopIfTrue="1" operator="greaterThan">
      <formula>5.9999999999</formula>
    </cfRule>
    <cfRule type="cellIs" dxfId="77" priority="68" operator="between">
      <formula>0.1</formula>
      <formula>5.999</formula>
    </cfRule>
  </conditionalFormatting>
  <conditionalFormatting sqref="Q14:R14">
    <cfRule type="cellIs" dxfId="60" priority="78" stopIfTrue="1" operator="greaterThan">
      <formula>5.9999999999</formula>
    </cfRule>
    <cfRule type="cellIs" dxfId="68" priority="79" operator="between">
      <formula>0.1</formula>
      <formula>5.999</formula>
    </cfRule>
    <cfRule type="cellIs" dxfId="67" priority="81" stopIfTrue="1" operator="greaterThan">
      <formula>5.9999999999</formula>
    </cfRule>
    <cfRule type="cellIs" dxfId="66" priority="82" operator="between">
      <formula>0.1</formula>
      <formula>5.999</formula>
    </cfRule>
    <cfRule type="cellIs" dxfId="61" priority="83" stopIfTrue="1" operator="greaterThan">
      <formula>5.9999999999</formula>
    </cfRule>
    <cfRule type="cellIs" dxfId="65" priority="84" operator="between">
      <formula>0.1</formula>
      <formula>5.999</formula>
    </cfRule>
    <cfRule type="cellIs" dxfId="64" priority="87" stopIfTrue="1" operator="greaterThan">
      <formula>5.9999999999</formula>
    </cfRule>
    <cfRule type="cellIs" dxfId="63" priority="88" operator="between">
      <formula>0.1</formula>
      <formula>5.999</formula>
    </cfRule>
    <cfRule type="cellIs" dxfId="62" priority="89" operator="equal">
      <formula>"No"</formula>
    </cfRule>
  </conditionalFormatting>
  <conditionalFormatting sqref="Q16:R16">
    <cfRule type="cellIs" dxfId="59" priority="5" stopIfTrue="1" operator="greaterThan">
      <formula>5.9999999999</formula>
    </cfRule>
    <cfRule type="cellIs" dxfId="58" priority="6" operator="between">
      <formula>0.1</formula>
      <formula>5.999</formula>
    </cfRule>
    <cfRule type="cellIs" dxfId="57" priority="7" stopIfTrue="1" operator="greaterThan">
      <formula>5.9999999999</formula>
    </cfRule>
    <cfRule type="cellIs" dxfId="56" priority="8" operator="between">
      <formula>0.1</formula>
      <formula>5.999</formula>
    </cfRule>
    <cfRule type="cellIs" dxfId="50" priority="9" stopIfTrue="1" operator="greaterThan">
      <formula>5.9999999999</formula>
    </cfRule>
    <cfRule type="cellIs" dxfId="55" priority="10" operator="between">
      <formula>0.1</formula>
      <formula>5.999</formula>
    </cfRule>
    <cfRule type="cellIs" dxfId="54" priority="11" operator="equal">
      <formula>"No"</formula>
    </cfRule>
    <cfRule type="cellIs" dxfId="53" priority="12" stopIfTrue="1" operator="greaterThan">
      <formula>5.9999999999</formula>
    </cfRule>
    <cfRule type="cellIs" dxfId="48" priority="13" operator="between">
      <formula>0.1</formula>
      <formula>5.999</formula>
    </cfRule>
    <cfRule type="cellIs" dxfId="49" priority="14" operator="equal">
      <formula>"No"</formula>
    </cfRule>
    <cfRule type="cellIs" dxfId="51" priority="15" stopIfTrue="1" operator="greaterThan">
      <formula>5.9999999999</formula>
    </cfRule>
    <cfRule type="cellIs" dxfId="52" priority="16" operator="between">
      <formula>0.1</formula>
      <formula>5.999</formula>
    </cfRule>
  </conditionalFormatting>
  <conditionalFormatting sqref="Q17:R27">
    <cfRule type="cellIs" dxfId="46" priority="48" operator="equal">
      <formula>"No"</formula>
    </cfRule>
    <cfRule type="cellIs" dxfId="47" priority="49" stopIfTrue="1" operator="greaterThan">
      <formula>5.9999999999</formula>
    </cfRule>
    <cfRule type="cellIs" dxfId="45" priority="50" operator="between">
      <formula>0.1</formula>
      <formula>5.999</formula>
    </cfRule>
  </conditionalFormatting>
  <conditionalFormatting sqref="Q18:R18">
    <cfRule type="cellIs" dxfId="44" priority="39" stopIfTrue="1" operator="greaterThan">
      <formula>5.9999999999</formula>
    </cfRule>
    <cfRule type="cellIs" dxfId="43" priority="40" operator="between">
      <formula>0.1</formula>
      <formula>5.999</formula>
    </cfRule>
    <cfRule type="cellIs" dxfId="42" priority="41" stopIfTrue="1" operator="greaterThan">
      <formula>5.9999999999</formula>
    </cfRule>
    <cfRule type="cellIs" dxfId="41" priority="42" operator="between">
      <formula>0.1</formula>
      <formula>5.999</formula>
    </cfRule>
    <cfRule type="cellIs" dxfId="40" priority="43" stopIfTrue="1" operator="greaterThan">
      <formula>5.9999999999</formula>
    </cfRule>
    <cfRule type="cellIs" dxfId="36" priority="44" operator="between">
      <formula>0.1</formula>
      <formula>5.999</formula>
    </cfRule>
    <cfRule type="cellIs" dxfId="37" priority="45" operator="equal">
      <formula>"No"</formula>
    </cfRule>
    <cfRule type="cellIs" dxfId="39" priority="46" stopIfTrue="1" operator="greaterThan">
      <formula>5.9999999999</formula>
    </cfRule>
    <cfRule type="cellIs" dxfId="38" priority="47" operator="between">
      <formula>0.1</formula>
      <formula>5.999</formula>
    </cfRule>
  </conditionalFormatting>
  <conditionalFormatting sqref="Q20:R20">
    <cfRule type="cellIs" dxfId="30" priority="29" stopIfTrue="1" operator="greaterThan">
      <formula>5.9999999999</formula>
    </cfRule>
    <cfRule type="cellIs" dxfId="29" priority="30" operator="between">
      <formula>0.1</formula>
      <formula>5.999</formula>
    </cfRule>
    <cfRule type="cellIs" dxfId="28" priority="31" stopIfTrue="1" operator="greaterThan">
      <formula>5.9999999999</formula>
    </cfRule>
    <cfRule type="cellIs" dxfId="27" priority="32" operator="between">
      <formula>0.1</formula>
      <formula>5.999</formula>
    </cfRule>
    <cfRule type="cellIs" dxfId="26" priority="33" stopIfTrue="1" operator="greaterThan">
      <formula>5.9999999999</formula>
    </cfRule>
    <cfRule type="cellIs" dxfId="35" priority="34" operator="between">
      <formula>0.1</formula>
      <formula>5.999</formula>
    </cfRule>
    <cfRule type="cellIs" dxfId="34" priority="35" operator="equal">
      <formula>"No"</formula>
    </cfRule>
    <cfRule type="cellIs" dxfId="33" priority="36" stopIfTrue="1" operator="greaterThan">
      <formula>5.9999999999</formula>
    </cfRule>
    <cfRule type="cellIs" dxfId="32" priority="37" operator="between">
      <formula>0.1</formula>
      <formula>5.999</formula>
    </cfRule>
    <cfRule type="cellIs" dxfId="31" priority="38" operator="equal">
      <formula>"No"</formula>
    </cfRule>
  </conditionalFormatting>
  <conditionalFormatting sqref="Q24:R24">
    <cfRule type="cellIs" dxfId="25" priority="72" operator="equal">
      <formula>"No"</formula>
    </cfRule>
    <cfRule type="cellIs" dxfId="24" priority="73" stopIfTrue="1" operator="greaterThan">
      <formula>5.9999999999</formula>
    </cfRule>
    <cfRule type="cellIs" dxfId="20" priority="74" operator="between">
      <formula>0.1</formula>
      <formula>5.999</formula>
    </cfRule>
    <cfRule type="cellIs" dxfId="19" priority="75" operator="equal">
      <formula>"No"</formula>
    </cfRule>
    <cfRule type="cellIs" dxfId="17" priority="76" stopIfTrue="1" operator="greaterThan">
      <formula>5.9999999999</formula>
    </cfRule>
    <cfRule type="cellIs" dxfId="16" priority="77" operator="between">
      <formula>0.1</formula>
      <formula>5.999</formula>
    </cfRule>
    <cfRule type="cellIs" dxfId="23" priority="80" operator="equal">
      <formula>"No"</formula>
    </cfRule>
    <cfRule type="cellIs" dxfId="22" priority="90" stopIfTrue="1" operator="greaterThan">
      <formula>5.9999999999</formula>
    </cfRule>
    <cfRule type="cellIs" dxfId="21" priority="91" operator="between">
      <formula>0.1</formula>
      <formula>5.999</formula>
    </cfRule>
    <cfRule type="cellIs" dxfId="18" priority="94" operator="equal">
      <formula>"No"</formula>
    </cfRule>
  </conditionalFormatting>
  <conditionalFormatting sqref="Q28:R42">
    <cfRule type="cellIs" dxfId="14" priority="58" stopIfTrue="1" operator="greaterThan">
      <formula>5.9999999999</formula>
    </cfRule>
    <cfRule type="cellIs" dxfId="15" priority="59" operator="between">
      <formula>0.1</formula>
      <formula>5.999</formula>
    </cfRule>
  </conditionalFormatting>
  <conditionalFormatting sqref="Q14:S14">
    <cfRule type="cellIs" dxfId="13" priority="85" operator="equal">
      <formula>"No"</formula>
    </cfRule>
  </conditionalFormatting>
  <conditionalFormatting sqref="Q10:U10">
    <cfRule type="cellIs" dxfId="12" priority="52" operator="equal">
      <formula>"No"</formula>
    </cfRule>
  </conditionalFormatting>
  <conditionalFormatting sqref="S12">
    <cfRule type="cellIs" dxfId="11" priority="55" operator="equal">
      <formula>"Yes"</formula>
    </cfRule>
    <cfRule type="cellIs" dxfId="10" priority="56" operator="equal">
      <formula>"No"</formula>
    </cfRule>
  </conditionalFormatting>
  <conditionalFormatting sqref="S14">
    <cfRule type="cellIs" dxfId="9" priority="86" operator="equal">
      <formula>"Yes"</formula>
    </cfRule>
  </conditionalFormatting>
  <conditionalFormatting sqref="S16">
    <cfRule type="cellIs" dxfId="8" priority="3" operator="equal">
      <formula>"No"</formula>
    </cfRule>
    <cfRule type="cellIs" dxfId="7" priority="4" operator="equal">
      <formula>"Yes"</formula>
    </cfRule>
  </conditionalFormatting>
  <conditionalFormatting sqref="S22">
    <cfRule type="cellIs" dxfId="6" priority="53" operator="equal">
      <formula>"Yes"</formula>
    </cfRule>
    <cfRule type="cellIs" dxfId="5" priority="54" operator="equal">
      <formula>"No"</formula>
    </cfRule>
  </conditionalFormatting>
  <conditionalFormatting sqref="S10:U10">
    <cfRule type="cellIs" dxfId="4" priority="51" operator="equal">
      <formula>"Yes"</formula>
    </cfRule>
  </conditionalFormatting>
  <conditionalFormatting sqref="T9:U9">
    <cfRule type="cellIs" dxfId="2" priority="24" operator="equal">
      <formula>"Yes"</formula>
    </cfRule>
    <cfRule type="cellIs" dxfId="3" priority="25" operator="equal">
      <formula>"No"</formula>
    </cfRule>
  </conditionalFormatting>
  <conditionalFormatting sqref="T11:U42">
    <cfRule type="cellIs" dxfId="1" priority="1" operator="equal">
      <formula>"Yes"</formula>
    </cfRule>
    <cfRule type="cellIs" dxfId="0" priority="2" operator="equal">
      <formula>"No"</formula>
    </cfRule>
  </conditionalFormatting>
  <dataValidations count="1">
    <dataValidation type="list" allowBlank="1" showInputMessage="1" showErrorMessage="1" sqref="T30:U31 J9:K42 T9:U28 N9:O42">
      <formula1>"Yes,No"</formula1>
    </dataValidation>
  </dataValidation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J49"/>
  <sheetViews>
    <sheetView topLeftCell="A16" workbookViewId="0"/>
  </sheetViews>
  <sheetFormatPr defaultRowHeight="14.4"/>
  <cols>
    <col min="1" max="1" width="18.109375" customWidth="1"/>
    <col min="2" max="2" width="21.33203125" customWidth="1"/>
    <col min="3" max="3" width="11.88671875" bestFit="1" customWidth="1"/>
    <col min="4" max="4" width="11" customWidth="1"/>
    <col min="5" max="5" width="20" customWidth="1"/>
    <col min="6" max="6" width="17.6640625" customWidth="1"/>
    <col min="7" max="8" width="19.44140625" customWidth="1"/>
    <col min="9" max="9" width="10.6640625" bestFit="1" customWidth="1"/>
  </cols>
  <sheetData>
    <row r="1" spans="1:8" ht="21">
      <c r="A1" s="32"/>
      <c r="B1" s="173" t="s">
        <v>41</v>
      </c>
      <c r="C1" s="173"/>
      <c r="D1" s="173"/>
      <c r="E1" s="173"/>
      <c r="F1" s="173"/>
      <c r="G1" s="173"/>
      <c r="H1" s="32"/>
    </row>
    <row r="2" spans="1:8" ht="21">
      <c r="A2" s="32"/>
      <c r="B2" s="33" t="s">
        <v>42</v>
      </c>
      <c r="C2" s="174" t="s">
        <v>221</v>
      </c>
      <c r="D2" s="174"/>
      <c r="E2" s="32"/>
      <c r="F2" s="88"/>
      <c r="G2" s="32"/>
      <c r="H2" s="32"/>
    </row>
    <row r="3" spans="1:8" ht="21">
      <c r="A3" s="32"/>
      <c r="B3" s="32"/>
      <c r="C3" s="32"/>
      <c r="D3" s="32"/>
      <c r="E3" s="32"/>
      <c r="F3" s="32"/>
      <c r="G3" s="32"/>
      <c r="H3" s="32"/>
    </row>
    <row r="4" spans="1:8" ht="21.6" thickBot="1">
      <c r="A4" s="32"/>
      <c r="B4" s="34">
        <v>45996</v>
      </c>
      <c r="C4" s="34">
        <v>45997</v>
      </c>
      <c r="D4" s="34">
        <v>45998</v>
      </c>
      <c r="E4" s="34">
        <v>45999</v>
      </c>
      <c r="F4" s="34">
        <v>46000</v>
      </c>
      <c r="G4" s="34">
        <v>46001</v>
      </c>
      <c r="H4" s="34">
        <v>46002</v>
      </c>
    </row>
    <row r="5" spans="1:8" ht="42.75" customHeight="1" thickBot="1">
      <c r="A5" s="35" t="s">
        <v>43</v>
      </c>
      <c r="B5" s="36" t="s">
        <v>48</v>
      </c>
      <c r="C5" s="36" t="s">
        <v>49</v>
      </c>
      <c r="D5" s="36" t="s">
        <v>50</v>
      </c>
      <c r="E5" s="36" t="s">
        <v>44</v>
      </c>
      <c r="F5" s="36" t="s">
        <v>45</v>
      </c>
      <c r="G5" s="36" t="s">
        <v>46</v>
      </c>
      <c r="H5" s="36" t="s">
        <v>47</v>
      </c>
    </row>
    <row r="6" spans="1:8" ht="21">
      <c r="A6" s="175" t="s">
        <v>25</v>
      </c>
      <c r="B6" s="91"/>
      <c r="C6" s="72"/>
      <c r="D6" s="72"/>
      <c r="E6" s="54"/>
      <c r="F6" s="54"/>
      <c r="G6" s="54"/>
      <c r="H6" s="54"/>
    </row>
    <row r="7" spans="1:8" ht="19.95" customHeight="1" thickBot="1">
      <c r="A7" s="176"/>
      <c r="B7" s="92"/>
      <c r="C7" s="73"/>
      <c r="D7" s="73"/>
      <c r="E7" s="38"/>
      <c r="F7" s="38"/>
      <c r="G7" s="38"/>
      <c r="H7" s="38"/>
    </row>
    <row r="8" spans="1:8" ht="18" customHeight="1">
      <c r="A8" s="168" t="s">
        <v>26</v>
      </c>
      <c r="B8" s="93"/>
      <c r="C8" s="74"/>
      <c r="D8" s="74"/>
      <c r="E8" s="84"/>
      <c r="F8" s="84"/>
      <c r="G8" s="84"/>
      <c r="H8" s="84"/>
    </row>
    <row r="9" spans="1:8" ht="19.2" customHeight="1" thickBot="1">
      <c r="A9" s="169"/>
      <c r="B9" s="94"/>
      <c r="C9" s="75"/>
      <c r="D9" s="75"/>
      <c r="E9" s="38"/>
      <c r="F9" s="38"/>
      <c r="G9" s="38"/>
      <c r="H9" s="38"/>
    </row>
    <row r="10" spans="1:8" ht="21">
      <c r="A10" s="175" t="s">
        <v>23</v>
      </c>
      <c r="B10" s="93"/>
      <c r="C10" s="74"/>
      <c r="D10" s="76"/>
      <c r="E10" s="84"/>
      <c r="F10" s="53"/>
      <c r="G10" s="53"/>
      <c r="H10" s="53"/>
    </row>
    <row r="11" spans="1:8" ht="21.6" thickBot="1">
      <c r="A11" s="176"/>
      <c r="B11" s="92"/>
      <c r="C11" s="73"/>
      <c r="D11" s="73"/>
      <c r="E11" s="38"/>
      <c r="F11" s="38"/>
      <c r="G11" s="38"/>
      <c r="H11" s="38"/>
    </row>
    <row r="12" spans="1:8" ht="21">
      <c r="A12" s="171" t="s">
        <v>24</v>
      </c>
      <c r="B12" s="93"/>
      <c r="C12" s="74"/>
      <c r="D12" s="74"/>
      <c r="E12" s="57"/>
      <c r="F12" s="57"/>
      <c r="G12" s="57"/>
      <c r="H12" s="57"/>
    </row>
    <row r="13" spans="1:8" ht="21.6" thickBot="1">
      <c r="A13" s="172"/>
      <c r="B13" s="94"/>
      <c r="C13" s="75"/>
      <c r="D13" s="75"/>
      <c r="E13" s="55"/>
      <c r="F13" s="55"/>
      <c r="G13" s="55"/>
      <c r="H13" s="55"/>
    </row>
    <row r="14" spans="1:8" ht="21.6" hidden="1" customHeight="1" thickBot="1">
      <c r="A14" s="172"/>
      <c r="B14" s="93"/>
      <c r="C14" s="74"/>
      <c r="D14" s="76"/>
      <c r="E14" s="41"/>
      <c r="F14" s="41"/>
      <c r="G14" s="41"/>
      <c r="H14" s="41"/>
    </row>
    <row r="15" spans="1:8" ht="21.6" hidden="1" customHeight="1" thickBot="1">
      <c r="A15" s="172"/>
      <c r="B15" s="94"/>
      <c r="C15" s="75"/>
      <c r="D15" s="75"/>
      <c r="E15" s="41"/>
      <c r="F15" s="41"/>
      <c r="G15" s="41"/>
      <c r="H15" s="41"/>
    </row>
    <row r="16" spans="1:8" ht="21">
      <c r="A16" s="171" t="s">
        <v>27</v>
      </c>
      <c r="B16" s="96"/>
      <c r="C16" s="86"/>
      <c r="D16" s="74"/>
      <c r="E16" s="57"/>
      <c r="F16" s="57"/>
      <c r="G16" s="57"/>
      <c r="H16" s="57"/>
    </row>
    <row r="17" spans="1:10" ht="21.6" thickBot="1">
      <c r="A17" s="172"/>
      <c r="B17" s="97"/>
      <c r="C17" s="87"/>
      <c r="D17" s="75"/>
      <c r="E17" s="48"/>
      <c r="F17" s="48"/>
      <c r="G17" s="48"/>
      <c r="H17" s="48"/>
    </row>
    <row r="18" spans="1:10" ht="21">
      <c r="A18" s="168" t="s">
        <v>51</v>
      </c>
      <c r="B18" s="93"/>
      <c r="C18" s="74"/>
      <c r="D18" s="74"/>
      <c r="E18" s="84"/>
      <c r="F18" s="84"/>
      <c r="G18" s="84"/>
      <c r="H18" s="84"/>
    </row>
    <row r="19" spans="1:10" ht="21.6" thickBot="1">
      <c r="A19" s="169"/>
      <c r="B19" s="92"/>
      <c r="C19" s="73"/>
      <c r="D19" s="73"/>
      <c r="E19" s="85"/>
      <c r="F19" s="85"/>
      <c r="G19" s="85"/>
      <c r="H19" s="85"/>
    </row>
    <row r="20" spans="1:10" ht="21">
      <c r="A20" s="168" t="s">
        <v>52</v>
      </c>
      <c r="B20" s="93"/>
      <c r="C20" s="74"/>
      <c r="D20" s="74"/>
      <c r="E20" s="58"/>
      <c r="F20" s="58"/>
      <c r="G20" s="66"/>
      <c r="H20" s="46"/>
    </row>
    <row r="21" spans="1:10" ht="21">
      <c r="A21" s="169"/>
      <c r="B21" s="98"/>
      <c r="C21" s="78"/>
      <c r="D21" s="78"/>
      <c r="E21" s="59"/>
      <c r="F21" s="59"/>
      <c r="G21" s="47"/>
      <c r="H21" s="47"/>
    </row>
    <row r="22" spans="1:10" ht="21.6" thickBot="1">
      <c r="A22" s="169"/>
      <c r="B22" s="99"/>
      <c r="C22" s="79"/>
      <c r="D22" s="79"/>
      <c r="E22" s="60"/>
      <c r="F22" s="60"/>
      <c r="G22" s="45"/>
      <c r="H22" s="45"/>
    </row>
    <row r="23" spans="1:10" ht="21">
      <c r="A23" s="168" t="s">
        <v>61</v>
      </c>
      <c r="B23" s="93"/>
      <c r="C23" s="74"/>
      <c r="D23" s="74"/>
      <c r="E23" s="57"/>
      <c r="F23" s="57"/>
      <c r="G23" s="66"/>
      <c r="H23" s="37"/>
    </row>
    <row r="24" spans="1:10" ht="21">
      <c r="A24" s="169"/>
      <c r="B24" s="94"/>
      <c r="C24" s="75"/>
      <c r="D24" s="73"/>
      <c r="E24" s="55"/>
      <c r="F24" s="55"/>
      <c r="G24" s="39"/>
      <c r="H24" s="39"/>
    </row>
    <row r="25" spans="1:10" ht="21.6" thickBot="1">
      <c r="A25" s="170"/>
      <c r="B25" s="95"/>
      <c r="C25" s="77"/>
      <c r="D25" s="77"/>
      <c r="E25" s="56"/>
      <c r="F25" s="56"/>
      <c r="G25" s="42"/>
      <c r="H25" s="42"/>
    </row>
    <row r="26" spans="1:10" ht="21">
      <c r="A26" s="168" t="s">
        <v>53</v>
      </c>
      <c r="B26" s="91"/>
      <c r="C26" s="72"/>
      <c r="D26" s="72"/>
      <c r="E26" s="57"/>
      <c r="F26" s="57"/>
      <c r="G26" s="39"/>
      <c r="H26" s="39"/>
    </row>
    <row r="27" spans="1:10" ht="21">
      <c r="A27" s="169"/>
      <c r="B27" s="100"/>
      <c r="C27" s="80"/>
      <c r="D27" s="80"/>
      <c r="E27" s="55"/>
      <c r="F27" s="55"/>
      <c r="G27" s="43"/>
      <c r="H27" s="43"/>
      <c r="I27" t="s">
        <v>54</v>
      </c>
    </row>
    <row r="28" spans="1:10" ht="21">
      <c r="A28" s="169"/>
      <c r="B28" s="100"/>
      <c r="C28" s="80"/>
      <c r="D28" s="80"/>
      <c r="E28" s="54"/>
      <c r="F28" s="54"/>
      <c r="G28" s="43"/>
      <c r="H28" s="43"/>
      <c r="J28" t="s">
        <v>54</v>
      </c>
    </row>
    <row r="29" spans="1:10" ht="21">
      <c r="A29" s="169"/>
      <c r="B29" s="100"/>
      <c r="C29" s="80"/>
      <c r="D29" s="80"/>
      <c r="E29" s="55"/>
      <c r="F29" s="55"/>
      <c r="G29" s="43"/>
      <c r="H29" s="43"/>
    </row>
    <row r="30" spans="1:10" ht="21">
      <c r="A30" s="44"/>
      <c r="B30" s="49"/>
      <c r="C30" s="50"/>
      <c r="D30" s="50"/>
      <c r="E30" s="50"/>
      <c r="F30" s="50"/>
      <c r="G30" s="51"/>
      <c r="H30" s="51"/>
    </row>
    <row r="31" spans="1:10" ht="21">
      <c r="A31" s="44"/>
      <c r="B31" s="49"/>
      <c r="C31" s="50"/>
      <c r="D31" s="50"/>
      <c r="E31" s="50"/>
      <c r="F31" s="50"/>
      <c r="G31" s="51"/>
      <c r="H31" s="51"/>
    </row>
    <row r="32" spans="1:10" ht="21">
      <c r="A32" s="32"/>
      <c r="B32" s="32"/>
      <c r="C32" s="32"/>
      <c r="D32" s="32"/>
      <c r="E32" s="32"/>
      <c r="F32" s="32"/>
      <c r="G32" s="32"/>
      <c r="H32" s="32"/>
    </row>
    <row r="33" spans="1:8" ht="21.6" thickBot="1">
      <c r="A33" s="32" t="s">
        <v>55</v>
      </c>
      <c r="B33" s="40"/>
      <c r="C33" s="40"/>
      <c r="D33" s="32"/>
      <c r="E33" s="32" t="s">
        <v>56</v>
      </c>
      <c r="F33" s="40"/>
      <c r="G33" s="40"/>
      <c r="H33" s="32"/>
    </row>
    <row r="34" spans="1:8" ht="21">
      <c r="A34" s="32"/>
      <c r="B34" s="32"/>
      <c r="C34" s="32"/>
      <c r="D34" s="32"/>
      <c r="E34" s="32"/>
      <c r="F34" s="32"/>
      <c r="G34" s="32"/>
      <c r="H34" s="32"/>
    </row>
    <row r="35" spans="1:8" ht="21">
      <c r="A35" s="32"/>
      <c r="B35" s="32"/>
      <c r="C35" s="32"/>
      <c r="D35" s="32"/>
      <c r="E35" s="32"/>
      <c r="F35" s="32"/>
      <c r="G35" s="32"/>
      <c r="H35" s="32"/>
    </row>
    <row r="36" spans="1:8" ht="21.6" thickBot="1">
      <c r="A36" s="32" t="s">
        <v>57</v>
      </c>
      <c r="B36" s="40"/>
      <c r="C36" s="40"/>
      <c r="D36" s="32"/>
      <c r="E36" s="32" t="s">
        <v>58</v>
      </c>
      <c r="F36" s="40"/>
      <c r="G36" s="40"/>
      <c r="H36" s="32"/>
    </row>
    <row r="37" spans="1:8" ht="21">
      <c r="A37" s="32"/>
      <c r="B37" s="32"/>
      <c r="C37" s="32"/>
      <c r="D37" s="32"/>
      <c r="E37" s="32"/>
      <c r="F37" s="32"/>
      <c r="G37" s="32"/>
      <c r="H37" s="32"/>
    </row>
    <row r="38" spans="1:8" ht="21">
      <c r="A38" s="32"/>
      <c r="B38" s="32"/>
      <c r="C38" s="32"/>
      <c r="D38" s="32"/>
      <c r="E38" s="32"/>
      <c r="F38" s="32"/>
      <c r="G38" s="32"/>
      <c r="H38" s="32"/>
    </row>
    <row r="39" spans="1:8" ht="21.6" thickBot="1">
      <c r="A39" s="32" t="s">
        <v>59</v>
      </c>
      <c r="B39" s="40"/>
      <c r="C39" s="40"/>
      <c r="D39" s="32"/>
      <c r="E39" s="32" t="s">
        <v>60</v>
      </c>
      <c r="F39" s="40"/>
      <c r="G39" s="40"/>
      <c r="H39" s="32"/>
    </row>
    <row r="40" spans="1:8" ht="21">
      <c r="A40" s="32"/>
      <c r="B40" s="32"/>
      <c r="C40" s="32"/>
      <c r="D40" s="32"/>
      <c r="E40" s="32"/>
      <c r="F40" s="32"/>
      <c r="G40" s="32"/>
      <c r="H40" s="32"/>
    </row>
    <row r="41" spans="1:8" ht="15.6">
      <c r="A41" s="31"/>
      <c r="B41" s="52"/>
      <c r="C41" s="52"/>
      <c r="D41" s="52"/>
      <c r="E41" s="31"/>
      <c r="F41" s="31"/>
      <c r="G41" s="31"/>
      <c r="H41" s="31"/>
    </row>
    <row r="42" spans="1:8" ht="15.6">
      <c r="A42" s="31"/>
      <c r="B42" s="52"/>
      <c r="C42" s="52"/>
      <c r="D42" s="52"/>
      <c r="E42" s="31"/>
      <c r="F42" s="31"/>
      <c r="G42" s="31"/>
      <c r="H42" s="31"/>
    </row>
    <row r="43" spans="1:8" ht="15.6">
      <c r="A43" s="31"/>
      <c r="B43" s="52"/>
      <c r="C43" s="52"/>
      <c r="D43" s="52"/>
      <c r="E43" s="31"/>
      <c r="F43" s="31"/>
      <c r="G43" s="31"/>
      <c r="H43" s="31"/>
    </row>
    <row r="44" spans="1:8" ht="15.6">
      <c r="A44" s="31"/>
      <c r="B44" s="52"/>
      <c r="C44" s="52"/>
      <c r="D44" s="52"/>
      <c r="E44" s="31"/>
      <c r="F44" s="31"/>
      <c r="G44" s="31"/>
      <c r="H44" s="31"/>
    </row>
    <row r="45" spans="1:8" ht="15.6">
      <c r="A45" s="31"/>
      <c r="B45" s="52"/>
      <c r="C45" s="52"/>
      <c r="D45" s="52"/>
      <c r="E45" s="31"/>
      <c r="F45" s="31"/>
      <c r="G45" s="31"/>
      <c r="H45" s="31"/>
    </row>
    <row r="46" spans="1:8" ht="15.6">
      <c r="A46" s="31"/>
      <c r="B46" s="52"/>
      <c r="C46" s="52"/>
      <c r="D46" s="52"/>
      <c r="E46" s="31"/>
      <c r="F46" s="31"/>
      <c r="G46" s="31"/>
      <c r="H46" s="31"/>
    </row>
    <row r="47" spans="1:8" ht="15.6">
      <c r="A47" s="31"/>
      <c r="B47" s="52"/>
      <c r="C47" s="52"/>
      <c r="D47" s="52"/>
      <c r="E47" s="31"/>
      <c r="F47" s="31"/>
      <c r="G47" s="31"/>
      <c r="H47" s="31"/>
    </row>
    <row r="48" spans="1:8" ht="15.6">
      <c r="A48" s="31"/>
      <c r="B48" s="52"/>
      <c r="C48" s="52"/>
      <c r="D48" s="52"/>
      <c r="E48" s="31"/>
      <c r="F48" s="31"/>
      <c r="G48" s="31"/>
      <c r="H48" s="31"/>
    </row>
    <row r="49" spans="1:8" ht="15.6">
      <c r="A49" s="31"/>
      <c r="B49" s="52"/>
      <c r="C49" s="52"/>
      <c r="D49" s="52"/>
      <c r="E49" s="31"/>
      <c r="F49" s="31"/>
      <c r="G49" s="31"/>
      <c r="H49" s="31"/>
    </row>
  </sheetData>
  <mergeCells count="11">
    <mergeCell ref="B1:G1"/>
    <mergeCell ref="C2:D2"/>
    <mergeCell ref="A6:A7"/>
    <mergeCell ref="A8:A9"/>
    <mergeCell ref="A10:A11"/>
    <mergeCell ref="A23:A25"/>
    <mergeCell ref="A26:A29"/>
    <mergeCell ref="A12:A15"/>
    <mergeCell ref="A16:A17"/>
    <mergeCell ref="A18:A19"/>
    <mergeCell ref="A20:A22"/>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B3:B96"/>
  <sheetViews>
    <sheetView workbookViewId="0">
      <selection activeCell="C11" sqref="C11"/>
    </sheetView>
  </sheetViews>
  <sheetFormatPr defaultRowHeight="14.4"/>
  <cols>
    <col min="1" max="16384" width="8.88671875" style="90"/>
  </cols>
  <sheetData>
    <row r="3" spans="2:2">
      <c r="B3" s="90" t="s">
        <v>222</v>
      </c>
    </row>
    <row r="12" spans="2:2" ht="21" customHeight="1"/>
    <row r="96" ht="50.25" customHeight="1"/>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BO113"/>
  <sheetViews>
    <sheetView workbookViewId="0">
      <selection sqref="A1:XFD1048576"/>
    </sheetView>
  </sheetViews>
  <sheetFormatPr defaultRowHeight="14.4"/>
  <cols>
    <col min="1" max="1" width="5" style="109" bestFit="1" customWidth="1"/>
    <col min="2" max="2" width="21.5546875" style="109" customWidth="1"/>
    <col min="3" max="3" width="44.109375" style="109" bestFit="1" customWidth="1"/>
    <col min="4" max="4" width="9" style="109" bestFit="1" customWidth="1"/>
    <col min="5" max="5" width="124.5546875" style="303" customWidth="1"/>
    <col min="6" max="6" width="18" style="109" customWidth="1"/>
    <col min="7" max="7" width="50.109375" style="109" customWidth="1"/>
    <col min="8" max="8" width="30.6640625" style="109" customWidth="1"/>
    <col min="9" max="9" width="33.44140625" style="109" customWidth="1"/>
    <col min="10" max="10" width="12.5546875" style="109" customWidth="1"/>
    <col min="11" max="11" width="10.6640625" style="109" bestFit="1" customWidth="1"/>
    <col min="12" max="12" width="22.33203125" style="109" customWidth="1"/>
    <col min="13" max="16384" width="8.88671875" style="109"/>
  </cols>
  <sheetData>
    <row r="1" spans="1:67" ht="46.8" thickBot="1">
      <c r="A1" s="455"/>
      <c r="B1" s="456"/>
      <c r="C1" s="457" t="s">
        <v>223</v>
      </c>
      <c r="D1" s="456"/>
      <c r="E1" s="458"/>
      <c r="F1" s="459"/>
      <c r="G1" s="460"/>
      <c r="H1" s="456"/>
      <c r="I1" s="461"/>
      <c r="J1" s="461"/>
      <c r="K1" s="461"/>
      <c r="L1" s="461"/>
      <c r="M1" s="456"/>
      <c r="N1" s="456"/>
      <c r="O1" s="456"/>
    </row>
    <row r="2" spans="1:67" ht="15" thickBot="1">
      <c r="A2" s="462" t="s">
        <v>224</v>
      </c>
      <c r="B2" s="463" t="s">
        <v>225</v>
      </c>
      <c r="C2" s="463" t="s">
        <v>226</v>
      </c>
      <c r="D2" s="463" t="s">
        <v>227</v>
      </c>
      <c r="E2" s="464" t="s">
        <v>228</v>
      </c>
      <c r="F2" s="463" t="s">
        <v>229</v>
      </c>
      <c r="G2" s="465" t="s">
        <v>230</v>
      </c>
      <c r="H2" s="466"/>
      <c r="I2" s="467" t="s">
        <v>231</v>
      </c>
      <c r="J2" s="468" t="s">
        <v>232</v>
      </c>
      <c r="K2" s="468" t="s">
        <v>228</v>
      </c>
      <c r="L2" s="469" t="s">
        <v>233</v>
      </c>
      <c r="M2" s="456"/>
      <c r="N2" s="456"/>
      <c r="O2" s="456"/>
    </row>
    <row r="3" spans="1:67" ht="21" customHeight="1" thickBot="1">
      <c r="A3" s="470"/>
      <c r="B3" s="471" t="s">
        <v>234</v>
      </c>
      <c r="C3" s="472"/>
      <c r="D3" s="472"/>
      <c r="E3" s="473"/>
      <c r="F3" s="474"/>
      <c r="G3" s="475"/>
      <c r="H3" s="476"/>
      <c r="I3" s="477" t="s">
        <v>235</v>
      </c>
      <c r="J3" s="478">
        <v>11</v>
      </c>
      <c r="K3" s="478">
        <v>3</v>
      </c>
      <c r="L3" s="479">
        <f>((J3-K3)/J3)</f>
        <v>0.72727272727272729</v>
      </c>
      <c r="M3" s="456"/>
      <c r="N3" s="456"/>
      <c r="O3" s="456"/>
    </row>
    <row r="4" spans="1:67" s="101" customFormat="1">
      <c r="A4" s="480">
        <v>2</v>
      </c>
      <c r="B4" s="481" t="s">
        <v>236</v>
      </c>
      <c r="C4" s="482" t="s">
        <v>237</v>
      </c>
      <c r="D4" s="483" t="s">
        <v>238</v>
      </c>
      <c r="E4" s="484"/>
      <c r="F4" s="485" t="s">
        <v>239</v>
      </c>
      <c r="G4" s="475"/>
      <c r="H4" s="486"/>
      <c r="I4" s="487" t="s">
        <v>240</v>
      </c>
      <c r="J4" s="488">
        <v>4</v>
      </c>
      <c r="K4" s="488">
        <v>1</v>
      </c>
      <c r="L4" s="489">
        <f t="shared" ref="L4:L14" si="0">((J4-K4)/J4)</f>
        <v>0.75</v>
      </c>
      <c r="M4" s="456"/>
      <c r="N4" s="456"/>
      <c r="O4" s="456"/>
      <c r="P4" s="109"/>
      <c r="Q4" s="109"/>
      <c r="R4" s="109"/>
      <c r="S4" s="109"/>
      <c r="T4" s="109"/>
      <c r="U4" s="109"/>
      <c r="V4" s="109"/>
      <c r="W4" s="109"/>
      <c r="X4" s="128"/>
      <c r="Y4" s="128"/>
      <c r="Z4" s="128"/>
      <c r="AA4" s="128"/>
      <c r="AB4" s="128"/>
      <c r="AC4" s="128"/>
      <c r="AD4" s="128"/>
      <c r="AE4" s="128"/>
      <c r="AF4" s="128"/>
      <c r="AG4" s="128"/>
      <c r="AH4" s="128"/>
      <c r="AI4" s="128"/>
      <c r="AJ4" s="128"/>
      <c r="AK4" s="128"/>
      <c r="AL4" s="128"/>
      <c r="AM4" s="128"/>
      <c r="AN4" s="128"/>
      <c r="AO4" s="128"/>
      <c r="AP4" s="128"/>
      <c r="AQ4" s="128"/>
      <c r="AR4" s="128"/>
      <c r="AS4" s="128"/>
      <c r="AT4" s="128"/>
      <c r="AU4" s="128"/>
      <c r="AV4" s="128"/>
      <c r="AW4" s="128"/>
      <c r="AX4" s="128"/>
      <c r="AY4" s="128"/>
      <c r="AZ4" s="128"/>
      <c r="BA4" s="128"/>
      <c r="BB4" s="128"/>
      <c r="BC4" s="128"/>
      <c r="BD4" s="128"/>
      <c r="BE4" s="128"/>
      <c r="BF4" s="128"/>
      <c r="BG4" s="128"/>
      <c r="BH4" s="128"/>
      <c r="BI4" s="128"/>
      <c r="BJ4" s="128"/>
      <c r="BK4" s="128"/>
      <c r="BL4" s="128"/>
      <c r="BM4" s="128"/>
      <c r="BN4" s="128"/>
      <c r="BO4" s="128"/>
    </row>
    <row r="5" spans="1:67" s="101" customFormat="1" ht="19.5" customHeight="1">
      <c r="A5" s="480">
        <v>3</v>
      </c>
      <c r="B5" s="490" t="s">
        <v>236</v>
      </c>
      <c r="C5" s="491" t="s">
        <v>237</v>
      </c>
      <c r="D5" s="492" t="s">
        <v>241</v>
      </c>
      <c r="E5" s="484"/>
      <c r="F5" s="485" t="s">
        <v>239</v>
      </c>
      <c r="G5" s="475"/>
      <c r="H5" s="476"/>
      <c r="I5" s="493" t="s">
        <v>237</v>
      </c>
      <c r="J5" s="488">
        <v>6</v>
      </c>
      <c r="K5" s="488">
        <v>2</v>
      </c>
      <c r="L5" s="489">
        <f t="shared" si="0"/>
        <v>0.66666666666666663</v>
      </c>
      <c r="M5" s="456"/>
      <c r="N5" s="456"/>
      <c r="O5" s="456"/>
      <c r="P5" s="109"/>
      <c r="Q5" s="109"/>
      <c r="R5" s="109"/>
      <c r="S5" s="109"/>
      <c r="T5" s="109"/>
      <c r="U5" s="109"/>
      <c r="V5" s="109"/>
      <c r="W5" s="109"/>
      <c r="X5" s="128"/>
      <c r="Y5" s="128"/>
      <c r="Z5" s="128"/>
      <c r="AA5" s="128"/>
      <c r="AB5" s="128"/>
      <c r="AC5" s="128"/>
      <c r="AD5" s="128"/>
      <c r="AE5" s="128"/>
      <c r="AF5" s="128"/>
      <c r="AG5" s="128"/>
      <c r="AH5" s="128"/>
      <c r="AI5" s="128"/>
      <c r="AJ5" s="128"/>
      <c r="AK5" s="128"/>
      <c r="AL5" s="128"/>
      <c r="AM5" s="128"/>
      <c r="AN5" s="128"/>
      <c r="AO5" s="128"/>
      <c r="AP5" s="128"/>
      <c r="AQ5" s="128"/>
      <c r="AR5" s="128"/>
      <c r="AS5" s="128"/>
      <c r="AT5" s="128"/>
      <c r="AU5" s="128"/>
      <c r="AV5" s="128"/>
      <c r="AW5" s="128"/>
      <c r="AX5" s="128"/>
      <c r="AY5" s="128"/>
      <c r="AZ5" s="128"/>
      <c r="BA5" s="128"/>
      <c r="BB5" s="128"/>
      <c r="BC5" s="128"/>
      <c r="BD5" s="128"/>
      <c r="BE5" s="128"/>
      <c r="BF5" s="128"/>
      <c r="BG5" s="128"/>
      <c r="BH5" s="128"/>
      <c r="BI5" s="128"/>
      <c r="BJ5" s="128"/>
      <c r="BK5" s="128"/>
      <c r="BL5" s="128"/>
      <c r="BM5" s="128"/>
      <c r="BN5" s="128"/>
      <c r="BO5" s="128"/>
    </row>
    <row r="6" spans="1:67" ht="20.25" customHeight="1">
      <c r="A6" s="494">
        <v>4</v>
      </c>
      <c r="B6" s="490" t="s">
        <v>242</v>
      </c>
      <c r="C6" s="495" t="s">
        <v>237</v>
      </c>
      <c r="D6" s="496" t="s">
        <v>243</v>
      </c>
      <c r="E6" s="484"/>
      <c r="F6" s="485" t="s">
        <v>239</v>
      </c>
      <c r="G6" s="475"/>
      <c r="H6" s="476"/>
      <c r="I6" s="497" t="s">
        <v>244</v>
      </c>
      <c r="J6" s="498">
        <v>1</v>
      </c>
      <c r="K6" s="498">
        <v>0</v>
      </c>
      <c r="L6" s="499">
        <f t="shared" si="0"/>
        <v>1</v>
      </c>
      <c r="M6" s="456"/>
      <c r="N6" s="456"/>
      <c r="O6" s="456"/>
    </row>
    <row r="7" spans="1:67" ht="55.5" customHeight="1">
      <c r="A7" s="494">
        <v>5</v>
      </c>
      <c r="B7" s="490" t="s">
        <v>236</v>
      </c>
      <c r="C7" s="495" t="s">
        <v>237</v>
      </c>
      <c r="D7" s="496" t="s">
        <v>245</v>
      </c>
      <c r="E7" s="500" t="s">
        <v>246</v>
      </c>
      <c r="F7" s="501" t="s">
        <v>247</v>
      </c>
      <c r="G7" s="475"/>
      <c r="H7" s="476"/>
      <c r="I7" s="502" t="s">
        <v>248</v>
      </c>
      <c r="J7" s="503">
        <v>3</v>
      </c>
      <c r="K7" s="503">
        <v>1</v>
      </c>
      <c r="L7" s="504">
        <f t="shared" si="0"/>
        <v>0.66666666666666663</v>
      </c>
      <c r="M7" s="456"/>
      <c r="N7" s="456"/>
      <c r="O7" s="456"/>
    </row>
    <row r="8" spans="1:67">
      <c r="A8" s="494">
        <v>6</v>
      </c>
      <c r="B8" s="490" t="s">
        <v>236</v>
      </c>
      <c r="C8" s="505" t="s">
        <v>249</v>
      </c>
      <c r="D8" s="496" t="s">
        <v>168</v>
      </c>
      <c r="E8" s="506"/>
      <c r="F8" s="485" t="s">
        <v>239</v>
      </c>
      <c r="G8" s="475"/>
      <c r="H8" s="476"/>
      <c r="I8" s="507" t="s">
        <v>250</v>
      </c>
      <c r="J8" s="508">
        <v>1</v>
      </c>
      <c r="K8" s="508">
        <v>0</v>
      </c>
      <c r="L8" s="509">
        <f t="shared" si="0"/>
        <v>1</v>
      </c>
      <c r="M8" s="456"/>
      <c r="N8" s="456"/>
      <c r="O8" s="456"/>
    </row>
    <row r="9" spans="1:67" ht="20.25" customHeight="1">
      <c r="A9" s="494">
        <v>7</v>
      </c>
      <c r="B9" s="510" t="s">
        <v>236</v>
      </c>
      <c r="C9" s="511" t="s">
        <v>237</v>
      </c>
      <c r="D9" s="512" t="s">
        <v>251</v>
      </c>
      <c r="E9" s="484"/>
      <c r="F9" s="485" t="s">
        <v>239</v>
      </c>
      <c r="G9" s="513"/>
      <c r="H9" s="476"/>
      <c r="I9" s="514" t="s">
        <v>252</v>
      </c>
      <c r="J9" s="515">
        <v>3</v>
      </c>
      <c r="K9" s="515">
        <v>1</v>
      </c>
      <c r="L9" s="516">
        <f t="shared" si="0"/>
        <v>0.66666666666666663</v>
      </c>
      <c r="M9" s="456"/>
      <c r="N9" s="456"/>
      <c r="O9" s="456"/>
    </row>
    <row r="10" spans="1:67" ht="56.25" customHeight="1" thickBot="1">
      <c r="A10" s="494">
        <v>8</v>
      </c>
      <c r="B10" s="517" t="s">
        <v>236</v>
      </c>
      <c r="C10" s="518" t="s">
        <v>237</v>
      </c>
      <c r="D10" s="519" t="s">
        <v>253</v>
      </c>
      <c r="E10" s="500" t="s">
        <v>254</v>
      </c>
      <c r="F10" s="501" t="s">
        <v>247</v>
      </c>
      <c r="G10" s="520"/>
      <c r="H10" s="476"/>
      <c r="I10" s="514" t="s">
        <v>255</v>
      </c>
      <c r="J10" s="515">
        <v>8</v>
      </c>
      <c r="K10" s="515">
        <v>0</v>
      </c>
      <c r="L10" s="516">
        <f t="shared" si="0"/>
        <v>1</v>
      </c>
      <c r="M10" s="456"/>
      <c r="N10" s="456"/>
      <c r="O10" s="456"/>
    </row>
    <row r="11" spans="1:67" ht="27" customHeight="1" thickBot="1">
      <c r="A11" s="494"/>
      <c r="B11" s="521" t="s">
        <v>256</v>
      </c>
      <c r="C11" s="522"/>
      <c r="D11" s="522"/>
      <c r="E11" s="523"/>
      <c r="F11" s="524"/>
      <c r="G11" s="525"/>
      <c r="H11" s="526"/>
      <c r="I11" s="527" t="s">
        <v>257</v>
      </c>
      <c r="J11" s="515">
        <v>1</v>
      </c>
      <c r="K11" s="515">
        <v>0</v>
      </c>
      <c r="L11" s="516">
        <f t="shared" si="0"/>
        <v>1</v>
      </c>
      <c r="M11" s="456"/>
      <c r="N11" s="456"/>
      <c r="O11" s="456"/>
    </row>
    <row r="12" spans="1:67" ht="19.5" customHeight="1">
      <c r="A12" s="494">
        <v>10</v>
      </c>
      <c r="B12" s="528" t="s">
        <v>258</v>
      </c>
      <c r="C12" s="529" t="s">
        <v>259</v>
      </c>
      <c r="D12" s="530" t="s">
        <v>260</v>
      </c>
      <c r="E12" s="531"/>
      <c r="F12" s="532" t="s">
        <v>261</v>
      </c>
      <c r="G12" s="475"/>
      <c r="H12" s="476"/>
      <c r="I12" s="502" t="s">
        <v>262</v>
      </c>
      <c r="J12" s="533">
        <v>2</v>
      </c>
      <c r="K12" s="533">
        <v>1</v>
      </c>
      <c r="L12" s="516">
        <f t="shared" si="0"/>
        <v>0.5</v>
      </c>
      <c r="M12" s="456"/>
      <c r="N12" s="456"/>
      <c r="O12" s="456"/>
    </row>
    <row r="13" spans="1:67" ht="18" customHeight="1">
      <c r="A13" s="494">
        <v>11</v>
      </c>
      <c r="B13" s="485" t="s">
        <v>263</v>
      </c>
      <c r="C13" s="534" t="s">
        <v>259</v>
      </c>
      <c r="D13" s="496" t="s">
        <v>264</v>
      </c>
      <c r="E13" s="500" t="s">
        <v>265</v>
      </c>
      <c r="F13" s="501" t="s">
        <v>247</v>
      </c>
      <c r="G13" s="475"/>
      <c r="H13" s="476"/>
      <c r="I13" s="514" t="s">
        <v>266</v>
      </c>
      <c r="J13" s="515">
        <v>36</v>
      </c>
      <c r="K13" s="515">
        <v>4</v>
      </c>
      <c r="L13" s="516">
        <f t="shared" si="0"/>
        <v>0.88888888888888884</v>
      </c>
      <c r="M13" s="456"/>
      <c r="N13" s="456"/>
      <c r="O13" s="456"/>
    </row>
    <row r="14" spans="1:67" ht="17.25" customHeight="1" thickBot="1">
      <c r="A14" s="494">
        <v>12</v>
      </c>
      <c r="B14" s="485" t="s">
        <v>267</v>
      </c>
      <c r="C14" s="535" t="s">
        <v>248</v>
      </c>
      <c r="D14" s="496" t="s">
        <v>268</v>
      </c>
      <c r="E14" s="531"/>
      <c r="F14" s="532" t="s">
        <v>261</v>
      </c>
      <c r="G14" s="536"/>
      <c r="H14" s="476"/>
      <c r="I14" s="502"/>
      <c r="J14" s="537">
        <f>SUM(J2:J13)</f>
        <v>76</v>
      </c>
      <c r="K14" s="538">
        <f>SUM(K2:K13)</f>
        <v>13</v>
      </c>
      <c r="L14" s="539">
        <f t="shared" si="0"/>
        <v>0.82894736842105265</v>
      </c>
      <c r="M14" s="456"/>
      <c r="N14" s="456"/>
      <c r="O14" s="456"/>
    </row>
    <row r="15" spans="1:67" ht="37.5" customHeight="1">
      <c r="A15" s="494">
        <v>13</v>
      </c>
      <c r="B15" s="485" t="s">
        <v>269</v>
      </c>
      <c r="C15" s="535" t="s">
        <v>248</v>
      </c>
      <c r="D15" s="496" t="s">
        <v>270</v>
      </c>
      <c r="E15" s="540" t="s">
        <v>271</v>
      </c>
      <c r="F15" s="501" t="s">
        <v>247</v>
      </c>
      <c r="G15" s="541"/>
      <c r="H15" s="542"/>
      <c r="I15" s="502"/>
      <c r="J15" s="503"/>
      <c r="K15" s="503"/>
      <c r="L15" s="504"/>
      <c r="M15" s="456"/>
      <c r="N15" s="456"/>
      <c r="O15" s="456"/>
    </row>
    <row r="16" spans="1:67" ht="15" thickBot="1">
      <c r="A16" s="494">
        <v>14</v>
      </c>
      <c r="B16" s="485" t="s">
        <v>272</v>
      </c>
      <c r="C16" s="535" t="s">
        <v>248</v>
      </c>
      <c r="D16" s="496" t="s">
        <v>273</v>
      </c>
      <c r="E16" s="543"/>
      <c r="F16" s="544" t="s">
        <v>261</v>
      </c>
      <c r="G16" s="545"/>
      <c r="H16" s="546"/>
      <c r="I16" s="547"/>
      <c r="J16" s="537"/>
      <c r="K16" s="538"/>
      <c r="L16" s="539"/>
      <c r="M16" s="456"/>
      <c r="N16" s="456"/>
      <c r="O16" s="456"/>
    </row>
    <row r="17" spans="1:15" ht="15" thickBot="1">
      <c r="A17" s="494">
        <v>15</v>
      </c>
      <c r="B17" s="548" t="s">
        <v>274</v>
      </c>
      <c r="C17" s="549" t="s">
        <v>250</v>
      </c>
      <c r="D17" s="550" t="s">
        <v>275</v>
      </c>
      <c r="E17" s="543"/>
      <c r="F17" s="544" t="s">
        <v>261</v>
      </c>
      <c r="G17" s="541"/>
      <c r="H17" s="546"/>
      <c r="I17" s="526"/>
      <c r="J17" s="551"/>
      <c r="K17" s="551"/>
      <c r="L17" s="552"/>
      <c r="M17" s="456"/>
      <c r="N17" s="456"/>
      <c r="O17" s="456"/>
    </row>
    <row r="18" spans="1:15" ht="21" customHeight="1" thickBot="1">
      <c r="A18" s="494"/>
      <c r="B18" s="521" t="s">
        <v>276</v>
      </c>
      <c r="C18" s="522"/>
      <c r="D18" s="522"/>
      <c r="E18" s="523"/>
      <c r="F18" s="553"/>
      <c r="G18" s="525"/>
      <c r="H18" s="526"/>
      <c r="I18" s="554"/>
      <c r="J18" s="555"/>
      <c r="K18" s="555"/>
      <c r="L18" s="556"/>
      <c r="M18" s="456"/>
      <c r="N18" s="456"/>
      <c r="O18" s="456"/>
    </row>
    <row r="19" spans="1:15" ht="0.75" customHeight="1">
      <c r="A19" s="520">
        <v>17</v>
      </c>
      <c r="B19" s="557"/>
      <c r="C19" s="558"/>
      <c r="D19" s="559" t="s">
        <v>277</v>
      </c>
      <c r="E19" s="560"/>
      <c r="F19" s="561"/>
      <c r="G19" s="525"/>
      <c r="H19" s="526"/>
      <c r="I19" s="551"/>
      <c r="J19" s="551"/>
      <c r="K19" s="551"/>
      <c r="L19" s="551"/>
      <c r="M19" s="456"/>
      <c r="N19" s="456"/>
      <c r="O19" s="456"/>
    </row>
    <row r="20" spans="1:15">
      <c r="A20" s="520">
        <v>18</v>
      </c>
      <c r="B20" s="562" t="s">
        <v>278</v>
      </c>
      <c r="C20" s="563" t="s">
        <v>235</v>
      </c>
      <c r="D20" s="564" t="s">
        <v>279</v>
      </c>
      <c r="E20" s="506"/>
      <c r="F20" s="485" t="s">
        <v>239</v>
      </c>
      <c r="G20" s="565"/>
      <c r="H20" s="546"/>
      <c r="I20" s="520"/>
      <c r="J20" s="520"/>
      <c r="K20" s="520"/>
      <c r="L20" s="520"/>
      <c r="M20" s="456"/>
      <c r="N20" s="456"/>
      <c r="O20" s="456"/>
    </row>
    <row r="21" spans="1:15" ht="24" customHeight="1">
      <c r="A21" s="520">
        <v>19</v>
      </c>
      <c r="B21" s="566" t="s">
        <v>258</v>
      </c>
      <c r="C21" s="567" t="s">
        <v>235</v>
      </c>
      <c r="D21" s="485" t="s">
        <v>280</v>
      </c>
      <c r="E21" s="500" t="s">
        <v>281</v>
      </c>
      <c r="F21" s="501" t="s">
        <v>247</v>
      </c>
      <c r="G21" s="568"/>
      <c r="H21" s="520"/>
      <c r="I21" s="569"/>
      <c r="J21" s="520"/>
      <c r="K21" s="520"/>
      <c r="L21" s="520"/>
      <c r="M21" s="456"/>
      <c r="N21" s="456"/>
      <c r="O21" s="456"/>
    </row>
    <row r="22" spans="1:15" ht="16.5" customHeight="1" thickBot="1">
      <c r="A22" s="520">
        <v>20</v>
      </c>
      <c r="B22" s="570" t="s">
        <v>282</v>
      </c>
      <c r="C22" s="563" t="s">
        <v>235</v>
      </c>
      <c r="D22" s="571" t="s">
        <v>283</v>
      </c>
      <c r="E22" s="506"/>
      <c r="F22" s="485" t="s">
        <v>239</v>
      </c>
      <c r="G22" s="565"/>
      <c r="H22" s="572"/>
      <c r="I22" s="572"/>
      <c r="J22" s="572"/>
      <c r="K22" s="572"/>
      <c r="L22" s="572"/>
      <c r="M22" s="456"/>
      <c r="N22" s="456"/>
      <c r="O22" s="456"/>
    </row>
    <row r="23" spans="1:15" ht="16.2" thickBot="1">
      <c r="A23" s="520">
        <v>21</v>
      </c>
      <c r="B23" s="562" t="s">
        <v>284</v>
      </c>
      <c r="C23" s="563" t="s">
        <v>235</v>
      </c>
      <c r="D23" s="496" t="s">
        <v>285</v>
      </c>
      <c r="E23" s="506"/>
      <c r="F23" s="485" t="s">
        <v>239</v>
      </c>
      <c r="G23" s="573"/>
      <c r="H23" s="574" t="s">
        <v>286</v>
      </c>
      <c r="I23" s="575"/>
      <c r="J23" s="575"/>
      <c r="K23" s="576"/>
      <c r="L23" s="577"/>
      <c r="M23" s="456"/>
      <c r="N23" s="456"/>
      <c r="O23" s="456"/>
    </row>
    <row r="24" spans="1:15" ht="15" customHeight="1">
      <c r="A24" s="520">
        <v>22</v>
      </c>
      <c r="B24" s="578" t="s">
        <v>287</v>
      </c>
      <c r="C24" s="579" t="s">
        <v>235</v>
      </c>
      <c r="D24" s="492" t="s">
        <v>288</v>
      </c>
      <c r="E24" s="506"/>
      <c r="F24" s="485" t="s">
        <v>239</v>
      </c>
      <c r="G24" s="580"/>
      <c r="H24" s="581" t="s">
        <v>289</v>
      </c>
      <c r="I24" s="582" t="s">
        <v>290</v>
      </c>
      <c r="J24" s="583"/>
      <c r="K24" s="584"/>
      <c r="L24" s="585"/>
      <c r="M24" s="456"/>
      <c r="N24" s="456"/>
      <c r="O24" s="456"/>
    </row>
    <row r="25" spans="1:15">
      <c r="A25" s="520">
        <v>23</v>
      </c>
      <c r="B25" s="570" t="s">
        <v>291</v>
      </c>
      <c r="C25" s="563" t="s">
        <v>235</v>
      </c>
      <c r="D25" s="496" t="s">
        <v>292</v>
      </c>
      <c r="E25" s="543"/>
      <c r="F25" s="544" t="s">
        <v>261</v>
      </c>
      <c r="G25" s="586"/>
      <c r="H25" s="587" t="s">
        <v>293</v>
      </c>
      <c r="I25" s="588" t="s">
        <v>290</v>
      </c>
      <c r="J25" s="589"/>
      <c r="K25" s="590"/>
      <c r="L25" s="591"/>
      <c r="M25" s="456"/>
      <c r="N25" s="456"/>
      <c r="O25" s="456"/>
    </row>
    <row r="26" spans="1:15" ht="34.5" customHeight="1">
      <c r="A26" s="592">
        <v>24</v>
      </c>
      <c r="B26" s="593" t="s">
        <v>284</v>
      </c>
      <c r="C26" s="563" t="s">
        <v>235</v>
      </c>
      <c r="D26" s="496" t="s">
        <v>294</v>
      </c>
      <c r="E26" s="540" t="s">
        <v>295</v>
      </c>
      <c r="F26" s="501" t="s">
        <v>247</v>
      </c>
      <c r="G26" s="594"/>
      <c r="H26" s="587" t="s">
        <v>296</v>
      </c>
      <c r="I26" s="595" t="s">
        <v>297</v>
      </c>
      <c r="J26" s="589">
        <v>2</v>
      </c>
      <c r="K26" s="596" t="s">
        <v>298</v>
      </c>
      <c r="L26" s="596"/>
      <c r="M26" s="456"/>
      <c r="N26" s="456"/>
      <c r="O26" s="456"/>
    </row>
    <row r="27" spans="1:15" ht="24.75" customHeight="1">
      <c r="A27" s="520">
        <v>25</v>
      </c>
      <c r="B27" s="593" t="s">
        <v>299</v>
      </c>
      <c r="C27" s="563" t="s">
        <v>235</v>
      </c>
      <c r="D27" s="597" t="s">
        <v>300</v>
      </c>
      <c r="E27" s="506"/>
      <c r="F27" s="485" t="s">
        <v>239</v>
      </c>
      <c r="G27" s="573"/>
      <c r="H27" s="587" t="s">
        <v>301</v>
      </c>
      <c r="I27" s="598" t="s">
        <v>302</v>
      </c>
      <c r="J27" s="589"/>
      <c r="K27" s="596" t="s">
        <v>303</v>
      </c>
      <c r="L27" s="596"/>
      <c r="M27" s="456"/>
      <c r="N27" s="456"/>
      <c r="O27" s="456"/>
    </row>
    <row r="28" spans="1:15" ht="22.5" customHeight="1">
      <c r="A28" s="592">
        <v>26</v>
      </c>
      <c r="B28" s="599" t="s">
        <v>304</v>
      </c>
      <c r="C28" s="563" t="s">
        <v>235</v>
      </c>
      <c r="D28" s="597" t="s">
        <v>305</v>
      </c>
      <c r="E28" s="506"/>
      <c r="F28" s="485" t="s">
        <v>239</v>
      </c>
      <c r="G28" s="600"/>
      <c r="H28" s="587" t="s">
        <v>306</v>
      </c>
      <c r="I28" s="601" t="s">
        <v>307</v>
      </c>
      <c r="J28" s="602"/>
      <c r="K28" s="603"/>
      <c r="L28" s="603"/>
      <c r="M28" s="456"/>
      <c r="N28" s="456"/>
      <c r="O28" s="456"/>
    </row>
    <row r="29" spans="1:15" ht="21" customHeight="1" thickBot="1">
      <c r="A29" s="604">
        <v>27</v>
      </c>
      <c r="B29" s="562" t="s">
        <v>272</v>
      </c>
      <c r="C29" s="605" t="s">
        <v>235</v>
      </c>
      <c r="D29" s="512" t="s">
        <v>308</v>
      </c>
      <c r="E29" s="506"/>
      <c r="F29" s="485" t="s">
        <v>239</v>
      </c>
      <c r="G29" s="600"/>
      <c r="H29" s="606" t="s">
        <v>309</v>
      </c>
      <c r="I29" s="607"/>
      <c r="J29" s="608"/>
      <c r="K29" s="609"/>
      <c r="L29" s="609"/>
      <c r="M29" s="456"/>
      <c r="N29" s="456"/>
      <c r="O29" s="456"/>
    </row>
    <row r="30" spans="1:15" ht="27.75" customHeight="1" thickBot="1">
      <c r="A30" s="520">
        <v>28</v>
      </c>
      <c r="B30" s="599" t="s">
        <v>304</v>
      </c>
      <c r="C30" s="563" t="s">
        <v>235</v>
      </c>
      <c r="D30" s="512" t="s">
        <v>310</v>
      </c>
      <c r="E30" s="610" t="s">
        <v>311</v>
      </c>
      <c r="F30" s="501" t="s">
        <v>247</v>
      </c>
      <c r="G30" s="611"/>
      <c r="H30" s="612"/>
      <c r="I30" s="613"/>
      <c r="J30" s="614"/>
      <c r="K30" s="615"/>
      <c r="L30" s="616"/>
      <c r="M30" s="456"/>
      <c r="N30" s="456"/>
      <c r="O30" s="456"/>
    </row>
    <row r="31" spans="1:15" ht="15.75" customHeight="1" thickBot="1">
      <c r="A31" s="592">
        <v>29</v>
      </c>
      <c r="B31" s="599"/>
      <c r="C31" s="563"/>
      <c r="D31" s="512"/>
      <c r="E31" s="617"/>
      <c r="F31" s="618"/>
      <c r="G31" s="618"/>
      <c r="H31" s="619"/>
      <c r="I31" s="620"/>
      <c r="J31" s="620"/>
      <c r="K31" s="620"/>
      <c r="L31" s="621"/>
      <c r="M31" s="456"/>
      <c r="N31" s="456"/>
      <c r="O31" s="456"/>
    </row>
    <row r="32" spans="1:15">
      <c r="A32" s="592">
        <v>30</v>
      </c>
      <c r="B32" s="599"/>
      <c r="C32" s="563"/>
      <c r="D32" s="512"/>
      <c r="E32" s="617"/>
      <c r="F32" s="618"/>
      <c r="G32" s="622"/>
      <c r="H32" s="623"/>
      <c r="I32" s="623"/>
      <c r="J32" s="624"/>
      <c r="K32" s="625"/>
      <c r="L32" s="626"/>
      <c r="M32" s="456"/>
      <c r="N32" s="456"/>
      <c r="O32" s="456"/>
    </row>
    <row r="33" spans="1:15">
      <c r="A33" s="520"/>
      <c r="B33" s="599"/>
      <c r="C33" s="563"/>
      <c r="D33" s="512"/>
      <c r="E33" s="617"/>
      <c r="F33" s="618"/>
      <c r="G33" s="627"/>
      <c r="H33" s="628"/>
      <c r="I33" s="628"/>
      <c r="J33" s="629"/>
      <c r="K33" s="630"/>
      <c r="L33" s="631"/>
      <c r="M33" s="456"/>
      <c r="N33" s="456"/>
      <c r="O33" s="456"/>
    </row>
    <row r="34" spans="1:15">
      <c r="A34" s="592">
        <v>32</v>
      </c>
      <c r="B34" s="599"/>
      <c r="C34" s="563"/>
      <c r="D34" s="512"/>
      <c r="E34" s="617"/>
      <c r="F34" s="618"/>
      <c r="G34" s="632"/>
      <c r="H34" s="628"/>
      <c r="I34" s="633"/>
      <c r="J34" s="634"/>
      <c r="K34" s="584"/>
      <c r="L34" s="635"/>
      <c r="M34" s="456"/>
      <c r="N34" s="456"/>
      <c r="O34" s="456"/>
    </row>
    <row r="35" spans="1:15">
      <c r="A35" s="520">
        <v>33</v>
      </c>
      <c r="B35" s="593"/>
      <c r="C35" s="563"/>
      <c r="D35" s="512"/>
      <c r="E35" s="506"/>
      <c r="F35" s="636"/>
      <c r="G35" s="637"/>
      <c r="H35" s="628"/>
      <c r="I35" s="638"/>
      <c r="J35" s="639"/>
      <c r="K35" s="630"/>
      <c r="L35" s="631"/>
      <c r="M35" s="456"/>
      <c r="N35" s="456"/>
      <c r="O35" s="456"/>
    </row>
    <row r="36" spans="1:15" ht="15.6">
      <c r="A36" s="592">
        <v>34</v>
      </c>
      <c r="B36" s="562"/>
      <c r="C36" s="563"/>
      <c r="D36" s="512"/>
      <c r="E36" s="506"/>
      <c r="F36" s="636"/>
      <c r="G36" s="637"/>
      <c r="H36" s="628"/>
      <c r="I36" s="633"/>
      <c r="J36" s="640"/>
      <c r="K36" s="641"/>
      <c r="L36" s="642"/>
      <c r="M36" s="456"/>
      <c r="N36" s="456"/>
      <c r="O36" s="456"/>
    </row>
    <row r="37" spans="1:15">
      <c r="A37" s="592">
        <v>35</v>
      </c>
      <c r="B37" s="562"/>
      <c r="C37" s="605"/>
      <c r="D37" s="512"/>
      <c r="E37" s="643"/>
      <c r="F37" s="636"/>
      <c r="G37" s="644"/>
      <c r="H37" s="628"/>
      <c r="I37" s="645"/>
      <c r="J37" s="646"/>
      <c r="K37" s="647"/>
      <c r="L37" s="648"/>
      <c r="M37" s="456"/>
      <c r="N37" s="456"/>
      <c r="O37" s="456"/>
    </row>
    <row r="38" spans="1:15" ht="15.6">
      <c r="A38" s="520">
        <v>36</v>
      </c>
      <c r="B38" s="562"/>
      <c r="C38" s="563"/>
      <c r="D38" s="512"/>
      <c r="E38" s="643"/>
      <c r="F38" s="649"/>
      <c r="G38" s="644"/>
      <c r="H38" s="628"/>
      <c r="I38" s="650"/>
      <c r="J38" s="651"/>
      <c r="K38" s="652"/>
      <c r="L38" s="653"/>
      <c r="M38" s="456"/>
      <c r="N38" s="456"/>
      <c r="O38" s="456"/>
    </row>
    <row r="39" spans="1:15" ht="16.2" thickBot="1">
      <c r="A39" s="592">
        <v>37</v>
      </c>
      <c r="B39" s="654"/>
      <c r="C39" s="655"/>
      <c r="D39" s="519"/>
      <c r="E39" s="656"/>
      <c r="F39" s="544"/>
      <c r="G39" s="632"/>
      <c r="H39" s="628"/>
      <c r="I39" s="638"/>
      <c r="J39" s="657"/>
      <c r="K39" s="658"/>
      <c r="L39" s="659"/>
      <c r="M39" s="456"/>
      <c r="N39" s="456"/>
      <c r="O39" s="456"/>
    </row>
    <row r="40" spans="1:15" ht="21" customHeight="1" thickBot="1">
      <c r="A40" s="494"/>
      <c r="B40" s="521" t="s">
        <v>312</v>
      </c>
      <c r="C40" s="522"/>
      <c r="D40" s="522"/>
      <c r="E40" s="523"/>
      <c r="F40" s="660"/>
      <c r="G40" s="632"/>
      <c r="H40" s="661" t="s">
        <v>313</v>
      </c>
      <c r="I40" s="662"/>
      <c r="J40" s="662"/>
      <c r="K40" s="662"/>
      <c r="L40" s="663"/>
      <c r="M40" s="456"/>
      <c r="N40" s="456"/>
      <c r="O40" s="456"/>
    </row>
    <row r="41" spans="1:15" ht="29.25" customHeight="1">
      <c r="A41" s="592">
        <v>39</v>
      </c>
      <c r="B41" s="664" t="s">
        <v>269</v>
      </c>
      <c r="C41" s="665" t="s">
        <v>252</v>
      </c>
      <c r="D41" s="666" t="s">
        <v>314</v>
      </c>
      <c r="E41" s="506"/>
      <c r="F41" s="485" t="s">
        <v>239</v>
      </c>
      <c r="G41" s="632"/>
      <c r="H41" s="667"/>
      <c r="I41" s="668"/>
      <c r="J41" s="668"/>
      <c r="K41" s="668"/>
      <c r="L41" s="669"/>
      <c r="M41" s="456"/>
      <c r="N41" s="456"/>
      <c r="O41" s="456"/>
    </row>
    <row r="42" spans="1:15" ht="26.25" customHeight="1">
      <c r="A42" s="520">
        <v>40</v>
      </c>
      <c r="B42" s="512" t="s">
        <v>282</v>
      </c>
      <c r="C42" s="670" t="s">
        <v>252</v>
      </c>
      <c r="D42" s="671" t="s">
        <v>315</v>
      </c>
      <c r="E42" s="500" t="s">
        <v>316</v>
      </c>
      <c r="F42" s="672" t="s">
        <v>247</v>
      </c>
      <c r="G42" s="673"/>
      <c r="H42" s="674"/>
      <c r="I42" s="675"/>
      <c r="J42" s="675"/>
      <c r="K42" s="675"/>
      <c r="L42" s="676"/>
      <c r="M42" s="456"/>
      <c r="N42" s="456"/>
      <c r="O42" s="456"/>
    </row>
    <row r="43" spans="1:15" ht="18.75" customHeight="1" thickBot="1">
      <c r="A43" s="677">
        <v>41</v>
      </c>
      <c r="B43" s="519" t="s">
        <v>317</v>
      </c>
      <c r="C43" s="678" t="s">
        <v>252</v>
      </c>
      <c r="D43" s="679" t="s">
        <v>318</v>
      </c>
      <c r="E43" s="506"/>
      <c r="F43" s="485" t="s">
        <v>239</v>
      </c>
      <c r="G43" s="680"/>
      <c r="H43" s="681"/>
      <c r="I43" s="682"/>
      <c r="J43" s="682"/>
      <c r="K43" s="682"/>
      <c r="L43" s="683"/>
      <c r="M43" s="456"/>
      <c r="N43" s="456"/>
      <c r="O43" s="456"/>
    </row>
    <row r="44" spans="1:15" ht="21.6" thickBot="1">
      <c r="A44" s="494">
        <v>42</v>
      </c>
      <c r="B44" s="684" t="s">
        <v>319</v>
      </c>
      <c r="C44" s="685"/>
      <c r="D44" s="685"/>
      <c r="E44" s="686"/>
      <c r="F44" s="687"/>
      <c r="G44" s="688"/>
      <c r="H44" s="689" t="s">
        <v>320</v>
      </c>
      <c r="I44" s="690"/>
      <c r="J44" s="690"/>
      <c r="K44" s="690"/>
      <c r="L44" s="691"/>
      <c r="M44" s="456"/>
      <c r="N44" s="456"/>
      <c r="O44" s="456"/>
    </row>
    <row r="45" spans="1:15" ht="24" customHeight="1">
      <c r="A45" s="520">
        <v>43</v>
      </c>
      <c r="B45" s="692" t="s">
        <v>321</v>
      </c>
      <c r="C45" s="693" t="s">
        <v>240</v>
      </c>
      <c r="D45" s="694" t="s">
        <v>322</v>
      </c>
      <c r="E45" s="695" t="s">
        <v>323</v>
      </c>
      <c r="F45" s="672" t="s">
        <v>247</v>
      </c>
      <c r="H45" s="667"/>
      <c r="I45" s="668"/>
      <c r="J45" s="668"/>
      <c r="K45" s="668"/>
      <c r="L45" s="669"/>
      <c r="M45" s="456"/>
      <c r="N45" s="456"/>
      <c r="O45" s="456"/>
    </row>
    <row r="46" spans="1:15">
      <c r="A46" s="592">
        <v>44</v>
      </c>
      <c r="B46" s="696" t="s">
        <v>324</v>
      </c>
      <c r="C46" s="505" t="s">
        <v>240</v>
      </c>
      <c r="D46" s="697" t="s">
        <v>325</v>
      </c>
      <c r="E46" s="506"/>
      <c r="F46" s="544" t="s">
        <v>326</v>
      </c>
      <c r="G46" s="456"/>
      <c r="H46" s="698"/>
      <c r="I46" s="699"/>
      <c r="J46" s="699"/>
      <c r="K46" s="699"/>
      <c r="L46" s="700"/>
      <c r="M46" s="456"/>
      <c r="N46" s="456"/>
      <c r="O46" s="456"/>
    </row>
    <row r="47" spans="1:15" ht="15" thickBot="1">
      <c r="A47" s="520">
        <v>45</v>
      </c>
      <c r="B47" s="701" t="s">
        <v>324</v>
      </c>
      <c r="C47" s="505" t="s">
        <v>240</v>
      </c>
      <c r="D47" s="697" t="s">
        <v>327</v>
      </c>
      <c r="E47" s="506"/>
      <c r="F47" s="544" t="s">
        <v>326</v>
      </c>
      <c r="G47" s="644"/>
      <c r="H47" s="702"/>
      <c r="I47" s="703"/>
      <c r="J47" s="703"/>
      <c r="K47" s="703"/>
      <c r="L47" s="704"/>
      <c r="M47" s="456"/>
      <c r="N47" s="456"/>
      <c r="O47" s="456"/>
    </row>
    <row r="48" spans="1:15" ht="15" thickBot="1">
      <c r="A48" s="520">
        <v>46</v>
      </c>
      <c r="B48" s="519" t="s">
        <v>321</v>
      </c>
      <c r="C48" s="705" t="s">
        <v>240</v>
      </c>
      <c r="D48" s="706" t="s">
        <v>169</v>
      </c>
      <c r="E48" s="506"/>
      <c r="F48" s="544" t="s">
        <v>326</v>
      </c>
      <c r="H48" s="707" t="s">
        <v>328</v>
      </c>
      <c r="I48" s="708"/>
      <c r="J48" s="708"/>
      <c r="K48" s="708"/>
      <c r="L48" s="709"/>
      <c r="M48" s="456"/>
      <c r="N48" s="456"/>
      <c r="O48" s="456"/>
    </row>
    <row r="49" spans="1:15" ht="15.75" customHeight="1" thickBot="1">
      <c r="A49" s="494"/>
      <c r="B49" s="684" t="s">
        <v>329</v>
      </c>
      <c r="C49" s="685"/>
      <c r="D49" s="685"/>
      <c r="E49" s="686"/>
      <c r="F49" s="660"/>
      <c r="G49" s="632"/>
      <c r="H49" s="702"/>
      <c r="I49" s="703"/>
      <c r="J49" s="703"/>
      <c r="K49" s="703"/>
      <c r="L49" s="704"/>
      <c r="M49" s="456"/>
      <c r="N49" s="456"/>
      <c r="O49" s="456"/>
    </row>
    <row r="50" spans="1:15">
      <c r="A50" s="520">
        <v>47</v>
      </c>
      <c r="B50" s="710" t="s">
        <v>330</v>
      </c>
      <c r="C50" s="711" t="s">
        <v>331</v>
      </c>
      <c r="D50" s="712" t="s">
        <v>332</v>
      </c>
      <c r="E50" s="484"/>
      <c r="F50" s="544" t="s">
        <v>326</v>
      </c>
      <c r="G50" s="627"/>
      <c r="H50" s="713"/>
      <c r="I50" s="714"/>
      <c r="J50" s="714"/>
      <c r="K50" s="714"/>
      <c r="L50" s="715"/>
      <c r="M50" s="456"/>
      <c r="N50" s="456"/>
      <c r="O50" s="456"/>
    </row>
    <row r="51" spans="1:15">
      <c r="A51" s="520">
        <v>48</v>
      </c>
      <c r="B51" s="716" t="s">
        <v>304</v>
      </c>
      <c r="C51" s="717" t="s">
        <v>333</v>
      </c>
      <c r="D51" s="716" t="s">
        <v>334</v>
      </c>
      <c r="E51" s="500" t="s">
        <v>335</v>
      </c>
      <c r="F51" s="672" t="s">
        <v>247</v>
      </c>
      <c r="G51" s="627"/>
      <c r="H51" s="713"/>
      <c r="I51" s="714"/>
      <c r="J51" s="714"/>
      <c r="K51" s="714"/>
      <c r="L51" s="715"/>
      <c r="M51" s="456"/>
      <c r="N51" s="456"/>
      <c r="O51" s="456"/>
    </row>
    <row r="52" spans="1:15">
      <c r="A52" s="520">
        <v>49</v>
      </c>
      <c r="B52" s="716" t="s">
        <v>336</v>
      </c>
      <c r="C52" s="717" t="s">
        <v>337</v>
      </c>
      <c r="D52" s="716" t="s">
        <v>338</v>
      </c>
      <c r="E52" s="506"/>
      <c r="F52" s="718" t="s">
        <v>239</v>
      </c>
      <c r="G52" s="719"/>
      <c r="H52" s="720"/>
      <c r="I52" s="721"/>
      <c r="J52" s="721"/>
      <c r="K52" s="721"/>
      <c r="L52" s="722"/>
      <c r="M52" s="456"/>
      <c r="N52" s="456"/>
      <c r="O52" s="456"/>
    </row>
    <row r="53" spans="1:15" ht="15" thickBot="1">
      <c r="A53" s="520">
        <v>50</v>
      </c>
      <c r="B53" s="716" t="s">
        <v>339</v>
      </c>
      <c r="C53" s="717" t="s">
        <v>333</v>
      </c>
      <c r="D53" s="485" t="s">
        <v>340</v>
      </c>
      <c r="E53" s="506"/>
      <c r="F53" s="723" t="s">
        <v>239</v>
      </c>
      <c r="G53" s="724"/>
      <c r="H53" s="725"/>
      <c r="I53" s="726"/>
      <c r="J53" s="726"/>
      <c r="K53" s="726"/>
      <c r="L53" s="727"/>
      <c r="M53" s="456"/>
      <c r="N53" s="456"/>
      <c r="O53" s="456"/>
    </row>
    <row r="54" spans="1:15">
      <c r="A54" s="520">
        <v>51</v>
      </c>
      <c r="B54" s="485" t="s">
        <v>341</v>
      </c>
      <c r="C54" s="717" t="s">
        <v>342</v>
      </c>
      <c r="D54" s="485" t="s">
        <v>343</v>
      </c>
      <c r="E54" s="506"/>
      <c r="F54" s="723" t="s">
        <v>239</v>
      </c>
      <c r="G54" s="728"/>
      <c r="H54" s="456"/>
      <c r="I54" s="456"/>
      <c r="J54" s="456"/>
      <c r="K54" s="456"/>
      <c r="L54" s="456"/>
      <c r="M54" s="456"/>
      <c r="N54" s="456"/>
      <c r="O54" s="456"/>
    </row>
    <row r="55" spans="1:15">
      <c r="A55" s="592">
        <v>52</v>
      </c>
      <c r="B55" s="485" t="s">
        <v>344</v>
      </c>
      <c r="C55" s="717" t="s">
        <v>345</v>
      </c>
      <c r="D55" s="485" t="s">
        <v>346</v>
      </c>
      <c r="E55" s="506"/>
      <c r="F55" s="723" t="s">
        <v>239</v>
      </c>
      <c r="G55" s="729"/>
      <c r="H55" s="456"/>
      <c r="I55" s="456"/>
      <c r="J55" s="456"/>
      <c r="K55" s="456"/>
      <c r="L55" s="456"/>
      <c r="M55" s="456"/>
      <c r="N55" s="456"/>
      <c r="O55" s="456"/>
    </row>
    <row r="56" spans="1:15" ht="19.5" customHeight="1">
      <c r="A56" s="592">
        <v>53</v>
      </c>
      <c r="B56" s="485" t="s">
        <v>347</v>
      </c>
      <c r="C56" s="717" t="s">
        <v>348</v>
      </c>
      <c r="D56" s="485" t="s">
        <v>349</v>
      </c>
      <c r="E56" s="506"/>
      <c r="F56" s="723" t="s">
        <v>239</v>
      </c>
      <c r="G56" s="730"/>
      <c r="H56" s="456"/>
      <c r="I56" s="456"/>
      <c r="J56" s="456"/>
      <c r="K56" s="456"/>
      <c r="L56" s="456"/>
      <c r="M56" s="456"/>
      <c r="N56" s="456"/>
      <c r="O56" s="456"/>
    </row>
    <row r="57" spans="1:15">
      <c r="A57" s="592">
        <v>54</v>
      </c>
      <c r="B57" s="485" t="s">
        <v>350</v>
      </c>
      <c r="C57" s="717" t="s">
        <v>351</v>
      </c>
      <c r="D57" s="485" t="s">
        <v>352</v>
      </c>
      <c r="E57" s="500" t="s">
        <v>353</v>
      </c>
      <c r="F57" s="672" t="s">
        <v>247</v>
      </c>
      <c r="G57" s="731"/>
      <c r="H57" s="456"/>
      <c r="I57" s="456"/>
      <c r="J57" s="456"/>
      <c r="K57" s="456"/>
      <c r="L57" s="456"/>
      <c r="M57" s="456"/>
      <c r="N57" s="456"/>
      <c r="O57" s="456"/>
    </row>
    <row r="58" spans="1:15">
      <c r="A58" s="520">
        <v>55</v>
      </c>
      <c r="B58" s="485" t="s">
        <v>354</v>
      </c>
      <c r="C58" s="717" t="s">
        <v>355</v>
      </c>
      <c r="D58" s="716" t="s">
        <v>356</v>
      </c>
      <c r="E58" s="500" t="s">
        <v>357</v>
      </c>
      <c r="F58" s="672" t="s">
        <v>247</v>
      </c>
      <c r="G58" s="536"/>
      <c r="H58" s="456"/>
      <c r="I58" s="456"/>
      <c r="J58" s="456"/>
      <c r="K58" s="456"/>
      <c r="L58" s="456"/>
      <c r="M58" s="456"/>
      <c r="N58" s="456"/>
      <c r="O58" s="456"/>
    </row>
    <row r="59" spans="1:15" ht="16.5" customHeight="1">
      <c r="A59" s="520">
        <v>56</v>
      </c>
      <c r="B59" s="485" t="s">
        <v>358</v>
      </c>
      <c r="C59" s="717" t="s">
        <v>359</v>
      </c>
      <c r="D59" s="485" t="s">
        <v>360</v>
      </c>
      <c r="E59" s="506"/>
      <c r="F59" s="636" t="s">
        <v>239</v>
      </c>
      <c r="G59" s="732"/>
      <c r="H59" s="456"/>
      <c r="I59" s="456"/>
      <c r="J59" s="456"/>
      <c r="K59" s="456"/>
      <c r="L59" s="456"/>
      <c r="M59" s="456"/>
      <c r="N59" s="456"/>
      <c r="O59" s="456"/>
    </row>
    <row r="60" spans="1:15">
      <c r="A60" s="520">
        <v>57</v>
      </c>
      <c r="B60" s="485" t="s">
        <v>361</v>
      </c>
      <c r="C60" s="717" t="s">
        <v>362</v>
      </c>
      <c r="D60" s="485" t="s">
        <v>363</v>
      </c>
      <c r="E60" s="506"/>
      <c r="F60" s="718" t="s">
        <v>239</v>
      </c>
      <c r="G60" s="733"/>
      <c r="H60" s="456"/>
      <c r="I60" s="456"/>
      <c r="J60" s="456"/>
      <c r="K60" s="456"/>
      <c r="L60" s="456"/>
      <c r="M60" s="456"/>
      <c r="N60" s="456"/>
      <c r="O60" s="456"/>
    </row>
    <row r="61" spans="1:15">
      <c r="A61" s="520">
        <v>5</v>
      </c>
      <c r="B61" s="485"/>
      <c r="C61" s="717"/>
      <c r="D61" s="716"/>
      <c r="E61" s="506"/>
      <c r="F61" s="636"/>
      <c r="G61" s="733"/>
      <c r="H61" s="456"/>
      <c r="I61" s="456"/>
      <c r="J61" s="456"/>
      <c r="K61" s="456"/>
      <c r="L61" s="456"/>
      <c r="M61" s="456"/>
      <c r="N61" s="456"/>
      <c r="O61" s="456"/>
    </row>
    <row r="62" spans="1:15">
      <c r="A62" s="520">
        <v>55</v>
      </c>
      <c r="B62" s="485"/>
      <c r="C62" s="717"/>
      <c r="D62" s="716"/>
      <c r="E62" s="506"/>
      <c r="F62" s="636"/>
      <c r="G62" s="536"/>
      <c r="H62" s="456"/>
      <c r="I62" s="456"/>
      <c r="J62" s="456"/>
      <c r="K62" s="456"/>
      <c r="L62" s="456"/>
      <c r="M62" s="456"/>
      <c r="N62" s="456"/>
      <c r="O62" s="456"/>
    </row>
    <row r="63" spans="1:15" ht="15" thickBot="1">
      <c r="A63" s="520">
        <v>56</v>
      </c>
      <c r="B63" s="734"/>
      <c r="C63" s="735"/>
      <c r="D63" s="734"/>
      <c r="E63" s="656"/>
      <c r="F63" s="636"/>
      <c r="G63" s="736"/>
      <c r="H63" s="456"/>
      <c r="I63" s="456"/>
      <c r="J63" s="456"/>
      <c r="K63" s="456"/>
      <c r="L63" s="456"/>
      <c r="M63" s="456"/>
      <c r="N63" s="456"/>
      <c r="O63" s="456"/>
    </row>
    <row r="64" spans="1:15" ht="21" customHeight="1" thickBot="1">
      <c r="A64" s="494"/>
      <c r="B64" s="737" t="s">
        <v>364</v>
      </c>
      <c r="C64" s="738"/>
      <c r="D64" s="738"/>
      <c r="E64" s="739"/>
      <c r="F64" s="485"/>
      <c r="G64" s="740"/>
      <c r="H64" s="456"/>
      <c r="I64" s="456"/>
      <c r="J64" s="456"/>
      <c r="K64" s="456"/>
      <c r="L64" s="456"/>
      <c r="M64" s="456"/>
      <c r="N64" s="456"/>
      <c r="O64" s="456"/>
    </row>
    <row r="65" spans="1:43">
      <c r="A65" s="520">
        <v>58</v>
      </c>
      <c r="B65" s="716" t="s">
        <v>365</v>
      </c>
      <c r="C65" s="741" t="s">
        <v>366</v>
      </c>
      <c r="D65" s="716" t="s">
        <v>367</v>
      </c>
      <c r="E65" s="506"/>
      <c r="F65" s="485" t="s">
        <v>239</v>
      </c>
      <c r="G65" s="742"/>
      <c r="H65" s="456"/>
      <c r="I65" s="456"/>
      <c r="J65" s="456"/>
      <c r="K65" s="456"/>
      <c r="L65" s="456"/>
      <c r="M65" s="456"/>
      <c r="N65" s="456"/>
      <c r="O65" s="456"/>
    </row>
    <row r="66" spans="1:43">
      <c r="A66" s="520">
        <v>59</v>
      </c>
      <c r="B66" s="716" t="s">
        <v>368</v>
      </c>
      <c r="C66" s="743" t="s">
        <v>369</v>
      </c>
      <c r="D66" s="578" t="s">
        <v>370</v>
      </c>
      <c r="E66" s="506"/>
      <c r="F66" s="485" t="s">
        <v>239</v>
      </c>
      <c r="G66" s="744"/>
      <c r="H66" s="456"/>
      <c r="I66" s="456"/>
      <c r="J66" s="456"/>
      <c r="K66" s="456"/>
      <c r="L66" s="456"/>
      <c r="M66" s="456"/>
      <c r="N66" s="456"/>
      <c r="O66" s="456"/>
    </row>
    <row r="67" spans="1:43">
      <c r="A67" s="494"/>
      <c r="B67" s="716" t="s">
        <v>278</v>
      </c>
      <c r="C67" s="743" t="s">
        <v>371</v>
      </c>
      <c r="D67" s="578" t="s">
        <v>372</v>
      </c>
      <c r="E67" s="506"/>
      <c r="F67" s="485" t="s">
        <v>239</v>
      </c>
      <c r="G67" s="740"/>
      <c r="H67" s="456"/>
      <c r="I67" s="456"/>
      <c r="J67" s="456"/>
      <c r="K67" s="456"/>
      <c r="L67" s="456"/>
      <c r="M67" s="456"/>
      <c r="N67" s="456"/>
      <c r="O67" s="456"/>
    </row>
    <row r="68" spans="1:43" ht="20.25" customHeight="1">
      <c r="A68" s="592">
        <v>61</v>
      </c>
      <c r="B68" s="716" t="s">
        <v>373</v>
      </c>
      <c r="C68" s="743" t="s">
        <v>374</v>
      </c>
      <c r="D68" s="578" t="s">
        <v>375</v>
      </c>
      <c r="E68" s="506"/>
      <c r="F68" s="485" t="s">
        <v>239</v>
      </c>
      <c r="G68" s="569"/>
      <c r="H68" s="456"/>
      <c r="I68" s="456"/>
      <c r="J68" s="456"/>
      <c r="K68" s="456"/>
      <c r="L68" s="456"/>
      <c r="M68" s="456"/>
      <c r="N68" s="456"/>
      <c r="O68" s="456"/>
    </row>
    <row r="69" spans="1:43">
      <c r="A69" s="520">
        <v>62</v>
      </c>
      <c r="B69" s="716" t="s">
        <v>317</v>
      </c>
      <c r="C69" s="743" t="s">
        <v>369</v>
      </c>
      <c r="D69" s="578" t="s">
        <v>376</v>
      </c>
      <c r="E69" s="745"/>
      <c r="F69" s="485" t="s">
        <v>239</v>
      </c>
      <c r="G69" s="744"/>
      <c r="H69" s="456"/>
      <c r="I69" s="456"/>
      <c r="J69" s="456"/>
      <c r="K69" s="456"/>
      <c r="L69" s="456"/>
      <c r="M69" s="456"/>
      <c r="N69" s="456"/>
      <c r="O69" s="456"/>
    </row>
    <row r="70" spans="1:43">
      <c r="A70" s="520">
        <v>63</v>
      </c>
      <c r="B70" s="716" t="s">
        <v>317</v>
      </c>
      <c r="C70" s="743" t="s">
        <v>369</v>
      </c>
      <c r="D70" s="578" t="s">
        <v>377</v>
      </c>
      <c r="E70" s="745"/>
      <c r="F70" s="485" t="s">
        <v>239</v>
      </c>
      <c r="G70" s="569"/>
      <c r="H70" s="456"/>
      <c r="I70" s="456"/>
      <c r="J70" s="456"/>
      <c r="K70" s="456"/>
      <c r="L70" s="456"/>
      <c r="M70" s="456"/>
      <c r="N70" s="456"/>
      <c r="O70" s="456"/>
    </row>
    <row r="71" spans="1:43">
      <c r="A71" s="520">
        <v>64</v>
      </c>
      <c r="B71" s="716" t="s">
        <v>373</v>
      </c>
      <c r="C71" s="743" t="s">
        <v>374</v>
      </c>
      <c r="D71" s="578" t="s">
        <v>375</v>
      </c>
      <c r="E71" s="506"/>
      <c r="F71" s="485" t="s">
        <v>239</v>
      </c>
      <c r="G71" s="746"/>
      <c r="H71" s="456"/>
      <c r="I71" s="456"/>
      <c r="J71" s="456"/>
      <c r="K71" s="456"/>
      <c r="L71" s="456"/>
      <c r="M71" s="456"/>
      <c r="N71" s="456"/>
      <c r="O71" s="456"/>
    </row>
    <row r="72" spans="1:43">
      <c r="A72" s="520">
        <v>65</v>
      </c>
      <c r="B72" s="716" t="s">
        <v>317</v>
      </c>
      <c r="C72" s="743" t="s">
        <v>369</v>
      </c>
      <c r="D72" s="578" t="s">
        <v>376</v>
      </c>
      <c r="E72" s="745"/>
      <c r="F72" s="485" t="s">
        <v>239</v>
      </c>
      <c r="G72" s="746"/>
      <c r="H72" s="456"/>
      <c r="I72" s="456"/>
      <c r="J72" s="456"/>
      <c r="K72" s="456"/>
      <c r="L72" s="456"/>
      <c r="M72" s="456"/>
      <c r="N72" s="456"/>
      <c r="O72" s="456"/>
    </row>
    <row r="73" spans="1:43">
      <c r="A73" s="520">
        <v>66</v>
      </c>
      <c r="B73" s="716" t="s">
        <v>317</v>
      </c>
      <c r="C73" s="743" t="s">
        <v>369</v>
      </c>
      <c r="D73" s="578" t="s">
        <v>377</v>
      </c>
      <c r="E73" s="745"/>
      <c r="F73" s="485" t="s">
        <v>239</v>
      </c>
      <c r="G73" s="747"/>
      <c r="H73" s="456"/>
      <c r="I73" s="456"/>
      <c r="J73" s="456"/>
      <c r="K73" s="456"/>
      <c r="L73" s="456"/>
      <c r="M73" s="456"/>
      <c r="N73" s="456"/>
      <c r="O73" s="456"/>
    </row>
    <row r="74" spans="1:43" ht="15.6">
      <c r="A74" s="520">
        <v>67</v>
      </c>
      <c r="B74" s="716"/>
      <c r="C74" s="743"/>
      <c r="D74" s="578"/>
      <c r="E74" s="745"/>
      <c r="F74" s="485" t="s">
        <v>239</v>
      </c>
      <c r="G74" s="748"/>
      <c r="H74" s="456"/>
      <c r="I74" s="456"/>
      <c r="J74" s="456"/>
      <c r="K74" s="456"/>
      <c r="L74" s="456"/>
      <c r="M74" s="456"/>
      <c r="N74" s="456"/>
      <c r="O74" s="456"/>
    </row>
    <row r="75" spans="1:43" ht="16.2" thickBot="1">
      <c r="A75" s="520">
        <v>68</v>
      </c>
      <c r="B75" s="716"/>
      <c r="C75" s="743"/>
      <c r="D75" s="578"/>
      <c r="E75" s="745"/>
      <c r="F75" s="485"/>
      <c r="G75" s="748"/>
      <c r="H75" s="456"/>
      <c r="I75" s="456"/>
      <c r="J75" s="456"/>
      <c r="K75" s="456"/>
      <c r="L75" s="456"/>
      <c r="M75" s="456"/>
      <c r="N75" s="456"/>
      <c r="O75" s="456"/>
    </row>
    <row r="76" spans="1:43" ht="15" thickBot="1">
      <c r="A76" s="494"/>
      <c r="B76" s="749" t="s">
        <v>378</v>
      </c>
      <c r="C76" s="750"/>
      <c r="D76" s="750"/>
      <c r="E76" s="751"/>
      <c r="F76" s="485" t="s">
        <v>239</v>
      </c>
      <c r="G76" s="752"/>
      <c r="H76" s="456"/>
      <c r="I76" s="456"/>
      <c r="J76" s="456"/>
      <c r="K76" s="456"/>
      <c r="L76" s="456"/>
      <c r="M76" s="456"/>
      <c r="N76" s="456"/>
      <c r="O76" s="456"/>
    </row>
    <row r="77" spans="1:43">
      <c r="A77" s="592">
        <v>70</v>
      </c>
      <c r="B77" s="716" t="s">
        <v>255</v>
      </c>
      <c r="C77" s="716" t="s">
        <v>255</v>
      </c>
      <c r="D77" s="716" t="s">
        <v>379</v>
      </c>
      <c r="E77" s="753"/>
      <c r="F77" s="485" t="s">
        <v>239</v>
      </c>
      <c r="G77" s="746"/>
      <c r="H77" s="456"/>
      <c r="I77" s="456"/>
      <c r="J77" s="456"/>
      <c r="K77" s="456"/>
      <c r="L77" s="456"/>
      <c r="M77" s="456"/>
      <c r="N77" s="456"/>
      <c r="O77" s="456"/>
    </row>
    <row r="78" spans="1:43">
      <c r="A78" s="592">
        <v>71</v>
      </c>
      <c r="B78" s="716" t="s">
        <v>255</v>
      </c>
      <c r="C78" s="716" t="s">
        <v>380</v>
      </c>
      <c r="D78" s="716" t="s">
        <v>381</v>
      </c>
      <c r="E78" s="753"/>
      <c r="F78" s="485" t="s">
        <v>239</v>
      </c>
      <c r="G78" s="747"/>
      <c r="H78" s="456"/>
      <c r="I78" s="456"/>
      <c r="J78" s="456"/>
      <c r="K78" s="456"/>
      <c r="L78" s="456"/>
      <c r="M78" s="456"/>
      <c r="N78" s="456"/>
      <c r="O78" s="456"/>
    </row>
    <row r="79" spans="1:43">
      <c r="A79" s="520">
        <v>72</v>
      </c>
      <c r="B79" s="716" t="s">
        <v>255</v>
      </c>
      <c r="C79" s="716" t="s">
        <v>255</v>
      </c>
      <c r="D79" s="716" t="s">
        <v>382</v>
      </c>
      <c r="E79" s="753"/>
      <c r="F79" s="485" t="s">
        <v>239</v>
      </c>
      <c r="G79" s="754"/>
      <c r="H79" s="456"/>
      <c r="I79" s="456"/>
      <c r="J79" s="456"/>
      <c r="K79" s="456"/>
      <c r="L79" s="456"/>
      <c r="M79" s="456"/>
      <c r="N79" s="456"/>
      <c r="O79" s="456"/>
    </row>
    <row r="80" spans="1:43" ht="16.5" customHeight="1">
      <c r="A80" s="520">
        <v>73</v>
      </c>
      <c r="B80" s="716" t="s">
        <v>255</v>
      </c>
      <c r="C80" s="716" t="s">
        <v>255</v>
      </c>
      <c r="D80" s="716" t="s">
        <v>383</v>
      </c>
      <c r="E80" s="753"/>
      <c r="F80" s="485" t="s">
        <v>239</v>
      </c>
      <c r="G80" s="755"/>
      <c r="H80" s="456"/>
      <c r="I80" s="456"/>
      <c r="J80" s="456"/>
      <c r="K80" s="456"/>
      <c r="L80" s="456"/>
      <c r="M80" s="456"/>
      <c r="N80" s="456"/>
      <c r="O80" s="456"/>
      <c r="AQ80" s="107"/>
    </row>
    <row r="81" spans="1:47">
      <c r="A81" s="520">
        <v>74</v>
      </c>
      <c r="B81" s="716" t="s">
        <v>255</v>
      </c>
      <c r="C81" s="716" t="s">
        <v>384</v>
      </c>
      <c r="D81" s="716" t="s">
        <v>385</v>
      </c>
      <c r="E81" s="753"/>
      <c r="F81" s="485" t="s">
        <v>239</v>
      </c>
      <c r="G81" s="756"/>
      <c r="H81" s="456"/>
      <c r="I81" s="456"/>
      <c r="J81" s="456"/>
      <c r="K81" s="456"/>
      <c r="L81" s="456"/>
      <c r="M81" s="456"/>
      <c r="N81" s="456"/>
      <c r="O81" s="456"/>
    </row>
    <row r="82" spans="1:47">
      <c r="A82" s="520">
        <v>75</v>
      </c>
      <c r="B82" s="716" t="s">
        <v>255</v>
      </c>
      <c r="C82" s="716" t="s">
        <v>386</v>
      </c>
      <c r="D82" s="716" t="s">
        <v>387</v>
      </c>
      <c r="E82" s="753"/>
      <c r="F82" s="485" t="s">
        <v>239</v>
      </c>
      <c r="G82" s="756"/>
      <c r="H82" s="456"/>
      <c r="I82" s="456"/>
      <c r="J82" s="456"/>
      <c r="K82" s="456"/>
      <c r="L82" s="456"/>
      <c r="M82" s="456"/>
      <c r="N82" s="456"/>
      <c r="O82" s="456"/>
    </row>
    <row r="83" spans="1:47">
      <c r="A83" s="520">
        <v>76</v>
      </c>
      <c r="B83" s="716" t="s">
        <v>255</v>
      </c>
      <c r="C83" s="716" t="s">
        <v>386</v>
      </c>
      <c r="D83" s="485" t="s">
        <v>166</v>
      </c>
      <c r="E83" s="753"/>
      <c r="F83" s="485" t="s">
        <v>239</v>
      </c>
      <c r="G83" s="756"/>
      <c r="H83" s="456"/>
      <c r="I83" s="456"/>
      <c r="J83" s="456"/>
      <c r="K83" s="456"/>
      <c r="L83" s="456"/>
      <c r="M83" s="456"/>
      <c r="N83" s="456"/>
      <c r="O83" s="456"/>
    </row>
    <row r="84" spans="1:47" ht="15.75" customHeight="1">
      <c r="A84" s="520">
        <v>77</v>
      </c>
      <c r="B84" s="716" t="s">
        <v>255</v>
      </c>
      <c r="C84" s="716" t="s">
        <v>384</v>
      </c>
      <c r="D84" s="485" t="s">
        <v>388</v>
      </c>
      <c r="E84" s="753"/>
      <c r="F84" s="485" t="s">
        <v>239</v>
      </c>
      <c r="G84" s="757"/>
      <c r="H84" s="456"/>
      <c r="I84" s="456"/>
      <c r="J84" s="456"/>
      <c r="K84" s="456"/>
      <c r="L84" s="456"/>
      <c r="M84" s="456"/>
      <c r="N84" s="456"/>
      <c r="O84" s="456"/>
    </row>
    <row r="85" spans="1:47" ht="21" customHeight="1" thickBot="1">
      <c r="A85" s="572"/>
      <c r="B85" s="716" t="s">
        <v>255</v>
      </c>
      <c r="C85" s="716" t="s">
        <v>389</v>
      </c>
      <c r="D85" s="485" t="s">
        <v>390</v>
      </c>
      <c r="E85" s="753"/>
      <c r="F85" s="485" t="s">
        <v>239</v>
      </c>
      <c r="G85" s="756"/>
      <c r="H85" s="456"/>
      <c r="I85" s="456"/>
      <c r="J85" s="456"/>
      <c r="K85" s="456"/>
      <c r="L85" s="456"/>
      <c r="M85" s="456"/>
      <c r="N85" s="456"/>
      <c r="O85" s="456"/>
    </row>
    <row r="86" spans="1:47" ht="16.5" customHeight="1" thickBot="1">
      <c r="A86" s="758">
        <v>78</v>
      </c>
      <c r="B86" s="716" t="s">
        <v>255</v>
      </c>
      <c r="C86" s="716" t="s">
        <v>389</v>
      </c>
      <c r="D86" s="485" t="s">
        <v>391</v>
      </c>
      <c r="E86" s="753"/>
      <c r="F86" s="485" t="s">
        <v>239</v>
      </c>
      <c r="G86" s="757"/>
      <c r="H86" s="456"/>
      <c r="I86" s="456"/>
      <c r="J86" s="456"/>
      <c r="K86" s="456"/>
      <c r="L86" s="456"/>
      <c r="M86" s="456"/>
      <c r="N86" s="456"/>
      <c r="O86" s="456"/>
    </row>
    <row r="87" spans="1:47" s="102" customFormat="1" ht="15.75" customHeight="1" thickBot="1">
      <c r="A87" s="572"/>
      <c r="B87" s="737" t="s">
        <v>392</v>
      </c>
      <c r="C87" s="738"/>
      <c r="D87" s="738"/>
      <c r="E87" s="739"/>
      <c r="F87" s="485"/>
      <c r="G87" s="757"/>
      <c r="H87" s="759"/>
      <c r="I87" s="759"/>
      <c r="J87" s="759"/>
      <c r="K87" s="759"/>
      <c r="L87" s="759"/>
      <c r="M87" s="759"/>
      <c r="N87" s="759"/>
      <c r="O87" s="759"/>
      <c r="P87" s="107"/>
      <c r="Q87" s="107"/>
      <c r="R87" s="107"/>
      <c r="S87" s="107"/>
      <c r="T87" s="107"/>
      <c r="U87" s="107"/>
      <c r="V87" s="107"/>
      <c r="W87" s="107"/>
      <c r="X87" s="107"/>
      <c r="Y87" s="107"/>
      <c r="Z87" s="107"/>
      <c r="AA87" s="107"/>
      <c r="AB87" s="107"/>
      <c r="AC87" s="107"/>
      <c r="AD87" s="107"/>
      <c r="AE87" s="107"/>
      <c r="AF87" s="107"/>
      <c r="AG87" s="107"/>
      <c r="AH87" s="107"/>
      <c r="AI87" s="107"/>
      <c r="AJ87" s="107"/>
      <c r="AK87" s="107"/>
      <c r="AL87" s="107"/>
      <c r="AM87" s="107"/>
      <c r="AN87" s="107"/>
      <c r="AO87" s="107"/>
      <c r="AP87" s="107"/>
      <c r="AQ87" s="107"/>
      <c r="AR87" s="107"/>
      <c r="AS87" s="107"/>
      <c r="AT87" s="107"/>
      <c r="AU87" s="107"/>
    </row>
    <row r="88" spans="1:47" ht="15" thickBot="1">
      <c r="A88" s="758">
        <v>78</v>
      </c>
      <c r="B88" s="485" t="s">
        <v>393</v>
      </c>
      <c r="C88" s="717" t="s">
        <v>394</v>
      </c>
      <c r="D88" s="485" t="s">
        <v>395</v>
      </c>
      <c r="E88" s="745"/>
      <c r="F88" s="485" t="s">
        <v>239</v>
      </c>
      <c r="G88" s="546"/>
      <c r="H88" s="456"/>
      <c r="I88" s="456"/>
      <c r="J88" s="456"/>
      <c r="K88" s="456"/>
      <c r="L88" s="456"/>
      <c r="M88" s="456"/>
      <c r="N88" s="456"/>
      <c r="O88" s="456"/>
    </row>
    <row r="89" spans="1:47" ht="15.75" customHeight="1" thickBot="1">
      <c r="A89" s="760">
        <v>79</v>
      </c>
      <c r="B89" s="485" t="s">
        <v>365</v>
      </c>
      <c r="C89" s="717" t="s">
        <v>394</v>
      </c>
      <c r="D89" s="485" t="s">
        <v>396</v>
      </c>
      <c r="E89" s="745"/>
      <c r="F89" s="485" t="s">
        <v>239</v>
      </c>
      <c r="G89" s="761"/>
      <c r="H89" s="456"/>
      <c r="I89" s="456"/>
      <c r="J89" s="456"/>
      <c r="K89" s="456"/>
      <c r="L89" s="456"/>
      <c r="M89" s="456"/>
      <c r="N89" s="456"/>
      <c r="O89" s="456"/>
    </row>
    <row r="90" spans="1:47">
      <c r="A90" s="520">
        <v>80</v>
      </c>
      <c r="B90" s="485" t="s">
        <v>397</v>
      </c>
      <c r="C90" s="717" t="s">
        <v>398</v>
      </c>
      <c r="D90" s="485" t="s">
        <v>399</v>
      </c>
      <c r="E90" s="762"/>
      <c r="F90" s="485" t="s">
        <v>239</v>
      </c>
      <c r="G90" s="763"/>
      <c r="H90" s="456"/>
      <c r="I90" s="456"/>
      <c r="J90" s="456"/>
      <c r="K90" s="456"/>
      <c r="L90" s="456"/>
      <c r="M90" s="456"/>
      <c r="N90" s="456"/>
      <c r="O90" s="456"/>
    </row>
    <row r="91" spans="1:47">
      <c r="A91" s="520">
        <v>81</v>
      </c>
      <c r="B91" s="485" t="s">
        <v>400</v>
      </c>
      <c r="C91" s="717" t="s">
        <v>401</v>
      </c>
      <c r="D91" s="485" t="s">
        <v>402</v>
      </c>
      <c r="E91" s="506"/>
      <c r="F91" s="485" t="s">
        <v>239</v>
      </c>
      <c r="G91" s="764"/>
      <c r="H91" s="456"/>
      <c r="I91" s="456"/>
      <c r="J91" s="456"/>
      <c r="K91" s="456"/>
      <c r="L91" s="456"/>
      <c r="M91" s="456"/>
      <c r="N91" s="456"/>
      <c r="O91" s="456"/>
    </row>
    <row r="92" spans="1:47">
      <c r="A92" s="754">
        <v>82</v>
      </c>
      <c r="B92" s="485" t="s">
        <v>403</v>
      </c>
      <c r="C92" s="717" t="s">
        <v>404</v>
      </c>
      <c r="D92" s="485" t="s">
        <v>405</v>
      </c>
      <c r="E92" s="506"/>
      <c r="F92" s="485" t="s">
        <v>239</v>
      </c>
      <c r="G92" s="546"/>
      <c r="H92" s="456"/>
      <c r="I92" s="456"/>
      <c r="J92" s="456"/>
      <c r="K92" s="456"/>
      <c r="L92" s="456"/>
      <c r="M92" s="456"/>
      <c r="N92" s="456"/>
      <c r="O92" s="456"/>
    </row>
    <row r="93" spans="1:47" ht="15.75" customHeight="1">
      <c r="A93" s="520">
        <v>83</v>
      </c>
      <c r="B93" s="485" t="s">
        <v>365</v>
      </c>
      <c r="C93" s="717" t="s">
        <v>404</v>
      </c>
      <c r="D93" s="485" t="s">
        <v>406</v>
      </c>
      <c r="E93" s="745"/>
      <c r="F93" s="485" t="s">
        <v>239</v>
      </c>
      <c r="G93" s="746"/>
      <c r="H93" s="456"/>
      <c r="I93" s="456"/>
      <c r="J93" s="456"/>
      <c r="K93" s="456"/>
      <c r="L93" s="456"/>
      <c r="M93" s="456"/>
      <c r="N93" s="456"/>
      <c r="O93" s="456"/>
    </row>
    <row r="94" spans="1:47" ht="15" thickBot="1">
      <c r="A94" s="520">
        <v>84</v>
      </c>
      <c r="B94" s="485" t="s">
        <v>393</v>
      </c>
      <c r="C94" s="717" t="s">
        <v>404</v>
      </c>
      <c r="D94" s="485" t="s">
        <v>407</v>
      </c>
      <c r="E94" s="500" t="s">
        <v>408</v>
      </c>
      <c r="F94" s="672" t="s">
        <v>247</v>
      </c>
      <c r="G94" s="746"/>
      <c r="H94" s="456"/>
      <c r="I94" s="456"/>
      <c r="J94" s="456"/>
      <c r="K94" s="456"/>
      <c r="L94" s="456"/>
      <c r="M94" s="456"/>
      <c r="N94" s="456"/>
      <c r="O94" s="456"/>
    </row>
    <row r="95" spans="1:47" ht="21" thickBot="1">
      <c r="A95" s="494"/>
      <c r="B95" s="765" t="s">
        <v>409</v>
      </c>
      <c r="C95" s="766"/>
      <c r="D95" s="766"/>
      <c r="E95" s="767"/>
      <c r="F95" s="768"/>
      <c r="G95" s="757"/>
      <c r="H95" s="456"/>
      <c r="I95" s="456"/>
      <c r="J95" s="456"/>
      <c r="K95" s="456"/>
      <c r="L95" s="456"/>
      <c r="M95" s="456"/>
      <c r="N95" s="456"/>
      <c r="O95" s="456"/>
    </row>
    <row r="96" spans="1:47">
      <c r="A96" s="494">
        <v>84</v>
      </c>
      <c r="B96" s="710" t="s">
        <v>410</v>
      </c>
      <c r="C96" s="769" t="s">
        <v>404</v>
      </c>
      <c r="D96" s="710" t="s">
        <v>411</v>
      </c>
      <c r="E96" s="745"/>
      <c r="F96" s="485" t="s">
        <v>239</v>
      </c>
      <c r="G96" s="520"/>
      <c r="H96" s="456"/>
      <c r="I96" s="456"/>
      <c r="J96" s="456"/>
      <c r="K96" s="456"/>
      <c r="L96" s="456"/>
      <c r="M96" s="456"/>
      <c r="N96" s="456"/>
      <c r="O96" s="456"/>
    </row>
    <row r="97" spans="1:15">
      <c r="A97" s="770">
        <v>85</v>
      </c>
      <c r="B97" s="512" t="s">
        <v>412</v>
      </c>
      <c r="C97" s="717" t="s">
        <v>404</v>
      </c>
      <c r="D97" s="485" t="s">
        <v>413</v>
      </c>
      <c r="E97" s="745"/>
      <c r="F97" s="485" t="s">
        <v>239</v>
      </c>
      <c r="G97" s="520"/>
      <c r="H97" s="456"/>
      <c r="I97" s="456"/>
      <c r="J97" s="456"/>
      <c r="K97" s="456"/>
      <c r="L97" s="456"/>
      <c r="M97" s="456"/>
      <c r="N97" s="456"/>
      <c r="O97" s="456"/>
    </row>
    <row r="98" spans="1:15">
      <c r="A98" s="770">
        <v>86</v>
      </c>
      <c r="B98" s="716" t="s">
        <v>414</v>
      </c>
      <c r="C98" s="717" t="s">
        <v>404</v>
      </c>
      <c r="D98" s="485" t="s">
        <v>415</v>
      </c>
      <c r="E98" s="745"/>
      <c r="F98" s="485" t="s">
        <v>239</v>
      </c>
      <c r="G98" s="520"/>
      <c r="H98" s="456"/>
      <c r="I98" s="456"/>
      <c r="J98" s="456"/>
      <c r="K98" s="456"/>
      <c r="L98" s="456"/>
      <c r="M98" s="456"/>
      <c r="N98" s="456"/>
      <c r="O98" s="456"/>
    </row>
    <row r="99" spans="1:15" ht="21" customHeight="1">
      <c r="A99" s="456"/>
      <c r="B99" s="716" t="s">
        <v>195</v>
      </c>
      <c r="C99" s="717" t="s">
        <v>404</v>
      </c>
      <c r="D99" s="485" t="s">
        <v>416</v>
      </c>
      <c r="E99" s="745"/>
      <c r="F99" s="485" t="s">
        <v>239</v>
      </c>
      <c r="G99" s="520"/>
      <c r="H99" s="456"/>
      <c r="I99" s="456"/>
      <c r="J99" s="456"/>
      <c r="K99" s="456"/>
      <c r="L99" s="456"/>
      <c r="M99" s="456"/>
      <c r="N99" s="456"/>
      <c r="O99" s="456"/>
    </row>
    <row r="100" spans="1:15" ht="15" thickBot="1">
      <c r="A100" s="456"/>
      <c r="B100" s="485" t="s">
        <v>365</v>
      </c>
      <c r="C100" s="717" t="s">
        <v>404</v>
      </c>
      <c r="D100" s="485" t="s">
        <v>417</v>
      </c>
      <c r="E100" s="745"/>
      <c r="F100" s="485" t="s">
        <v>239</v>
      </c>
      <c r="G100" s="520"/>
      <c r="H100" s="456"/>
      <c r="I100" s="456"/>
      <c r="J100" s="456"/>
      <c r="K100" s="456"/>
      <c r="L100" s="456"/>
      <c r="M100" s="456"/>
      <c r="N100" s="456"/>
      <c r="O100" s="456"/>
    </row>
    <row r="101" spans="1:15" ht="21" thickBot="1">
      <c r="A101" s="456"/>
      <c r="B101" s="771" t="s">
        <v>418</v>
      </c>
      <c r="C101" s="766"/>
      <c r="D101" s="766"/>
      <c r="E101" s="772"/>
      <c r="F101" s="485"/>
      <c r="G101" s="520"/>
      <c r="H101" s="456"/>
      <c r="I101" s="456"/>
      <c r="J101" s="456"/>
      <c r="K101" s="456"/>
      <c r="L101" s="456"/>
      <c r="M101" s="456"/>
      <c r="N101" s="456"/>
      <c r="O101" s="456"/>
    </row>
    <row r="102" spans="1:15">
      <c r="A102" s="456">
        <v>87</v>
      </c>
      <c r="B102" s="716" t="s">
        <v>419</v>
      </c>
      <c r="C102" s="717" t="s">
        <v>420</v>
      </c>
      <c r="D102" s="485" t="s">
        <v>421</v>
      </c>
      <c r="E102" s="745"/>
      <c r="F102" s="485" t="s">
        <v>239</v>
      </c>
      <c r="G102" s="773"/>
      <c r="H102" s="456"/>
      <c r="I102" s="456"/>
      <c r="J102" s="456"/>
      <c r="K102" s="456"/>
      <c r="L102" s="456"/>
      <c r="M102" s="456"/>
      <c r="N102" s="456"/>
      <c r="O102" s="456"/>
    </row>
    <row r="103" spans="1:15">
      <c r="A103" s="456">
        <v>88</v>
      </c>
      <c r="B103" s="485" t="s">
        <v>365</v>
      </c>
      <c r="C103" s="717" t="s">
        <v>422</v>
      </c>
      <c r="D103" s="485" t="s">
        <v>423</v>
      </c>
      <c r="E103" s="745"/>
      <c r="F103" s="485" t="s">
        <v>239</v>
      </c>
      <c r="G103" s="520"/>
      <c r="H103" s="456"/>
      <c r="I103" s="456"/>
      <c r="J103" s="456"/>
      <c r="K103" s="456"/>
      <c r="L103" s="456"/>
      <c r="M103" s="456"/>
      <c r="N103" s="456"/>
      <c r="O103" s="456"/>
    </row>
    <row r="104" spans="1:15" ht="18" customHeight="1">
      <c r="A104" s="456">
        <v>89</v>
      </c>
      <c r="B104" s="716" t="s">
        <v>424</v>
      </c>
      <c r="C104" s="717" t="s">
        <v>404</v>
      </c>
      <c r="D104" s="485" t="s">
        <v>425</v>
      </c>
      <c r="E104" s="745"/>
      <c r="F104" s="485" t="s">
        <v>239</v>
      </c>
      <c r="G104" s="520"/>
      <c r="H104" s="456"/>
      <c r="I104" s="456"/>
      <c r="J104" s="456"/>
      <c r="K104" s="456"/>
      <c r="L104" s="456"/>
      <c r="M104" s="456"/>
      <c r="N104" s="456"/>
      <c r="O104" s="456"/>
    </row>
    <row r="105" spans="1:15">
      <c r="A105" s="456">
        <v>90</v>
      </c>
      <c r="B105" s="716" t="s">
        <v>424</v>
      </c>
      <c r="C105" s="717" t="s">
        <v>426</v>
      </c>
      <c r="D105" s="485" t="s">
        <v>427</v>
      </c>
      <c r="E105" s="762"/>
      <c r="F105" s="485" t="s">
        <v>239</v>
      </c>
      <c r="G105" s="520"/>
      <c r="H105" s="456"/>
      <c r="I105" s="456"/>
      <c r="J105" s="456"/>
      <c r="K105" s="456"/>
      <c r="L105" s="456"/>
      <c r="M105" s="456"/>
      <c r="N105" s="456"/>
      <c r="O105" s="456"/>
    </row>
    <row r="106" spans="1:15">
      <c r="A106" s="456">
        <v>91</v>
      </c>
      <c r="B106" s="716" t="s">
        <v>419</v>
      </c>
      <c r="C106" s="717" t="s">
        <v>404</v>
      </c>
      <c r="D106" s="485" t="s">
        <v>428</v>
      </c>
      <c r="E106" s="762"/>
      <c r="F106" s="485" t="s">
        <v>239</v>
      </c>
      <c r="G106" s="520"/>
      <c r="H106" s="456"/>
      <c r="I106" s="456"/>
      <c r="J106" s="456"/>
      <c r="K106" s="456"/>
      <c r="L106" s="456"/>
      <c r="M106" s="456"/>
      <c r="N106" s="456"/>
      <c r="O106" s="456"/>
    </row>
    <row r="107" spans="1:15">
      <c r="A107" s="456">
        <v>92</v>
      </c>
      <c r="B107" s="716" t="s">
        <v>429</v>
      </c>
      <c r="C107" s="717" t="s">
        <v>394</v>
      </c>
      <c r="D107" s="485" t="s">
        <v>430</v>
      </c>
      <c r="E107" s="762"/>
      <c r="F107" s="485" t="s">
        <v>239</v>
      </c>
      <c r="G107" s="520"/>
      <c r="H107" s="456"/>
      <c r="I107" s="456"/>
      <c r="J107" s="456"/>
      <c r="K107" s="456"/>
      <c r="L107" s="456"/>
      <c r="M107" s="456"/>
      <c r="N107" s="456"/>
      <c r="O107" s="456"/>
    </row>
    <row r="108" spans="1:15">
      <c r="A108" s="456">
        <v>93</v>
      </c>
      <c r="B108" s="716" t="s">
        <v>431</v>
      </c>
      <c r="C108" s="717" t="s">
        <v>432</v>
      </c>
      <c r="D108" s="485" t="s">
        <v>433</v>
      </c>
      <c r="E108" s="762"/>
      <c r="F108" s="485" t="s">
        <v>239</v>
      </c>
      <c r="G108" s="520"/>
      <c r="H108" s="456"/>
      <c r="I108" s="456"/>
      <c r="J108" s="456"/>
      <c r="K108" s="456"/>
      <c r="L108" s="456"/>
      <c r="M108" s="456"/>
      <c r="N108" s="456"/>
      <c r="O108" s="456"/>
    </row>
    <row r="109" spans="1:15">
      <c r="A109" s="456"/>
      <c r="B109" s="774" t="s">
        <v>434</v>
      </c>
      <c r="C109" s="775" t="s">
        <v>435</v>
      </c>
      <c r="D109" s="485" t="s">
        <v>436</v>
      </c>
      <c r="E109" s="745"/>
      <c r="F109" s="485" t="s">
        <v>239</v>
      </c>
      <c r="G109" s="520"/>
      <c r="H109" s="456"/>
      <c r="I109" s="456"/>
      <c r="J109" s="456"/>
      <c r="K109" s="456"/>
      <c r="L109" s="456"/>
      <c r="M109" s="456"/>
      <c r="N109" s="456"/>
      <c r="O109" s="456"/>
    </row>
    <row r="110" spans="1:15" ht="21.75" customHeight="1">
      <c r="A110" s="456"/>
      <c r="B110" s="716" t="s">
        <v>419</v>
      </c>
      <c r="C110" s="775" t="s">
        <v>435</v>
      </c>
      <c r="D110" s="485" t="s">
        <v>437</v>
      </c>
      <c r="E110" s="745"/>
      <c r="F110" s="485" t="s">
        <v>239</v>
      </c>
      <c r="G110" s="520"/>
    </row>
    <row r="111" spans="1:15" ht="15" customHeight="1">
      <c r="B111" s="485" t="s">
        <v>393</v>
      </c>
      <c r="C111" s="775" t="s">
        <v>435</v>
      </c>
      <c r="D111" s="485" t="s">
        <v>438</v>
      </c>
      <c r="E111" s="745"/>
      <c r="F111" s="485" t="s">
        <v>239</v>
      </c>
      <c r="G111" s="520"/>
    </row>
    <row r="112" spans="1:15">
      <c r="B112" s="776" t="s">
        <v>439</v>
      </c>
      <c r="C112" s="775" t="s">
        <v>435</v>
      </c>
      <c r="D112" s="485" t="s">
        <v>440</v>
      </c>
      <c r="E112" s="745"/>
      <c r="F112" s="485" t="s">
        <v>239</v>
      </c>
      <c r="G112" s="520"/>
    </row>
    <row r="113" spans="2:7">
      <c r="B113" s="776" t="s">
        <v>441</v>
      </c>
      <c r="C113" s="775" t="s">
        <v>442</v>
      </c>
      <c r="D113" s="485" t="s">
        <v>443</v>
      </c>
      <c r="E113" s="745"/>
      <c r="F113" s="485" t="s">
        <v>239</v>
      </c>
      <c r="G113" s="520"/>
    </row>
  </sheetData>
  <mergeCells count="41">
    <mergeCell ref="H52:L52"/>
    <mergeCell ref="H53:L53"/>
    <mergeCell ref="B64:E64"/>
    <mergeCell ref="B76:E76"/>
    <mergeCell ref="B87:E87"/>
    <mergeCell ref="H47:L47"/>
    <mergeCell ref="H48:L48"/>
    <mergeCell ref="B49:E49"/>
    <mergeCell ref="H49:L49"/>
    <mergeCell ref="H50:L50"/>
    <mergeCell ref="H51:L51"/>
    <mergeCell ref="H42:L42"/>
    <mergeCell ref="H43:L43"/>
    <mergeCell ref="B44:E44"/>
    <mergeCell ref="H44:L44"/>
    <mergeCell ref="H45:L45"/>
    <mergeCell ref="H46:L46"/>
    <mergeCell ref="K37:L37"/>
    <mergeCell ref="K38:L38"/>
    <mergeCell ref="K39:L39"/>
    <mergeCell ref="B40:E40"/>
    <mergeCell ref="H40:L40"/>
    <mergeCell ref="H41:L41"/>
    <mergeCell ref="H31:L31"/>
    <mergeCell ref="K32:L32"/>
    <mergeCell ref="K33:L33"/>
    <mergeCell ref="K34:L34"/>
    <mergeCell ref="K35:L35"/>
    <mergeCell ref="K36:L36"/>
    <mergeCell ref="K25:L25"/>
    <mergeCell ref="K26:L26"/>
    <mergeCell ref="K27:L27"/>
    <mergeCell ref="K28:L28"/>
    <mergeCell ref="K29:L29"/>
    <mergeCell ref="K30:L30"/>
    <mergeCell ref="I1:L1"/>
    <mergeCell ref="B3:E3"/>
    <mergeCell ref="B11:E11"/>
    <mergeCell ref="B18:E18"/>
    <mergeCell ref="H23:L23"/>
    <mergeCell ref="K24:L24"/>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01"/>
  <sheetViews>
    <sheetView workbookViewId="0">
      <selection activeCell="D14" sqref="D14"/>
    </sheetView>
  </sheetViews>
  <sheetFormatPr defaultRowHeight="14.4"/>
  <cols>
    <col min="1" max="1" width="10.109375" style="109" bestFit="1" customWidth="1"/>
    <col min="2" max="2" width="27.6640625" style="109" customWidth="1"/>
    <col min="3" max="3" width="21.33203125" style="109" customWidth="1"/>
    <col min="4" max="4" width="24.88671875" style="109" customWidth="1"/>
    <col min="5" max="5" width="25.109375" style="109" customWidth="1"/>
    <col min="6" max="6" width="12.6640625" style="109" customWidth="1"/>
    <col min="7" max="7" width="18.44140625" style="109" customWidth="1"/>
    <col min="8" max="8" width="16.6640625" style="109" customWidth="1"/>
    <col min="9" max="9" width="17.109375" style="109" customWidth="1"/>
    <col min="10" max="10" width="24.44140625" style="109" customWidth="1"/>
    <col min="11" max="11" width="18.88671875" style="109" customWidth="1"/>
    <col min="12" max="12" width="18.109375" style="109" customWidth="1"/>
    <col min="13" max="13" width="10.44140625" style="109" hidden="1" customWidth="1"/>
    <col min="14" max="14" width="0.109375" style="109" hidden="1" customWidth="1"/>
    <col min="15" max="15" width="14.5546875" style="793" hidden="1" customWidth="1"/>
    <col min="16" max="16" width="0.109375" style="109" hidden="1" customWidth="1"/>
    <col min="17" max="17" width="14.44140625" style="109" hidden="1" customWidth="1"/>
    <col min="18" max="18" width="14.33203125" style="109" hidden="1" customWidth="1"/>
    <col min="19" max="19" width="14.44140625" style="109" hidden="1" customWidth="1"/>
    <col min="20" max="16384" width="8.88671875" style="109"/>
  </cols>
  <sheetData>
    <row r="1" spans="1:19" s="110" customFormat="1">
      <c r="A1" s="777">
        <f ca="1">A1+A1:F23+A1:F23+A1:F23+A1:F53+A1:F56:F53</f>
        <v>0</v>
      </c>
      <c r="B1" s="777" t="s">
        <v>444</v>
      </c>
      <c r="C1" s="778" t="s">
        <v>445</v>
      </c>
      <c r="D1" s="779"/>
      <c r="E1" s="779"/>
      <c r="F1" s="780"/>
      <c r="G1" s="778" t="s">
        <v>446</v>
      </c>
      <c r="H1" s="779"/>
      <c r="I1" s="779"/>
      <c r="J1" s="780"/>
      <c r="K1" s="778"/>
      <c r="L1" s="779"/>
      <c r="M1" s="779"/>
      <c r="N1" s="780"/>
      <c r="O1" s="781"/>
      <c r="P1" s="778" t="s">
        <v>447</v>
      </c>
      <c r="Q1" s="779"/>
      <c r="R1" s="779"/>
      <c r="S1" s="780"/>
    </row>
    <row r="2" spans="1:19" ht="28.8">
      <c r="A2" s="782"/>
      <c r="B2" s="783" t="s">
        <v>448</v>
      </c>
      <c r="C2" s="794" t="s">
        <v>449</v>
      </c>
      <c r="D2" s="784" t="s">
        <v>450</v>
      </c>
      <c r="E2" s="783" t="s">
        <v>451</v>
      </c>
      <c r="F2" s="783"/>
      <c r="G2" s="783" t="s">
        <v>449</v>
      </c>
      <c r="H2" s="784" t="s">
        <v>450</v>
      </c>
      <c r="I2" s="783" t="s">
        <v>451</v>
      </c>
      <c r="J2" s="783" t="s">
        <v>449</v>
      </c>
      <c r="K2" s="784" t="s">
        <v>450</v>
      </c>
      <c r="L2" s="783" t="s">
        <v>451</v>
      </c>
      <c r="M2" s="785"/>
      <c r="N2" s="785"/>
      <c r="O2" s="786"/>
      <c r="P2" s="785"/>
      <c r="Q2" s="785"/>
      <c r="R2" s="785"/>
      <c r="S2" s="785"/>
    </row>
    <row r="3" spans="1:19" ht="30" customHeight="1">
      <c r="A3" s="787" t="s">
        <v>140</v>
      </c>
      <c r="B3" s="785" t="s">
        <v>452</v>
      </c>
      <c r="C3" s="794" t="s">
        <v>453</v>
      </c>
      <c r="D3" s="773" t="s">
        <v>454</v>
      </c>
      <c r="E3" s="783" t="s">
        <v>455</v>
      </c>
      <c r="F3" s="785"/>
      <c r="G3" s="785" t="s">
        <v>455</v>
      </c>
      <c r="H3" s="773" t="s">
        <v>454</v>
      </c>
      <c r="I3" s="783" t="s">
        <v>456</v>
      </c>
      <c r="J3" s="785" t="s">
        <v>455</v>
      </c>
      <c r="K3" s="773" t="s">
        <v>454</v>
      </c>
      <c r="L3" s="783" t="s">
        <v>455</v>
      </c>
      <c r="M3" s="785"/>
      <c r="N3" s="785"/>
      <c r="O3" s="786"/>
      <c r="P3" s="785"/>
      <c r="Q3" s="785"/>
      <c r="R3" s="785"/>
      <c r="S3" s="785"/>
    </row>
    <row r="4" spans="1:19" ht="21.6" customHeight="1">
      <c r="A4" s="788"/>
      <c r="B4" s="785" t="s">
        <v>457</v>
      </c>
      <c r="C4" s="795" t="s">
        <v>458</v>
      </c>
      <c r="D4" s="773" t="s">
        <v>459</v>
      </c>
      <c r="E4" s="785" t="s">
        <v>459</v>
      </c>
      <c r="F4" s="785"/>
      <c r="G4" s="785" t="s">
        <v>459</v>
      </c>
      <c r="H4" s="773" t="s">
        <v>459</v>
      </c>
      <c r="I4" s="785" t="s">
        <v>459</v>
      </c>
      <c r="J4" s="785" t="s">
        <v>459</v>
      </c>
      <c r="K4" s="773" t="s">
        <v>459</v>
      </c>
      <c r="L4" s="785" t="s">
        <v>459</v>
      </c>
      <c r="M4" s="785"/>
      <c r="N4" s="785"/>
      <c r="O4" s="786"/>
      <c r="P4" s="785"/>
      <c r="Q4" s="785"/>
      <c r="R4" s="785"/>
      <c r="S4" s="785"/>
    </row>
    <row r="5" spans="1:19" ht="28.8">
      <c r="A5" s="782"/>
      <c r="B5" s="784" t="s">
        <v>448</v>
      </c>
      <c r="C5" s="783" t="s">
        <v>449</v>
      </c>
      <c r="D5" s="784" t="s">
        <v>450</v>
      </c>
      <c r="E5" s="784" t="s">
        <v>451</v>
      </c>
      <c r="F5" s="773"/>
      <c r="G5" s="783" t="s">
        <v>449</v>
      </c>
      <c r="H5" s="784" t="s">
        <v>450</v>
      </c>
      <c r="I5" s="773" t="s">
        <v>451</v>
      </c>
      <c r="J5" s="783" t="s">
        <v>449</v>
      </c>
      <c r="K5" s="784" t="s">
        <v>450</v>
      </c>
      <c r="L5" s="773" t="s">
        <v>451</v>
      </c>
      <c r="M5" s="773"/>
      <c r="N5" s="773"/>
      <c r="O5" s="786"/>
      <c r="P5" s="773"/>
      <c r="Q5" s="773"/>
      <c r="R5" s="773"/>
      <c r="S5" s="773"/>
    </row>
    <row r="6" spans="1:19" ht="28.95" customHeight="1">
      <c r="A6" s="787" t="s">
        <v>144</v>
      </c>
      <c r="B6" s="773" t="s">
        <v>460</v>
      </c>
      <c r="C6" s="785" t="s">
        <v>455</v>
      </c>
      <c r="D6" s="773" t="s">
        <v>454</v>
      </c>
      <c r="E6" s="773" t="s">
        <v>455</v>
      </c>
      <c r="F6" s="773"/>
      <c r="G6" s="785" t="s">
        <v>455</v>
      </c>
      <c r="H6" s="773" t="s">
        <v>454</v>
      </c>
      <c r="I6" s="773" t="s">
        <v>456</v>
      </c>
      <c r="J6" s="785" t="s">
        <v>455</v>
      </c>
      <c r="K6" s="773" t="s">
        <v>454</v>
      </c>
      <c r="L6" s="773" t="s">
        <v>455</v>
      </c>
      <c r="M6" s="773"/>
      <c r="N6" s="773"/>
      <c r="O6" s="786"/>
      <c r="P6" s="773"/>
      <c r="Q6" s="773"/>
      <c r="R6" s="773"/>
      <c r="S6" s="773"/>
    </row>
    <row r="7" spans="1:19">
      <c r="A7" s="788"/>
      <c r="B7" s="773" t="s">
        <v>457</v>
      </c>
      <c r="C7" s="785" t="s">
        <v>459</v>
      </c>
      <c r="D7" s="773" t="s">
        <v>459</v>
      </c>
      <c r="E7" s="773" t="s">
        <v>459</v>
      </c>
      <c r="F7" s="773"/>
      <c r="G7" s="785" t="s">
        <v>459</v>
      </c>
      <c r="H7" s="773" t="s">
        <v>459</v>
      </c>
      <c r="I7" s="773" t="s">
        <v>459</v>
      </c>
      <c r="J7" s="785" t="s">
        <v>459</v>
      </c>
      <c r="K7" s="773" t="s">
        <v>459</v>
      </c>
      <c r="L7" s="773" t="s">
        <v>459</v>
      </c>
      <c r="M7" s="773"/>
      <c r="N7" s="773"/>
      <c r="O7" s="786"/>
      <c r="P7" s="773"/>
      <c r="Q7" s="773"/>
      <c r="R7" s="773"/>
      <c r="S7" s="773"/>
    </row>
    <row r="8" spans="1:19" ht="28.8">
      <c r="A8" s="782"/>
      <c r="B8" s="783" t="s">
        <v>448</v>
      </c>
      <c r="C8" s="783" t="s">
        <v>449</v>
      </c>
      <c r="D8" s="784" t="s">
        <v>450</v>
      </c>
      <c r="E8" s="783" t="s">
        <v>451</v>
      </c>
      <c r="F8" s="785"/>
      <c r="G8" s="783" t="s">
        <v>449</v>
      </c>
      <c r="H8" s="784" t="s">
        <v>450</v>
      </c>
      <c r="I8" s="785" t="s">
        <v>451</v>
      </c>
      <c r="J8" s="783" t="s">
        <v>449</v>
      </c>
      <c r="K8" s="784" t="s">
        <v>450</v>
      </c>
      <c r="L8" s="785" t="s">
        <v>451</v>
      </c>
      <c r="M8" s="785"/>
      <c r="N8" s="785"/>
      <c r="O8" s="786"/>
      <c r="P8" s="785"/>
      <c r="Q8" s="785"/>
      <c r="R8" s="785"/>
      <c r="S8" s="785"/>
    </row>
    <row r="9" spans="1:19" ht="26.4" customHeight="1">
      <c r="A9" s="787" t="s">
        <v>146</v>
      </c>
      <c r="B9" s="785" t="s">
        <v>460</v>
      </c>
      <c r="C9" s="785" t="s">
        <v>455</v>
      </c>
      <c r="D9" s="773" t="s">
        <v>454</v>
      </c>
      <c r="E9" s="785" t="s">
        <v>455</v>
      </c>
      <c r="F9" s="785"/>
      <c r="G9" s="785" t="s">
        <v>455</v>
      </c>
      <c r="H9" s="773" t="s">
        <v>454</v>
      </c>
      <c r="I9" s="785" t="s">
        <v>456</v>
      </c>
      <c r="J9" s="785" t="s">
        <v>455</v>
      </c>
      <c r="K9" s="773" t="s">
        <v>454</v>
      </c>
      <c r="L9" s="785" t="s">
        <v>455</v>
      </c>
      <c r="M9" s="785"/>
      <c r="N9" s="785"/>
      <c r="O9" s="786"/>
      <c r="P9" s="785"/>
      <c r="Q9" s="785"/>
      <c r="R9" s="785"/>
      <c r="S9" s="785"/>
    </row>
    <row r="10" spans="1:19">
      <c r="A10" s="788"/>
      <c r="B10" s="785" t="s">
        <v>457</v>
      </c>
      <c r="C10" s="785" t="s">
        <v>459</v>
      </c>
      <c r="D10" s="773" t="s">
        <v>459</v>
      </c>
      <c r="E10" s="785" t="s">
        <v>459</v>
      </c>
      <c r="F10" s="785"/>
      <c r="G10" s="785" t="s">
        <v>459</v>
      </c>
      <c r="H10" s="773" t="s">
        <v>459</v>
      </c>
      <c r="I10" s="785" t="s">
        <v>459</v>
      </c>
      <c r="J10" s="785" t="s">
        <v>459</v>
      </c>
      <c r="K10" s="773" t="s">
        <v>459</v>
      </c>
      <c r="L10" s="785" t="s">
        <v>459</v>
      </c>
      <c r="M10" s="785"/>
      <c r="N10" s="785"/>
      <c r="O10" s="786"/>
      <c r="P10" s="785"/>
      <c r="Q10" s="785"/>
      <c r="R10" s="785"/>
      <c r="S10" s="785"/>
    </row>
    <row r="11" spans="1:19" ht="28.8">
      <c r="A11" s="782"/>
      <c r="B11" s="784" t="s">
        <v>448</v>
      </c>
      <c r="C11" s="794" t="s">
        <v>449</v>
      </c>
      <c r="D11" s="784"/>
      <c r="E11" s="784" t="s">
        <v>451</v>
      </c>
      <c r="F11" s="773"/>
      <c r="G11" s="783" t="s">
        <v>449</v>
      </c>
      <c r="H11" s="784"/>
      <c r="I11" s="784" t="s">
        <v>451</v>
      </c>
      <c r="J11" s="783" t="s">
        <v>449</v>
      </c>
      <c r="K11" s="784"/>
      <c r="L11" s="784" t="s">
        <v>451</v>
      </c>
      <c r="M11" s="784"/>
      <c r="N11" s="773"/>
      <c r="O11" s="786"/>
      <c r="P11" s="773"/>
      <c r="Q11" s="773"/>
      <c r="R11" s="773"/>
      <c r="S11" s="773"/>
    </row>
    <row r="12" spans="1:19" ht="28.8">
      <c r="A12" s="787" t="s">
        <v>148</v>
      </c>
      <c r="B12" s="773" t="s">
        <v>460</v>
      </c>
      <c r="C12" s="794" t="s">
        <v>461</v>
      </c>
      <c r="D12" s="773"/>
      <c r="E12" s="773" t="s">
        <v>455</v>
      </c>
      <c r="F12" s="773"/>
      <c r="G12" s="785" t="s">
        <v>455</v>
      </c>
      <c r="H12" s="773"/>
      <c r="I12" s="773" t="s">
        <v>456</v>
      </c>
      <c r="J12" s="785" t="s">
        <v>455</v>
      </c>
      <c r="K12" s="773"/>
      <c r="L12" s="773" t="s">
        <v>455</v>
      </c>
      <c r="M12" s="773"/>
      <c r="N12" s="773"/>
      <c r="O12" s="786"/>
      <c r="P12" s="773"/>
      <c r="Q12" s="773"/>
      <c r="R12" s="773"/>
      <c r="S12" s="773"/>
    </row>
    <row r="13" spans="1:19">
      <c r="A13" s="788"/>
      <c r="B13" s="773" t="s">
        <v>457</v>
      </c>
      <c r="C13" s="795" t="s">
        <v>462</v>
      </c>
      <c r="D13" s="773"/>
      <c r="E13" s="773" t="s">
        <v>459</v>
      </c>
      <c r="F13" s="773"/>
      <c r="G13" s="785" t="s">
        <v>459</v>
      </c>
      <c r="H13" s="773"/>
      <c r="I13" s="773" t="s">
        <v>459</v>
      </c>
      <c r="J13" s="785" t="s">
        <v>459</v>
      </c>
      <c r="K13" s="773"/>
      <c r="L13" s="773" t="s">
        <v>459</v>
      </c>
      <c r="M13" s="773"/>
      <c r="N13" s="773"/>
      <c r="O13" s="786"/>
      <c r="P13" s="773"/>
      <c r="Q13" s="773"/>
      <c r="R13" s="773"/>
      <c r="S13" s="773"/>
    </row>
    <row r="14" spans="1:19" ht="28.8">
      <c r="A14" s="782"/>
      <c r="B14" s="783" t="s">
        <v>448</v>
      </c>
      <c r="C14" s="789"/>
      <c r="D14" s="784"/>
      <c r="E14" s="784"/>
      <c r="F14" s="785"/>
      <c r="G14" s="785"/>
      <c r="H14" s="784"/>
      <c r="I14" s="784"/>
      <c r="J14" s="785"/>
      <c r="K14" s="784"/>
      <c r="L14" s="785"/>
      <c r="M14" s="784"/>
      <c r="N14" s="785"/>
      <c r="O14" s="786"/>
      <c r="P14" s="785"/>
      <c r="Q14" s="785"/>
      <c r="R14" s="785"/>
      <c r="S14" s="785"/>
    </row>
    <row r="15" spans="1:19">
      <c r="A15" s="787" t="s">
        <v>170</v>
      </c>
      <c r="B15" s="785" t="s">
        <v>460</v>
      </c>
      <c r="C15" s="785"/>
      <c r="D15" s="773"/>
      <c r="E15" s="773"/>
      <c r="F15" s="785"/>
      <c r="G15" s="785"/>
      <c r="H15" s="773"/>
      <c r="I15" s="773"/>
      <c r="J15" s="785"/>
      <c r="K15" s="773"/>
      <c r="L15" s="785"/>
      <c r="M15" s="773"/>
      <c r="N15" s="785"/>
      <c r="O15" s="786"/>
      <c r="P15" s="785"/>
      <c r="Q15" s="785"/>
      <c r="R15" s="785"/>
      <c r="S15" s="785"/>
    </row>
    <row r="16" spans="1:19">
      <c r="A16" s="788"/>
      <c r="B16" s="785" t="s">
        <v>457</v>
      </c>
      <c r="C16" s="785"/>
      <c r="D16" s="773"/>
      <c r="E16" s="773"/>
      <c r="F16" s="785"/>
      <c r="G16" s="785"/>
      <c r="H16" s="773"/>
      <c r="I16" s="773"/>
      <c r="J16" s="785"/>
      <c r="K16" s="773"/>
      <c r="L16" s="785"/>
      <c r="M16" s="773"/>
      <c r="N16" s="785"/>
      <c r="O16" s="786"/>
      <c r="P16" s="785"/>
      <c r="Q16" s="785"/>
      <c r="R16" s="785"/>
      <c r="S16" s="785"/>
    </row>
    <row r="17" spans="1:19" ht="28.8">
      <c r="A17" s="782"/>
      <c r="B17" s="784" t="s">
        <v>448</v>
      </c>
      <c r="C17" s="784"/>
      <c r="D17" s="784"/>
      <c r="E17" s="784"/>
      <c r="F17" s="773"/>
      <c r="G17" s="773"/>
      <c r="H17" s="784"/>
      <c r="I17" s="784"/>
      <c r="J17" s="773"/>
      <c r="K17" s="784"/>
      <c r="L17" s="784"/>
      <c r="M17" s="773"/>
      <c r="N17" s="773"/>
      <c r="O17" s="786"/>
      <c r="P17" s="773"/>
      <c r="Q17" s="773"/>
      <c r="R17" s="773"/>
      <c r="S17" s="773"/>
    </row>
    <row r="18" spans="1:19">
      <c r="A18" s="787" t="s">
        <v>463</v>
      </c>
      <c r="B18" s="773" t="s">
        <v>460</v>
      </c>
      <c r="C18" s="773"/>
      <c r="D18" s="773"/>
      <c r="E18" s="773"/>
      <c r="F18" s="773"/>
      <c r="G18" s="773"/>
      <c r="H18" s="773"/>
      <c r="I18" s="773"/>
      <c r="J18" s="773"/>
      <c r="K18" s="773"/>
      <c r="L18" s="773"/>
      <c r="M18" s="773"/>
      <c r="N18" s="773"/>
      <c r="O18" s="786"/>
      <c r="P18" s="773"/>
      <c r="Q18" s="773"/>
      <c r="R18" s="773"/>
      <c r="S18" s="773"/>
    </row>
    <row r="19" spans="1:19">
      <c r="A19" s="788"/>
      <c r="B19" s="773" t="s">
        <v>457</v>
      </c>
      <c r="C19" s="773"/>
      <c r="D19" s="773"/>
      <c r="E19" s="773"/>
      <c r="F19" s="773"/>
      <c r="G19" s="773"/>
      <c r="H19" s="773"/>
      <c r="I19" s="773"/>
      <c r="J19" s="773"/>
      <c r="K19" s="773"/>
      <c r="L19" s="773"/>
      <c r="M19" s="773"/>
      <c r="N19" s="773"/>
      <c r="O19" s="786"/>
      <c r="P19" s="773"/>
      <c r="Q19" s="773"/>
      <c r="R19" s="773"/>
      <c r="S19" s="773"/>
    </row>
    <row r="20" spans="1:19" ht="28.8">
      <c r="A20" s="782"/>
      <c r="B20" s="783" t="s">
        <v>448</v>
      </c>
      <c r="C20" s="783"/>
      <c r="D20" s="783"/>
      <c r="E20" s="784"/>
      <c r="F20" s="785"/>
      <c r="G20" s="785"/>
      <c r="H20" s="785"/>
      <c r="I20" s="784"/>
      <c r="J20" s="785"/>
      <c r="K20" s="785"/>
      <c r="L20" s="784"/>
      <c r="M20" s="785"/>
      <c r="N20" s="785"/>
      <c r="O20" s="786"/>
      <c r="P20" s="785"/>
      <c r="Q20" s="785"/>
      <c r="R20" s="785"/>
      <c r="S20" s="785"/>
    </row>
    <row r="21" spans="1:19">
      <c r="A21" s="787" t="s">
        <v>464</v>
      </c>
      <c r="B21" s="785" t="s">
        <v>460</v>
      </c>
      <c r="C21" s="785"/>
      <c r="D21" s="785"/>
      <c r="E21" s="773"/>
      <c r="F21" s="785"/>
      <c r="G21" s="785"/>
      <c r="H21" s="785"/>
      <c r="I21" s="773"/>
      <c r="J21" s="785"/>
      <c r="K21" s="785"/>
      <c r="L21" s="773"/>
      <c r="M21" s="785"/>
      <c r="N21" s="785"/>
      <c r="O21" s="786"/>
      <c r="P21" s="785"/>
      <c r="Q21" s="785"/>
      <c r="R21" s="785"/>
      <c r="S21" s="785"/>
    </row>
    <row r="22" spans="1:19">
      <c r="A22" s="787"/>
      <c r="B22" s="785"/>
      <c r="C22" s="785"/>
      <c r="D22" s="785"/>
      <c r="E22" s="773"/>
      <c r="F22" s="785"/>
      <c r="G22" s="785"/>
      <c r="H22" s="785"/>
      <c r="I22" s="773"/>
      <c r="J22" s="785"/>
      <c r="K22" s="785"/>
      <c r="L22" s="773"/>
      <c r="M22" s="785"/>
      <c r="N22" s="785"/>
      <c r="O22" s="786"/>
      <c r="P22" s="785"/>
      <c r="Q22" s="785"/>
      <c r="R22" s="785"/>
      <c r="S22" s="785"/>
    </row>
    <row r="23" spans="1:19">
      <c r="A23" s="788"/>
      <c r="B23" s="785" t="s">
        <v>457</v>
      </c>
      <c r="C23" s="785"/>
      <c r="D23" s="785"/>
      <c r="E23" s="773"/>
      <c r="F23" s="785"/>
      <c r="G23" s="785"/>
      <c r="H23" s="785"/>
      <c r="I23" s="773"/>
      <c r="J23" s="785"/>
      <c r="K23" s="785"/>
      <c r="L23" s="773"/>
      <c r="M23" s="785"/>
      <c r="N23" s="785"/>
      <c r="O23" s="786"/>
      <c r="P23" s="785"/>
      <c r="Q23" s="785"/>
      <c r="R23" s="785"/>
      <c r="S23" s="785"/>
    </row>
    <row r="24" spans="1:19" ht="28.8">
      <c r="A24" s="782"/>
      <c r="B24" s="784" t="s">
        <v>448</v>
      </c>
      <c r="C24" s="784"/>
      <c r="D24" s="784"/>
      <c r="E24" s="783"/>
      <c r="F24" s="773"/>
      <c r="G24" s="773"/>
      <c r="H24" s="784"/>
      <c r="I24" s="783"/>
      <c r="J24" s="773"/>
      <c r="K24" s="773"/>
      <c r="L24" s="783"/>
      <c r="M24" s="773"/>
      <c r="N24" s="773"/>
      <c r="O24" s="786"/>
      <c r="P24" s="773"/>
      <c r="Q24" s="773"/>
      <c r="R24" s="773"/>
      <c r="S24" s="773"/>
    </row>
    <row r="25" spans="1:19">
      <c r="A25" s="787" t="s">
        <v>465</v>
      </c>
      <c r="B25" s="773" t="s">
        <v>460</v>
      </c>
      <c r="C25" s="773"/>
      <c r="D25" s="773"/>
      <c r="E25" s="773"/>
      <c r="F25" s="773"/>
      <c r="G25" s="773"/>
      <c r="H25" s="773"/>
      <c r="I25" s="773"/>
      <c r="J25" s="773"/>
      <c r="K25" s="773"/>
      <c r="L25" s="773"/>
      <c r="M25" s="773"/>
      <c r="N25" s="773"/>
      <c r="O25" s="786"/>
      <c r="P25" s="773"/>
      <c r="Q25" s="773"/>
      <c r="R25" s="773"/>
      <c r="S25" s="773"/>
    </row>
    <row r="26" spans="1:19">
      <c r="A26" s="788"/>
      <c r="B26" s="773" t="s">
        <v>457</v>
      </c>
      <c r="C26" s="773"/>
      <c r="D26" s="773"/>
      <c r="E26" s="773"/>
      <c r="F26" s="773"/>
      <c r="G26" s="773"/>
      <c r="H26" s="773"/>
      <c r="I26" s="773"/>
      <c r="J26" s="773"/>
      <c r="K26" s="773"/>
      <c r="L26" s="773"/>
      <c r="M26" s="773"/>
      <c r="N26" s="773"/>
      <c r="O26" s="786"/>
      <c r="P26" s="773"/>
      <c r="Q26" s="773"/>
      <c r="R26" s="773"/>
      <c r="S26" s="773"/>
    </row>
    <row r="27" spans="1:19" ht="28.8">
      <c r="A27" s="782"/>
      <c r="B27" s="783" t="s">
        <v>448</v>
      </c>
      <c r="C27" s="784"/>
      <c r="D27" s="783"/>
      <c r="E27" s="783"/>
      <c r="F27" s="785"/>
      <c r="G27" s="785"/>
      <c r="H27" s="783"/>
      <c r="I27" s="783"/>
      <c r="J27" s="785"/>
      <c r="K27" s="783"/>
      <c r="L27" s="783"/>
      <c r="M27" s="785"/>
      <c r="N27" s="785"/>
      <c r="O27" s="786"/>
      <c r="P27" s="785"/>
      <c r="Q27" s="785"/>
      <c r="R27" s="785"/>
      <c r="S27" s="785"/>
    </row>
    <row r="28" spans="1:19">
      <c r="A28" s="787" t="s">
        <v>466</v>
      </c>
      <c r="B28" s="785" t="s">
        <v>460</v>
      </c>
      <c r="C28" s="773"/>
      <c r="D28" s="785"/>
      <c r="E28" s="773"/>
      <c r="F28" s="785"/>
      <c r="G28" s="785"/>
      <c r="H28" s="785"/>
      <c r="I28" s="773"/>
      <c r="J28" s="785"/>
      <c r="K28" s="785"/>
      <c r="L28" s="773"/>
      <c r="M28" s="785"/>
      <c r="N28" s="785"/>
      <c r="O28" s="786"/>
      <c r="P28" s="785"/>
      <c r="Q28" s="785"/>
      <c r="R28" s="785"/>
      <c r="S28" s="785"/>
    </row>
    <row r="29" spans="1:19">
      <c r="A29" s="788"/>
      <c r="B29" s="785" t="s">
        <v>457</v>
      </c>
      <c r="C29" s="773"/>
      <c r="D29" s="785"/>
      <c r="E29" s="773"/>
      <c r="F29" s="785"/>
      <c r="G29" s="785"/>
      <c r="H29" s="785"/>
      <c r="I29" s="773"/>
      <c r="J29" s="785"/>
      <c r="K29" s="785"/>
      <c r="L29" s="773"/>
      <c r="M29" s="785"/>
      <c r="N29" s="785"/>
      <c r="O29" s="786"/>
      <c r="P29" s="785"/>
      <c r="Q29" s="785"/>
      <c r="R29" s="785"/>
      <c r="S29" s="785"/>
    </row>
    <row r="30" spans="1:19" ht="28.8">
      <c r="A30" s="782"/>
      <c r="B30" s="784" t="s">
        <v>448</v>
      </c>
      <c r="C30" s="784"/>
      <c r="D30" s="784"/>
      <c r="E30" s="783"/>
      <c r="F30" s="773"/>
      <c r="G30" s="784"/>
      <c r="H30" s="784"/>
      <c r="I30" s="783"/>
      <c r="J30" s="773"/>
      <c r="K30" s="784"/>
      <c r="L30" s="783"/>
      <c r="M30" s="773"/>
      <c r="N30" s="773"/>
      <c r="O30" s="786"/>
      <c r="P30" s="773"/>
      <c r="Q30" s="773"/>
      <c r="R30" s="773"/>
      <c r="S30" s="773"/>
    </row>
    <row r="31" spans="1:19">
      <c r="A31" s="787" t="s">
        <v>467</v>
      </c>
      <c r="B31" s="773" t="s">
        <v>460</v>
      </c>
      <c r="C31" s="773"/>
      <c r="D31" s="773"/>
      <c r="E31" s="773"/>
      <c r="F31" s="773"/>
      <c r="G31" s="773"/>
      <c r="H31" s="773"/>
      <c r="I31" s="773"/>
      <c r="J31" s="773"/>
      <c r="K31" s="773"/>
      <c r="L31" s="773"/>
      <c r="M31" s="773"/>
      <c r="N31" s="773"/>
      <c r="O31" s="786"/>
      <c r="P31" s="773"/>
      <c r="Q31" s="773"/>
      <c r="R31" s="773"/>
      <c r="S31" s="773"/>
    </row>
    <row r="32" spans="1:19">
      <c r="A32" s="788"/>
      <c r="B32" s="773" t="s">
        <v>457</v>
      </c>
      <c r="C32" s="773"/>
      <c r="D32" s="773"/>
      <c r="E32" s="773"/>
      <c r="F32" s="773"/>
      <c r="G32" s="773"/>
      <c r="H32" s="773"/>
      <c r="I32" s="773"/>
      <c r="J32" s="773"/>
      <c r="K32" s="773"/>
      <c r="L32" s="773"/>
      <c r="M32" s="773"/>
      <c r="N32" s="773"/>
      <c r="O32" s="786"/>
      <c r="P32" s="773"/>
      <c r="Q32" s="773"/>
      <c r="R32" s="773"/>
      <c r="S32" s="773"/>
    </row>
    <row r="33" spans="1:19" ht="28.8">
      <c r="A33" s="790" t="s">
        <v>468</v>
      </c>
      <c r="B33" s="783" t="s">
        <v>448</v>
      </c>
      <c r="C33" s="784"/>
      <c r="D33" s="784"/>
      <c r="E33" s="783"/>
      <c r="F33" s="785"/>
      <c r="G33" s="785"/>
      <c r="H33" s="784"/>
      <c r="I33" s="783"/>
      <c r="J33" s="785"/>
      <c r="K33" s="784"/>
      <c r="L33" s="783"/>
      <c r="M33" s="785"/>
      <c r="N33" s="785"/>
      <c r="O33" s="786"/>
      <c r="P33" s="785"/>
      <c r="Q33" s="785"/>
      <c r="R33" s="785"/>
      <c r="S33" s="785"/>
    </row>
    <row r="34" spans="1:19">
      <c r="A34" s="791"/>
      <c r="B34" s="785" t="s">
        <v>460</v>
      </c>
      <c r="C34" s="773"/>
      <c r="D34" s="773"/>
      <c r="E34" s="773"/>
      <c r="F34" s="785"/>
      <c r="G34" s="785"/>
      <c r="H34" s="773"/>
      <c r="I34" s="773"/>
      <c r="J34" s="785"/>
      <c r="K34" s="773"/>
      <c r="L34" s="773"/>
      <c r="M34" s="785"/>
      <c r="N34" s="785"/>
      <c r="O34" s="786"/>
      <c r="P34" s="785"/>
      <c r="Q34" s="785"/>
      <c r="R34" s="785"/>
      <c r="S34" s="785"/>
    </row>
    <row r="35" spans="1:19">
      <c r="A35" s="792"/>
      <c r="B35" s="785" t="s">
        <v>457</v>
      </c>
      <c r="C35" s="773"/>
      <c r="D35" s="773"/>
      <c r="E35" s="773"/>
      <c r="F35" s="785"/>
      <c r="G35" s="785"/>
      <c r="H35" s="773"/>
      <c r="I35" s="773"/>
      <c r="J35" s="785"/>
      <c r="K35" s="773"/>
      <c r="L35" s="773"/>
      <c r="M35" s="785"/>
      <c r="N35" s="785"/>
      <c r="O35" s="786"/>
      <c r="P35" s="785"/>
      <c r="Q35" s="785"/>
      <c r="R35" s="785"/>
      <c r="S35" s="785"/>
    </row>
    <row r="36" spans="1:19" ht="28.8">
      <c r="A36" s="790" t="s">
        <v>469</v>
      </c>
      <c r="B36" s="784" t="s">
        <v>448</v>
      </c>
      <c r="C36" s="784"/>
      <c r="D36" s="784"/>
      <c r="E36" s="784"/>
      <c r="F36" s="773"/>
      <c r="G36" s="785"/>
      <c r="H36" s="784"/>
      <c r="I36" s="773"/>
      <c r="J36" s="773"/>
      <c r="K36" s="784"/>
      <c r="L36" s="773"/>
      <c r="M36" s="773"/>
      <c r="N36" s="773"/>
      <c r="O36" s="786"/>
      <c r="P36" s="773"/>
      <c r="Q36" s="773"/>
      <c r="R36" s="773"/>
      <c r="S36" s="773"/>
    </row>
    <row r="37" spans="1:19">
      <c r="A37" s="791"/>
      <c r="B37" s="773" t="s">
        <v>460</v>
      </c>
      <c r="C37" s="773"/>
      <c r="D37" s="773"/>
      <c r="E37" s="773"/>
      <c r="F37" s="773"/>
      <c r="G37" s="785"/>
      <c r="H37" s="773"/>
      <c r="I37" s="773"/>
      <c r="J37" s="773"/>
      <c r="K37" s="773"/>
      <c r="L37" s="773"/>
      <c r="M37" s="773"/>
      <c r="N37" s="773"/>
      <c r="O37" s="786"/>
      <c r="P37" s="773"/>
      <c r="Q37" s="773"/>
      <c r="R37" s="773"/>
      <c r="S37" s="773"/>
    </row>
    <row r="38" spans="1:19">
      <c r="A38" s="792"/>
      <c r="B38" s="773" t="s">
        <v>457</v>
      </c>
      <c r="C38" s="773"/>
      <c r="D38" s="773"/>
      <c r="E38" s="773"/>
      <c r="F38" s="773"/>
      <c r="G38" s="785"/>
      <c r="H38" s="773"/>
      <c r="I38" s="773"/>
      <c r="J38" s="773"/>
      <c r="K38" s="773"/>
      <c r="L38" s="773"/>
      <c r="M38" s="773"/>
      <c r="N38" s="773"/>
      <c r="O38" s="786"/>
      <c r="P38" s="773"/>
      <c r="Q38" s="773"/>
      <c r="R38" s="773"/>
      <c r="S38" s="773"/>
    </row>
    <row r="39" spans="1:19" ht="28.8">
      <c r="A39" s="790" t="s">
        <v>470</v>
      </c>
      <c r="B39" s="783" t="s">
        <v>448</v>
      </c>
      <c r="C39" s="783"/>
      <c r="D39" s="784"/>
      <c r="E39" s="783"/>
      <c r="F39" s="785"/>
      <c r="G39" s="785"/>
      <c r="H39" s="784"/>
      <c r="I39" s="783"/>
      <c r="J39" s="785"/>
      <c r="K39" s="784"/>
      <c r="L39" s="783"/>
      <c r="M39" s="785"/>
      <c r="N39" s="785"/>
      <c r="O39" s="786"/>
      <c r="P39" s="785"/>
      <c r="Q39" s="785"/>
      <c r="R39" s="785"/>
      <c r="S39" s="785"/>
    </row>
    <row r="40" spans="1:19">
      <c r="A40" s="791"/>
      <c r="B40" s="785" t="s">
        <v>460</v>
      </c>
      <c r="C40" s="785"/>
      <c r="D40" s="773"/>
      <c r="E40" s="773"/>
      <c r="F40" s="785"/>
      <c r="G40" s="785"/>
      <c r="H40" s="773"/>
      <c r="I40" s="773"/>
      <c r="J40" s="785"/>
      <c r="K40" s="773"/>
      <c r="L40" s="773"/>
      <c r="M40" s="785"/>
      <c r="N40" s="785"/>
      <c r="O40" s="786"/>
      <c r="P40" s="785"/>
      <c r="Q40" s="785"/>
      <c r="R40" s="785"/>
      <c r="S40" s="785"/>
    </row>
    <row r="41" spans="1:19">
      <c r="A41" s="792"/>
      <c r="B41" s="785" t="s">
        <v>457</v>
      </c>
      <c r="C41" s="785"/>
      <c r="D41" s="773"/>
      <c r="E41" s="773"/>
      <c r="F41" s="785"/>
      <c r="G41" s="785"/>
      <c r="H41" s="773"/>
      <c r="I41" s="773"/>
      <c r="J41" s="785"/>
      <c r="K41" s="773"/>
      <c r="L41" s="773"/>
      <c r="M41" s="785"/>
      <c r="N41" s="785"/>
      <c r="O41" s="786"/>
      <c r="P41" s="785"/>
      <c r="Q41" s="785"/>
      <c r="R41" s="785"/>
      <c r="S41" s="785"/>
    </row>
    <row r="42" spans="1:19" ht="28.8">
      <c r="A42" s="790" t="s">
        <v>471</v>
      </c>
      <c r="B42" s="784" t="s">
        <v>448</v>
      </c>
      <c r="C42" s="784"/>
      <c r="D42" s="784"/>
      <c r="E42" s="783"/>
      <c r="F42" s="773"/>
      <c r="G42" s="784"/>
      <c r="H42" s="784"/>
      <c r="I42" s="783"/>
      <c r="J42" s="784"/>
      <c r="K42" s="784"/>
      <c r="L42" s="783"/>
      <c r="M42" s="773"/>
      <c r="N42" s="773"/>
      <c r="O42" s="786"/>
      <c r="P42" s="773"/>
      <c r="Q42" s="773"/>
      <c r="R42" s="773"/>
      <c r="S42" s="773"/>
    </row>
    <row r="43" spans="1:19">
      <c r="A43" s="791"/>
      <c r="B43" s="773" t="s">
        <v>460</v>
      </c>
      <c r="C43" s="773"/>
      <c r="D43" s="773"/>
      <c r="E43" s="773"/>
      <c r="F43" s="773"/>
      <c r="G43" s="773"/>
      <c r="H43" s="773"/>
      <c r="I43" s="773"/>
      <c r="J43" s="773"/>
      <c r="K43" s="773"/>
      <c r="L43" s="773"/>
      <c r="M43" s="773"/>
      <c r="N43" s="773"/>
      <c r="O43" s="786"/>
      <c r="P43" s="773"/>
      <c r="Q43" s="773"/>
      <c r="R43" s="773"/>
      <c r="S43" s="773"/>
    </row>
    <row r="44" spans="1:19">
      <c r="A44" s="792"/>
      <c r="B44" s="773" t="s">
        <v>457</v>
      </c>
      <c r="C44" s="773"/>
      <c r="D44" s="773"/>
      <c r="E44" s="773"/>
      <c r="F44" s="773"/>
      <c r="G44" s="773"/>
      <c r="H44" s="773"/>
      <c r="I44" s="773"/>
      <c r="J44" s="773"/>
      <c r="K44" s="773"/>
      <c r="L44" s="773"/>
      <c r="M44" s="773"/>
      <c r="N44" s="773"/>
      <c r="O44" s="786"/>
      <c r="P44" s="773"/>
      <c r="Q44" s="773"/>
      <c r="R44" s="773"/>
      <c r="S44" s="773"/>
    </row>
    <row r="45" spans="1:19" ht="28.8">
      <c r="A45" s="790" t="s">
        <v>472</v>
      </c>
      <c r="B45" s="783" t="s">
        <v>448</v>
      </c>
      <c r="C45" s="783"/>
      <c r="D45" s="783"/>
      <c r="E45" s="784"/>
      <c r="F45" s="785"/>
      <c r="G45" s="783"/>
      <c r="H45" s="783"/>
      <c r="I45" s="784"/>
      <c r="J45" s="783"/>
      <c r="K45" s="783"/>
      <c r="L45" s="785"/>
      <c r="M45" s="784"/>
      <c r="N45" s="785"/>
      <c r="O45" s="786"/>
      <c r="P45" s="785"/>
      <c r="Q45" s="785"/>
      <c r="R45" s="785"/>
      <c r="S45" s="785"/>
    </row>
    <row r="46" spans="1:19">
      <c r="A46" s="791"/>
      <c r="B46" s="785" t="s">
        <v>460</v>
      </c>
      <c r="C46" s="773"/>
      <c r="D46" s="785"/>
      <c r="E46" s="773"/>
      <c r="F46" s="785"/>
      <c r="G46" s="773"/>
      <c r="H46" s="785"/>
      <c r="I46" s="773"/>
      <c r="J46" s="773"/>
      <c r="K46" s="785"/>
      <c r="L46" s="785"/>
      <c r="M46" s="773"/>
      <c r="N46" s="785"/>
      <c r="O46" s="786"/>
      <c r="P46" s="785"/>
      <c r="Q46" s="785"/>
      <c r="R46" s="785"/>
      <c r="S46" s="785"/>
    </row>
    <row r="47" spans="1:19">
      <c r="A47" s="792"/>
      <c r="B47" s="785" t="s">
        <v>457</v>
      </c>
      <c r="C47" s="773"/>
      <c r="D47" s="785"/>
      <c r="E47" s="773"/>
      <c r="F47" s="785"/>
      <c r="G47" s="773"/>
      <c r="H47" s="785"/>
      <c r="I47" s="773"/>
      <c r="J47" s="773"/>
      <c r="K47" s="785"/>
      <c r="L47" s="785"/>
      <c r="M47" s="773"/>
      <c r="N47" s="785"/>
      <c r="O47" s="786"/>
      <c r="P47" s="785"/>
      <c r="Q47" s="785"/>
      <c r="R47" s="785"/>
      <c r="S47" s="785"/>
    </row>
    <row r="48" spans="1:19" ht="28.8">
      <c r="A48" s="790" t="s">
        <v>473</v>
      </c>
      <c r="B48" s="784" t="s">
        <v>448</v>
      </c>
      <c r="C48" s="783"/>
      <c r="D48" s="784"/>
      <c r="E48" s="784"/>
      <c r="F48" s="773"/>
      <c r="G48" s="783"/>
      <c r="H48" s="784"/>
      <c r="I48" s="784"/>
      <c r="J48" s="783"/>
      <c r="K48" s="784"/>
      <c r="L48" s="773"/>
      <c r="M48" s="784"/>
      <c r="N48" s="773"/>
      <c r="O48" s="786"/>
      <c r="P48" s="773"/>
      <c r="Q48" s="773"/>
      <c r="R48" s="773"/>
      <c r="S48" s="773"/>
    </row>
    <row r="49" spans="1:19">
      <c r="A49" s="791"/>
      <c r="B49" s="773" t="s">
        <v>460</v>
      </c>
      <c r="C49" s="773"/>
      <c r="D49" s="773"/>
      <c r="E49" s="773"/>
      <c r="F49" s="773"/>
      <c r="G49" s="773"/>
      <c r="H49" s="773"/>
      <c r="I49" s="773"/>
      <c r="J49" s="773"/>
      <c r="K49" s="773"/>
      <c r="L49" s="773"/>
      <c r="M49" s="773"/>
      <c r="N49" s="773"/>
      <c r="O49" s="786"/>
      <c r="P49" s="773"/>
      <c r="Q49" s="773"/>
      <c r="R49" s="773"/>
      <c r="S49" s="773"/>
    </row>
    <row r="50" spans="1:19">
      <c r="A50" s="792"/>
      <c r="B50" s="773" t="s">
        <v>457</v>
      </c>
      <c r="C50" s="773"/>
      <c r="D50" s="773"/>
      <c r="E50" s="773"/>
      <c r="F50" s="773"/>
      <c r="G50" s="773"/>
      <c r="H50" s="773"/>
      <c r="I50" s="773"/>
      <c r="J50" s="773"/>
      <c r="K50" s="773"/>
      <c r="L50" s="773"/>
      <c r="M50" s="773"/>
      <c r="N50" s="773"/>
      <c r="O50" s="786"/>
      <c r="P50" s="773"/>
      <c r="Q50" s="773"/>
      <c r="R50" s="773"/>
      <c r="S50" s="773"/>
    </row>
    <row r="51" spans="1:19" ht="28.8">
      <c r="A51" s="790" t="s">
        <v>474</v>
      </c>
      <c r="B51" s="783" t="s">
        <v>448</v>
      </c>
      <c r="C51" s="783"/>
      <c r="D51" s="783"/>
      <c r="E51" s="784"/>
      <c r="F51" s="785"/>
      <c r="G51" s="783"/>
      <c r="H51" s="783"/>
      <c r="I51" s="784"/>
      <c r="J51" s="783"/>
      <c r="K51" s="783"/>
      <c r="L51" s="784"/>
      <c r="M51" s="784"/>
      <c r="N51" s="785"/>
      <c r="O51" s="786"/>
      <c r="P51" s="785"/>
      <c r="Q51" s="785"/>
      <c r="R51" s="785"/>
      <c r="S51" s="785"/>
    </row>
    <row r="52" spans="1:19">
      <c r="A52" s="791"/>
      <c r="B52" s="785" t="s">
        <v>460</v>
      </c>
      <c r="C52" s="773"/>
      <c r="D52" s="785"/>
      <c r="E52" s="773"/>
      <c r="F52" s="785"/>
      <c r="G52" s="773"/>
      <c r="H52" s="785"/>
      <c r="I52" s="773"/>
      <c r="J52" s="773"/>
      <c r="K52" s="785"/>
      <c r="L52" s="773"/>
      <c r="M52" s="773"/>
      <c r="N52" s="785"/>
      <c r="O52" s="786"/>
      <c r="P52" s="785"/>
      <c r="Q52" s="785"/>
      <c r="R52" s="785"/>
      <c r="S52" s="785"/>
    </row>
    <row r="53" spans="1:19">
      <c r="A53" s="792"/>
      <c r="B53" s="785" t="s">
        <v>457</v>
      </c>
      <c r="C53" s="773"/>
      <c r="D53" s="785"/>
      <c r="E53" s="773"/>
      <c r="F53" s="785"/>
      <c r="G53" s="773"/>
      <c r="H53" s="785"/>
      <c r="I53" s="773"/>
      <c r="J53" s="773"/>
      <c r="K53" s="785"/>
      <c r="L53" s="773"/>
      <c r="M53" s="773"/>
      <c r="N53" s="785"/>
      <c r="O53" s="786"/>
      <c r="P53" s="785"/>
      <c r="Q53" s="785"/>
      <c r="R53" s="785"/>
      <c r="S53" s="785"/>
    </row>
    <row r="54" spans="1:19" ht="28.8">
      <c r="A54" s="790" t="s">
        <v>475</v>
      </c>
      <c r="B54" s="784" t="s">
        <v>448</v>
      </c>
      <c r="C54" s="783"/>
      <c r="D54" s="784"/>
      <c r="E54" s="784"/>
      <c r="F54" s="773"/>
      <c r="G54" s="783"/>
      <c r="H54" s="784"/>
      <c r="I54" s="784"/>
      <c r="J54" s="783"/>
      <c r="K54" s="784"/>
      <c r="L54" s="773"/>
      <c r="M54" s="784"/>
      <c r="N54" s="773"/>
      <c r="O54" s="786"/>
      <c r="P54" s="773"/>
      <c r="Q54" s="773"/>
      <c r="R54" s="773"/>
      <c r="S54" s="773"/>
    </row>
    <row r="55" spans="1:19">
      <c r="A55" s="791"/>
      <c r="B55" s="773" t="s">
        <v>460</v>
      </c>
      <c r="C55" s="773"/>
      <c r="D55" s="773"/>
      <c r="E55" s="773"/>
      <c r="F55" s="773"/>
      <c r="G55" s="773"/>
      <c r="H55" s="773"/>
      <c r="I55" s="773"/>
      <c r="J55" s="773"/>
      <c r="K55" s="773"/>
      <c r="L55" s="773"/>
      <c r="M55" s="773"/>
      <c r="N55" s="773"/>
      <c r="O55" s="786"/>
      <c r="P55" s="773"/>
      <c r="Q55" s="773"/>
      <c r="R55" s="773"/>
      <c r="S55" s="773"/>
    </row>
    <row r="56" spans="1:19">
      <c r="A56" s="792"/>
      <c r="B56" s="773" t="s">
        <v>457</v>
      </c>
      <c r="C56" s="773"/>
      <c r="D56" s="773"/>
      <c r="E56" s="773"/>
      <c r="F56" s="773"/>
      <c r="G56" s="773"/>
      <c r="H56" s="773"/>
      <c r="I56" s="773"/>
      <c r="J56" s="773"/>
      <c r="K56" s="773"/>
      <c r="L56" s="773"/>
      <c r="M56" s="773"/>
      <c r="N56" s="773"/>
      <c r="O56" s="786"/>
      <c r="P56" s="773"/>
      <c r="Q56" s="773"/>
      <c r="R56" s="773"/>
      <c r="S56" s="773"/>
    </row>
    <row r="57" spans="1:19" ht="28.8">
      <c r="A57" s="790" t="s">
        <v>476</v>
      </c>
      <c r="B57" s="783" t="s">
        <v>448</v>
      </c>
      <c r="C57" s="783"/>
      <c r="D57" s="783"/>
      <c r="E57" s="783"/>
      <c r="F57" s="785"/>
      <c r="G57" s="783"/>
      <c r="H57" s="785"/>
      <c r="I57" s="785"/>
      <c r="J57" s="783"/>
      <c r="K57" s="785"/>
      <c r="L57" s="785"/>
      <c r="M57" s="785"/>
      <c r="N57" s="785"/>
      <c r="O57" s="786"/>
      <c r="P57" s="785"/>
      <c r="Q57" s="785"/>
      <c r="R57" s="785"/>
      <c r="S57" s="785"/>
    </row>
    <row r="58" spans="1:19">
      <c r="A58" s="791"/>
      <c r="B58" s="785" t="s">
        <v>460</v>
      </c>
      <c r="C58" s="773"/>
      <c r="D58" s="785"/>
      <c r="E58" s="785"/>
      <c r="F58" s="785"/>
      <c r="G58" s="773"/>
      <c r="H58" s="785"/>
      <c r="I58" s="785"/>
      <c r="J58" s="773"/>
      <c r="K58" s="785"/>
      <c r="L58" s="785"/>
      <c r="M58" s="785"/>
      <c r="N58" s="785"/>
      <c r="O58" s="786"/>
      <c r="P58" s="785"/>
      <c r="Q58" s="785"/>
      <c r="R58" s="785"/>
      <c r="S58" s="785"/>
    </row>
    <row r="59" spans="1:19">
      <c r="A59" s="792"/>
      <c r="B59" s="785" t="s">
        <v>457</v>
      </c>
      <c r="C59" s="773"/>
      <c r="D59" s="785"/>
      <c r="E59" s="785"/>
      <c r="F59" s="785"/>
      <c r="G59" s="773"/>
      <c r="H59" s="785"/>
      <c r="I59" s="785"/>
      <c r="J59" s="773"/>
      <c r="K59" s="785"/>
      <c r="L59" s="785"/>
      <c r="M59" s="785"/>
      <c r="N59" s="785"/>
      <c r="O59" s="786"/>
      <c r="P59" s="785"/>
      <c r="Q59" s="785"/>
      <c r="R59" s="785"/>
      <c r="S59" s="785"/>
    </row>
    <row r="60" spans="1:19" ht="28.8">
      <c r="A60" s="790" t="s">
        <v>477</v>
      </c>
      <c r="B60" s="784" t="s">
        <v>448</v>
      </c>
      <c r="C60" s="784"/>
      <c r="D60" s="784"/>
      <c r="E60" s="784"/>
      <c r="F60" s="773"/>
      <c r="G60" s="784"/>
      <c r="H60" s="784"/>
      <c r="I60" s="773"/>
      <c r="J60" s="784"/>
      <c r="K60" s="784"/>
      <c r="L60" s="773"/>
      <c r="M60" s="773"/>
      <c r="N60" s="773"/>
      <c r="O60" s="786"/>
      <c r="P60" s="773"/>
      <c r="Q60" s="773"/>
      <c r="R60" s="773"/>
      <c r="S60" s="773"/>
    </row>
    <row r="61" spans="1:19">
      <c r="A61" s="791"/>
      <c r="B61" s="773" t="s">
        <v>460</v>
      </c>
      <c r="C61" s="773"/>
      <c r="D61" s="773"/>
      <c r="E61" s="773"/>
      <c r="F61" s="773"/>
      <c r="G61" s="773"/>
      <c r="H61" s="773"/>
      <c r="I61" s="773"/>
      <c r="J61" s="773"/>
      <c r="K61" s="773"/>
      <c r="L61" s="773"/>
      <c r="M61" s="773"/>
      <c r="N61" s="773"/>
      <c r="O61" s="786"/>
      <c r="P61" s="773"/>
      <c r="Q61" s="773"/>
      <c r="R61" s="773"/>
      <c r="S61" s="773"/>
    </row>
    <row r="62" spans="1:19">
      <c r="A62" s="792"/>
      <c r="B62" s="773" t="s">
        <v>457</v>
      </c>
      <c r="C62" s="773"/>
      <c r="D62" s="773"/>
      <c r="E62" s="773"/>
      <c r="F62" s="773"/>
      <c r="G62" s="773"/>
      <c r="H62" s="773"/>
      <c r="I62" s="773"/>
      <c r="J62" s="773"/>
      <c r="K62" s="773"/>
      <c r="L62" s="773"/>
      <c r="M62" s="773"/>
      <c r="N62" s="773"/>
      <c r="O62" s="786"/>
      <c r="P62" s="773"/>
      <c r="Q62" s="773"/>
      <c r="R62" s="773"/>
      <c r="S62" s="773"/>
    </row>
    <row r="63" spans="1:19" ht="28.8">
      <c r="A63" s="790" t="s">
        <v>478</v>
      </c>
      <c r="B63" s="784" t="s">
        <v>448</v>
      </c>
      <c r="C63" s="784"/>
      <c r="D63" s="784"/>
      <c r="E63" s="784"/>
      <c r="F63" s="773"/>
      <c r="G63" s="773"/>
      <c r="H63" s="773"/>
      <c r="I63" s="773"/>
      <c r="J63" s="773"/>
      <c r="K63" s="773"/>
      <c r="L63" s="773"/>
    </row>
    <row r="64" spans="1:19">
      <c r="A64" s="791"/>
      <c r="B64" s="773" t="s">
        <v>460</v>
      </c>
      <c r="C64" s="773"/>
      <c r="D64" s="773"/>
      <c r="E64" s="773"/>
      <c r="F64" s="773"/>
      <c r="G64" s="773"/>
      <c r="H64" s="773"/>
      <c r="I64" s="773"/>
      <c r="J64" s="773"/>
      <c r="K64" s="773"/>
      <c r="L64" s="773"/>
    </row>
    <row r="65" spans="1:19">
      <c r="A65" s="792"/>
      <c r="B65" s="773" t="s">
        <v>457</v>
      </c>
      <c r="C65" s="773"/>
      <c r="D65" s="773"/>
      <c r="E65" s="773"/>
      <c r="F65" s="773"/>
      <c r="G65" s="773"/>
      <c r="H65" s="773"/>
      <c r="I65" s="773"/>
      <c r="J65" s="773"/>
      <c r="K65" s="773"/>
      <c r="L65" s="773"/>
    </row>
    <row r="66" spans="1:19" ht="28.8">
      <c r="A66" s="790" t="s">
        <v>479</v>
      </c>
      <c r="B66" s="784" t="s">
        <v>448</v>
      </c>
      <c r="C66" s="784"/>
      <c r="D66" s="784"/>
      <c r="E66" s="783"/>
      <c r="F66" s="773"/>
      <c r="G66" s="773"/>
      <c r="H66" s="784"/>
      <c r="I66" s="783"/>
      <c r="J66" s="773"/>
      <c r="K66" s="784"/>
      <c r="L66" s="783"/>
    </row>
    <row r="67" spans="1:19">
      <c r="A67" s="791"/>
      <c r="B67" s="773" t="s">
        <v>460</v>
      </c>
      <c r="C67" s="773"/>
      <c r="D67" s="773"/>
      <c r="E67" s="773"/>
      <c r="F67" s="773"/>
      <c r="G67" s="773"/>
      <c r="H67" s="773"/>
      <c r="I67" s="773"/>
      <c r="J67" s="773"/>
      <c r="K67" s="773"/>
      <c r="L67" s="773"/>
    </row>
    <row r="68" spans="1:19">
      <c r="A68" s="792"/>
      <c r="B68" s="773" t="s">
        <v>457</v>
      </c>
      <c r="C68" s="773"/>
      <c r="D68" s="773"/>
      <c r="E68" s="773"/>
      <c r="F68" s="773"/>
      <c r="G68" s="773"/>
      <c r="H68" s="773"/>
      <c r="I68" s="773"/>
      <c r="J68" s="773"/>
      <c r="K68" s="773"/>
      <c r="L68" s="773"/>
    </row>
    <row r="69" spans="1:19" ht="28.8">
      <c r="A69" s="790" t="s">
        <v>480</v>
      </c>
      <c r="B69" s="784" t="s">
        <v>448</v>
      </c>
      <c r="C69" s="784"/>
      <c r="D69" s="784"/>
      <c r="E69" s="783"/>
      <c r="F69" s="773"/>
      <c r="G69" s="773"/>
      <c r="H69" s="784"/>
      <c r="I69" s="783"/>
      <c r="J69" s="773"/>
      <c r="K69" s="784"/>
      <c r="L69" s="783"/>
    </row>
    <row r="70" spans="1:19">
      <c r="A70" s="791"/>
      <c r="B70" s="773" t="s">
        <v>460</v>
      </c>
      <c r="C70" s="773"/>
      <c r="D70" s="773"/>
      <c r="E70" s="773"/>
      <c r="F70" s="773"/>
      <c r="G70" s="773"/>
      <c r="H70" s="773"/>
      <c r="I70" s="773"/>
      <c r="J70" s="773"/>
      <c r="K70" s="773"/>
      <c r="L70" s="773"/>
    </row>
    <row r="71" spans="1:19">
      <c r="A71" s="792"/>
      <c r="B71" s="773" t="s">
        <v>457</v>
      </c>
      <c r="C71" s="773"/>
      <c r="D71" s="773"/>
      <c r="E71" s="773"/>
      <c r="F71" s="773"/>
      <c r="G71" s="773"/>
      <c r="H71" s="773"/>
      <c r="I71" s="773"/>
      <c r="J71" s="773"/>
      <c r="K71" s="773"/>
      <c r="L71" s="773"/>
    </row>
    <row r="72" spans="1:19" ht="28.8">
      <c r="A72" s="790" t="s">
        <v>481</v>
      </c>
      <c r="B72" s="784" t="s">
        <v>448</v>
      </c>
      <c r="C72" s="784"/>
      <c r="D72" s="784"/>
      <c r="E72" s="783"/>
      <c r="F72" s="773"/>
      <c r="G72" s="784"/>
      <c r="H72" s="784"/>
      <c r="I72" s="783"/>
      <c r="J72" s="784"/>
      <c r="K72" s="784"/>
      <c r="L72" s="783"/>
    </row>
    <row r="73" spans="1:19">
      <c r="A73" s="791"/>
      <c r="B73" s="773" t="s">
        <v>460</v>
      </c>
      <c r="C73" s="773"/>
      <c r="D73" s="773"/>
      <c r="E73" s="773"/>
      <c r="F73" s="773"/>
      <c r="G73" s="773"/>
      <c r="H73" s="773"/>
      <c r="I73" s="773"/>
      <c r="J73" s="773"/>
      <c r="K73" s="773"/>
      <c r="L73" s="773"/>
    </row>
    <row r="74" spans="1:19">
      <c r="A74" s="792"/>
      <c r="B74" s="773" t="s">
        <v>457</v>
      </c>
      <c r="C74" s="773"/>
      <c r="D74" s="773"/>
      <c r="E74" s="773"/>
      <c r="F74" s="773"/>
      <c r="G74" s="773"/>
      <c r="H74" s="773"/>
      <c r="I74" s="773"/>
      <c r="J74" s="773"/>
      <c r="K74" s="773"/>
      <c r="L74" s="773"/>
    </row>
    <row r="75" spans="1:19" ht="28.8">
      <c r="A75" s="790" t="s">
        <v>482</v>
      </c>
      <c r="B75" s="784" t="s">
        <v>448</v>
      </c>
      <c r="C75" s="784"/>
      <c r="D75" s="784"/>
      <c r="E75" s="783"/>
      <c r="F75" s="773"/>
      <c r="G75" s="784"/>
      <c r="H75" s="784"/>
      <c r="I75" s="783"/>
      <c r="J75" s="784"/>
      <c r="K75" s="784"/>
      <c r="L75" s="783"/>
    </row>
    <row r="76" spans="1:19">
      <c r="A76" s="791"/>
      <c r="B76" s="773" t="s">
        <v>460</v>
      </c>
      <c r="C76" s="773"/>
      <c r="D76" s="773"/>
      <c r="E76" s="773"/>
      <c r="F76" s="773"/>
      <c r="G76" s="773"/>
      <c r="H76" s="773"/>
      <c r="I76" s="773"/>
      <c r="J76" s="773"/>
      <c r="K76" s="773"/>
      <c r="L76" s="773"/>
    </row>
    <row r="77" spans="1:19">
      <c r="B77" s="773" t="s">
        <v>457</v>
      </c>
      <c r="C77" s="773"/>
      <c r="D77" s="773"/>
      <c r="E77" s="773"/>
      <c r="F77" s="773"/>
      <c r="G77" s="773"/>
      <c r="H77" s="773"/>
      <c r="I77" s="773"/>
      <c r="J77" s="773"/>
      <c r="K77" s="773"/>
      <c r="L77" s="773"/>
    </row>
    <row r="78" spans="1:19" ht="28.8">
      <c r="A78" s="782"/>
      <c r="B78" s="783" t="s">
        <v>448</v>
      </c>
      <c r="C78" s="784"/>
      <c r="D78" s="784"/>
      <c r="E78" s="784"/>
      <c r="F78" s="785"/>
      <c r="G78" s="784"/>
      <c r="H78" s="784"/>
      <c r="I78" s="784"/>
      <c r="J78" s="784"/>
      <c r="K78" s="784"/>
      <c r="L78" s="785"/>
      <c r="M78" s="784"/>
      <c r="N78" s="785"/>
      <c r="O78" s="786"/>
      <c r="P78" s="785"/>
      <c r="Q78" s="785"/>
      <c r="R78" s="785"/>
      <c r="S78" s="785"/>
    </row>
    <row r="79" spans="1:19">
      <c r="A79" s="787" t="s">
        <v>483</v>
      </c>
      <c r="B79" s="785" t="s">
        <v>460</v>
      </c>
      <c r="C79" s="773"/>
      <c r="D79" s="773"/>
      <c r="E79" s="773"/>
      <c r="F79" s="785"/>
      <c r="G79" s="773"/>
      <c r="H79" s="773"/>
      <c r="I79" s="773"/>
      <c r="J79" s="773"/>
      <c r="K79" s="773"/>
      <c r="L79" s="785"/>
      <c r="M79" s="773"/>
      <c r="N79" s="785"/>
      <c r="O79" s="786"/>
      <c r="P79" s="785"/>
      <c r="Q79" s="785"/>
      <c r="R79" s="785"/>
      <c r="S79" s="785"/>
    </row>
    <row r="80" spans="1:19">
      <c r="A80" s="788"/>
      <c r="B80" s="785" t="s">
        <v>457</v>
      </c>
      <c r="C80" s="773"/>
      <c r="D80" s="773"/>
      <c r="E80" s="773"/>
      <c r="F80" s="785"/>
      <c r="G80" s="773"/>
      <c r="H80" s="773"/>
      <c r="I80" s="773"/>
      <c r="J80" s="773"/>
      <c r="K80" s="773"/>
      <c r="L80" s="785"/>
      <c r="M80" s="773"/>
      <c r="N80" s="785"/>
      <c r="O80" s="786"/>
      <c r="P80" s="785"/>
      <c r="Q80" s="785"/>
      <c r="R80" s="785"/>
      <c r="S80" s="785"/>
    </row>
    <row r="81" spans="1:19" ht="28.8">
      <c r="A81" s="782"/>
      <c r="B81" s="784" t="s">
        <v>448</v>
      </c>
      <c r="C81" s="784"/>
      <c r="D81" s="784"/>
      <c r="E81" s="784"/>
      <c r="F81" s="773"/>
      <c r="G81" s="773"/>
      <c r="H81" s="784"/>
      <c r="I81" s="773"/>
      <c r="J81" s="773"/>
      <c r="K81" s="784"/>
      <c r="L81" s="773"/>
      <c r="M81" s="773"/>
      <c r="N81" s="773"/>
      <c r="O81" s="786"/>
      <c r="P81" s="773"/>
      <c r="Q81" s="773"/>
      <c r="R81" s="773"/>
      <c r="S81" s="773"/>
    </row>
    <row r="82" spans="1:19">
      <c r="A82" s="787" t="s">
        <v>484</v>
      </c>
      <c r="B82" s="773" t="s">
        <v>460</v>
      </c>
      <c r="C82" s="773"/>
      <c r="D82" s="773"/>
      <c r="E82" s="773"/>
      <c r="F82" s="773"/>
      <c r="G82" s="773"/>
      <c r="H82" s="773"/>
      <c r="I82" s="773"/>
      <c r="J82" s="773"/>
      <c r="K82" s="773"/>
      <c r="L82" s="773"/>
      <c r="M82" s="773"/>
      <c r="N82" s="773"/>
      <c r="O82" s="786"/>
      <c r="P82" s="773"/>
      <c r="Q82" s="773"/>
      <c r="R82" s="773"/>
      <c r="S82" s="773"/>
    </row>
    <row r="83" spans="1:19">
      <c r="A83" s="788"/>
      <c r="B83" s="773" t="s">
        <v>457</v>
      </c>
      <c r="C83" s="773"/>
      <c r="D83" s="773"/>
      <c r="E83" s="773"/>
      <c r="F83" s="773"/>
      <c r="G83" s="773"/>
      <c r="H83" s="773"/>
      <c r="I83" s="773"/>
      <c r="J83" s="773"/>
      <c r="K83" s="773"/>
      <c r="L83" s="773"/>
      <c r="M83" s="773"/>
      <c r="N83" s="773"/>
      <c r="O83" s="786"/>
      <c r="P83" s="773"/>
      <c r="Q83" s="773"/>
      <c r="R83" s="773"/>
      <c r="S83" s="773"/>
    </row>
    <row r="84" spans="1:19" ht="28.8">
      <c r="A84" s="782"/>
      <c r="B84" s="784" t="s">
        <v>448</v>
      </c>
      <c r="C84" s="784"/>
      <c r="D84" s="784"/>
      <c r="E84" s="785"/>
      <c r="F84" s="785"/>
      <c r="G84" s="784"/>
      <c r="H84" s="784"/>
      <c r="I84" s="785"/>
      <c r="J84" s="784"/>
      <c r="K84" s="784"/>
      <c r="L84" s="785"/>
      <c r="M84" s="785"/>
      <c r="N84" s="785"/>
      <c r="O84" s="786"/>
      <c r="P84" s="785"/>
      <c r="Q84" s="785"/>
      <c r="R84" s="785"/>
      <c r="S84" s="785"/>
    </row>
    <row r="85" spans="1:19">
      <c r="A85" s="787" t="s">
        <v>485</v>
      </c>
      <c r="B85" s="773" t="s">
        <v>460</v>
      </c>
      <c r="C85" s="773"/>
      <c r="D85" s="773"/>
      <c r="E85" s="785"/>
      <c r="F85" s="785"/>
      <c r="G85" s="773"/>
      <c r="H85" s="773"/>
      <c r="I85" s="785"/>
      <c r="J85" s="773"/>
      <c r="K85" s="773"/>
      <c r="L85" s="785"/>
      <c r="M85" s="785"/>
      <c r="N85" s="785"/>
      <c r="O85" s="786"/>
      <c r="P85" s="785"/>
      <c r="Q85" s="785"/>
      <c r="R85" s="785"/>
      <c r="S85" s="785"/>
    </row>
    <row r="86" spans="1:19">
      <c r="A86" s="788"/>
      <c r="B86" s="773" t="s">
        <v>457</v>
      </c>
      <c r="C86" s="773"/>
      <c r="D86" s="773"/>
      <c r="E86" s="785"/>
      <c r="F86" s="785"/>
      <c r="G86" s="773"/>
      <c r="H86" s="773"/>
      <c r="I86" s="785"/>
      <c r="J86" s="773"/>
      <c r="K86" s="773"/>
      <c r="L86" s="785"/>
      <c r="M86" s="785"/>
      <c r="N86" s="785"/>
      <c r="O86" s="786"/>
      <c r="P86" s="785"/>
      <c r="Q86" s="785"/>
      <c r="R86" s="785"/>
      <c r="S86" s="785"/>
    </row>
    <row r="87" spans="1:19" ht="28.8">
      <c r="A87" s="782"/>
      <c r="B87" s="784" t="s">
        <v>448</v>
      </c>
      <c r="C87" s="784"/>
      <c r="D87" s="784"/>
      <c r="E87" s="784"/>
      <c r="F87" s="785"/>
      <c r="G87" s="784"/>
      <c r="H87" s="784"/>
      <c r="I87" s="784"/>
      <c r="J87" s="784"/>
      <c r="K87" s="784"/>
      <c r="L87" s="784"/>
    </row>
    <row r="88" spans="1:19">
      <c r="A88" s="787" t="s">
        <v>486</v>
      </c>
      <c r="B88" s="773" t="s">
        <v>460</v>
      </c>
      <c r="C88" s="773"/>
      <c r="D88" s="773"/>
      <c r="E88" s="773"/>
      <c r="F88" s="785"/>
      <c r="G88" s="773"/>
      <c r="H88" s="773"/>
      <c r="I88" s="773"/>
      <c r="J88" s="773"/>
      <c r="K88" s="773"/>
      <c r="L88" s="773"/>
    </row>
    <row r="89" spans="1:19">
      <c r="A89" s="788"/>
      <c r="B89" s="773" t="s">
        <v>457</v>
      </c>
      <c r="C89" s="773"/>
      <c r="D89" s="773"/>
      <c r="E89" s="773"/>
      <c r="F89" s="785"/>
      <c r="G89" s="773"/>
      <c r="H89" s="773"/>
      <c r="I89" s="773"/>
      <c r="J89" s="773"/>
      <c r="K89" s="773"/>
      <c r="L89" s="773"/>
    </row>
    <row r="90" spans="1:19" ht="28.8">
      <c r="A90" s="782"/>
      <c r="B90" s="784" t="s">
        <v>448</v>
      </c>
      <c r="C90" s="784"/>
      <c r="D90" s="784"/>
      <c r="E90" s="784"/>
      <c r="F90" s="785"/>
      <c r="G90" s="784"/>
      <c r="H90" s="784"/>
      <c r="I90" s="784"/>
      <c r="J90" s="784"/>
      <c r="K90" s="784"/>
      <c r="L90" s="784"/>
    </row>
    <row r="91" spans="1:19">
      <c r="A91" s="787" t="s">
        <v>487</v>
      </c>
      <c r="B91" s="773" t="s">
        <v>460</v>
      </c>
      <c r="C91" s="773"/>
      <c r="D91" s="773"/>
      <c r="E91" s="773"/>
      <c r="F91" s="785"/>
      <c r="G91" s="773"/>
      <c r="H91" s="773"/>
      <c r="I91" s="773"/>
      <c r="J91" s="773"/>
      <c r="K91" s="773"/>
      <c r="L91" s="773"/>
    </row>
    <row r="92" spans="1:19">
      <c r="A92" s="788"/>
      <c r="B92" s="773" t="s">
        <v>457</v>
      </c>
      <c r="C92" s="773"/>
      <c r="D92" s="773"/>
      <c r="E92" s="773"/>
      <c r="F92" s="785"/>
      <c r="G92" s="773"/>
      <c r="H92" s="773"/>
      <c r="I92" s="773"/>
      <c r="J92" s="773"/>
      <c r="K92" s="773"/>
      <c r="L92" s="773"/>
    </row>
    <row r="93" spans="1:19" ht="28.8">
      <c r="A93" s="782"/>
      <c r="B93" s="784" t="s">
        <v>448</v>
      </c>
      <c r="C93" s="784"/>
      <c r="D93" s="784"/>
      <c r="E93" s="784"/>
      <c r="F93" s="785"/>
      <c r="G93" s="784"/>
      <c r="H93" s="784"/>
      <c r="I93" s="784"/>
      <c r="J93" s="784"/>
      <c r="K93" s="784"/>
      <c r="L93" s="784"/>
    </row>
    <row r="94" spans="1:19">
      <c r="A94" s="787" t="s">
        <v>488</v>
      </c>
      <c r="B94" s="773" t="s">
        <v>460</v>
      </c>
      <c r="C94" s="773"/>
      <c r="D94" s="773"/>
      <c r="E94" s="773"/>
      <c r="F94" s="785"/>
      <c r="G94" s="773"/>
      <c r="H94" s="773"/>
      <c r="I94" s="773"/>
      <c r="J94" s="773"/>
      <c r="K94" s="773"/>
      <c r="L94" s="773"/>
    </row>
    <row r="95" spans="1:19">
      <c r="A95" s="788"/>
      <c r="B95" s="773" t="s">
        <v>457</v>
      </c>
      <c r="C95" s="773"/>
      <c r="D95" s="773"/>
      <c r="E95" s="773"/>
      <c r="F95" s="785"/>
      <c r="G95" s="773"/>
      <c r="H95" s="773"/>
      <c r="I95" s="773"/>
      <c r="J95" s="773"/>
      <c r="K95" s="773"/>
      <c r="L95" s="773"/>
    </row>
    <row r="96" spans="1:19" ht="28.8">
      <c r="A96" s="782"/>
      <c r="B96" s="784" t="s">
        <v>448</v>
      </c>
      <c r="C96" s="784"/>
      <c r="D96" s="784"/>
      <c r="E96" s="784"/>
      <c r="F96" s="785"/>
      <c r="G96" s="784"/>
      <c r="H96" s="784"/>
      <c r="I96" s="784"/>
      <c r="J96" s="784"/>
      <c r="K96" s="784"/>
      <c r="L96" s="784"/>
    </row>
    <row r="97" spans="1:12">
      <c r="A97" s="787"/>
      <c r="B97" s="773" t="s">
        <v>460</v>
      </c>
      <c r="C97" s="773"/>
      <c r="D97" s="773"/>
      <c r="E97" s="773"/>
      <c r="F97" s="785"/>
      <c r="G97" s="773"/>
      <c r="H97" s="773"/>
      <c r="I97" s="773"/>
      <c r="J97" s="773"/>
      <c r="K97" s="773"/>
      <c r="L97" s="773"/>
    </row>
    <row r="98" spans="1:12">
      <c r="A98" s="788"/>
      <c r="B98" s="773" t="s">
        <v>457</v>
      </c>
      <c r="C98" s="773"/>
      <c r="D98" s="773"/>
      <c r="E98" s="773"/>
      <c r="F98" s="785"/>
      <c r="G98" s="773"/>
      <c r="H98" s="773"/>
      <c r="I98" s="773"/>
      <c r="J98" s="773"/>
      <c r="K98" s="773"/>
      <c r="L98" s="773"/>
    </row>
    <row r="99" spans="1:12" ht="28.8">
      <c r="A99" s="782"/>
      <c r="B99" s="784" t="s">
        <v>448</v>
      </c>
      <c r="C99" s="784"/>
      <c r="D99" s="784"/>
      <c r="E99" s="784"/>
      <c r="F99" s="785"/>
      <c r="G99" s="784"/>
      <c r="H99" s="784"/>
      <c r="I99" s="784"/>
      <c r="J99" s="784"/>
      <c r="K99" s="784"/>
      <c r="L99" s="784"/>
    </row>
    <row r="100" spans="1:12">
      <c r="A100" s="787"/>
      <c r="B100" s="773" t="s">
        <v>460</v>
      </c>
      <c r="C100" s="773"/>
      <c r="D100" s="773"/>
      <c r="E100" s="773"/>
      <c r="F100" s="785"/>
      <c r="G100" s="773"/>
      <c r="H100" s="773"/>
      <c r="I100" s="773"/>
      <c r="J100" s="773"/>
      <c r="K100" s="773"/>
      <c r="L100" s="773"/>
    </row>
    <row r="101" spans="1:12">
      <c r="A101" s="788"/>
      <c r="B101" s="773" t="s">
        <v>457</v>
      </c>
      <c r="C101" s="773"/>
      <c r="D101" s="773"/>
      <c r="E101" s="773"/>
      <c r="F101" s="785"/>
      <c r="G101" s="773"/>
      <c r="H101" s="773"/>
      <c r="I101" s="773"/>
      <c r="J101" s="773"/>
      <c r="K101" s="773"/>
      <c r="L101" s="773"/>
    </row>
  </sheetData>
  <mergeCells count="19">
    <mergeCell ref="A75:A76"/>
    <mergeCell ref="A57:A59"/>
    <mergeCell ref="A60:A62"/>
    <mergeCell ref="A63:A65"/>
    <mergeCell ref="A66:A68"/>
    <mergeCell ref="A69:A71"/>
    <mergeCell ref="A72:A74"/>
    <mergeCell ref="A39:A41"/>
    <mergeCell ref="A42:A44"/>
    <mergeCell ref="A45:A47"/>
    <mergeCell ref="A48:A50"/>
    <mergeCell ref="A51:A53"/>
    <mergeCell ref="A54:A56"/>
    <mergeCell ref="C1:F1"/>
    <mergeCell ref="G1:J1"/>
    <mergeCell ref="K1:N1"/>
    <mergeCell ref="P1:S1"/>
    <mergeCell ref="A33:A35"/>
    <mergeCell ref="A36:A38"/>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276E8DD442F3949B29C5C59DE4A7687" ma:contentTypeVersion="5" ma:contentTypeDescription="Create a new document." ma:contentTypeScope="" ma:versionID="731aa0024221414d4bb458d1650e1f93">
  <xsd:schema xmlns:xsd="http://www.w3.org/2001/XMLSchema" xmlns:xs="http://www.w3.org/2001/XMLSchema" xmlns:p="http://schemas.microsoft.com/office/2006/metadata/properties" xmlns:ns3="a40fe6b2-76c0-4113-a012-01a5ebf2a5d4" xmlns:ns4="031e53ee-fbc6-4ba2-b468-5efa88c25ce5" targetNamespace="http://schemas.microsoft.com/office/2006/metadata/properties" ma:root="true" ma:fieldsID="f89e4ef35399f1a7f6bafe0735bc49e6" ns3:_="" ns4:_="">
    <xsd:import namespace="a40fe6b2-76c0-4113-a012-01a5ebf2a5d4"/>
    <xsd:import namespace="031e53ee-fbc6-4ba2-b468-5efa88c25ce5"/>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40fe6b2-76c0-4113-a012-01a5ebf2a5d4"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31e53ee-fbc6-4ba2-b468-5efa88c25ce5"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DC07337-79FD-493A-886C-DC0F6DEE56CA}">
  <ds:schemaRefs>
    <ds:schemaRef ds:uri="031e53ee-fbc6-4ba2-b468-5efa88c25ce5"/>
    <ds:schemaRef ds:uri="http://purl.org/dc/elements/1.1/"/>
    <ds:schemaRef ds:uri="http://schemas.microsoft.com/office/2006/documentManagement/types"/>
    <ds:schemaRef ds:uri="http://purl.org/dc/terms/"/>
    <ds:schemaRef ds:uri="http://schemas.openxmlformats.org/package/2006/metadata/core-properties"/>
    <ds:schemaRef ds:uri="http://purl.org/dc/dcmitype/"/>
    <ds:schemaRef ds:uri="a40fe6b2-76c0-4113-a012-01a5ebf2a5d4"/>
    <ds:schemaRef ds:uri="http://schemas.microsoft.com/office/infopath/2007/PartnerControls"/>
    <ds:schemaRef ds:uri="http://schemas.microsoft.com/office/2006/metadata/properties"/>
    <ds:schemaRef ds:uri="http://www.w3.org/XML/1998/namespace"/>
  </ds:schemaRefs>
</ds:datastoreItem>
</file>

<file path=customXml/itemProps2.xml><?xml version="1.0" encoding="utf-8"?>
<ds:datastoreItem xmlns:ds="http://schemas.openxmlformats.org/officeDocument/2006/customXml" ds:itemID="{A5677AC9-C891-49F3-9FF7-FE235769E843}">
  <ds:schemaRefs>
    <ds:schemaRef ds:uri="http://schemas.microsoft.com/sharepoint/v3/contenttype/forms"/>
  </ds:schemaRefs>
</ds:datastoreItem>
</file>

<file path=customXml/itemProps3.xml><?xml version="1.0" encoding="utf-8"?>
<ds:datastoreItem xmlns:ds="http://schemas.openxmlformats.org/officeDocument/2006/customXml" ds:itemID="{6F4B98F9-9FB6-459D-84BE-4F2BC2CB9A7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40fe6b2-76c0-4113-a012-01a5ebf2a5d4"/>
    <ds:schemaRef ds:uri="031e53ee-fbc6-4ba2-b468-5efa88c25ce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Eng Weekly report</vt:lpstr>
      <vt:lpstr>Compliance report</vt:lpstr>
      <vt:lpstr>Quality report</vt:lpstr>
      <vt:lpstr>Service schedule</vt:lpstr>
      <vt:lpstr>Oil report</vt:lpstr>
      <vt:lpstr>Fermel Weekly</vt:lpstr>
      <vt:lpstr>Blocked chutes</vt:lpstr>
    </vt:vector>
  </TitlesOfParts>
  <Company>Hewlett-Packard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Jacques Breet</dc:creator>
  <cp:lastModifiedBy>Sikelela Nzuza</cp:lastModifiedBy>
  <cp:lastPrinted>2023-03-03T13:50:27Z</cp:lastPrinted>
  <dcterms:created xsi:type="dcterms:W3CDTF">2020-01-17T12:36:29Z</dcterms:created>
  <dcterms:modified xsi:type="dcterms:W3CDTF">2025-12-05T16:02:00Z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0x0101000276E8DD442F3949B29C5C59DE4A7687</vt:lpwstr>
  </property>
</Properties>
</file>